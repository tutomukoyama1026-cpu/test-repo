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<sst xmlns="http://schemas.openxmlformats.org/spreadsheetml/2006/main" count="416" uniqueCount="286">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</sst>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0.264705882352941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204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0.735294117647059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>IF(AG25="","",WORKDAY(I25-H25+1,-1,{46329,46349,46384,46385,46386,46387,46388,46391,46398,46429,46441,46468}))</f>
        <v>46323</v>
      </c>
      <c r="G25" s="67"/>
      <c r="H25" s="65">
        <v>7</v>
      </c>
      <c r="I25" s="68">
        <f>IF(AG25="","",WORKDAY(P25-K25+1,-1,{46329,46349,46384,46385,46386,46387,46388,46391,46398,46429,46441,46468}))</f>
        <v>46330</v>
      </c>
      <c r="J25" s="67"/>
      <c r="K25" s="65">
        <v>7</v>
      </c>
      <c r="L25" s="68"/>
      <c r="M25" s="68"/>
      <c r="N25" s="68"/>
      <c r="O25" s="68"/>
      <c r="P25" s="68">
        <f>IF(AG25="","",WORKDAY(AC25-R25-Q25+1,-1,{46329,46349,46384,46385,46386,46387,46388,46391,46398,46429,46441,46468}))</f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>IF(AG26="","",WORKDAY(I26-H26+1,-1,{46329,46349,46384,46385,46386,46387,46388,46391,46398,46429,46441,46468}))</f>
        <v>46330</v>
      </c>
      <c r="G26" s="67"/>
      <c r="H26" s="65">
        <v>7</v>
      </c>
      <c r="I26" s="68">
        <f>IF(AG26="","",WORKDAY(P26-K26+1,-1,{46329,46349,46384,46385,46386,46387,46388,46391,46398,46429,46441,46468}))</f>
        <v>46337</v>
      </c>
      <c r="J26" s="67"/>
      <c r="K26" s="65">
        <v>7</v>
      </c>
      <c r="L26" s="68"/>
      <c r="M26" s="68"/>
      <c r="N26" s="68"/>
      <c r="O26" s="68"/>
      <c r="P26" s="68">
        <f>IF(AG26="","",WORKDAY(AC26-R26-Q26+1,-1,{46329,46349,46384,46385,46386,46387,46388,46391,46398,46429,46441,46468}))</f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</t>
        </is>
      </c>
      <c r="D36" s="72"/>
      <c r="E36" s="71"/>
      <c r="F36" s="70" t="str">
        <f>IF(AG36="","",WORKDAY(I36-H36+1,-1,{46329,46349,46384,46385,46386,46387,46388,46391,46398,46429,46441,46468}))</f>
        <v/>
      </c>
      <c r="G36" s="67"/>
      <c r="H36" s="65">
        <v>7</v>
      </c>
      <c r="I36" s="68" t="str">
        <f>IF(AG36="","",WORKDAY(P36-K36+1,-1,{46329,46349,46384,46385,46386,46387,46388,46391,46398,46429,46441,46468}))</f>
        <v/>
      </c>
      <c r="J36" s="67"/>
      <c r="K36" s="65">
        <v>7</v>
      </c>
      <c r="L36" s="68"/>
      <c r="M36" s="68"/>
      <c r="N36" s="68"/>
      <c r="O36" s="68"/>
      <c r="P36" s="68" t="str">
        <f>IF(AG36="","",WORKDAY(AC36-R36-Q36+1,-1,{46329,46349,46384,46385,46386,46387,46388,46391,46398,46429,46441,46468}))</f>
        <v/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8" t="str">
        <f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84" t="s">
        <v>112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46366</v>
      </c>
      <c r="G44" s="67"/>
      <c r="H44" s="65">
        <v>7</v>
      </c>
      <c r="I44" s="68">
        <f>IF(AG44="","",WORKDAY(P44-K44+1,-1,{46329,46349,46384,46385,46386,46387,46388,46391,46398,46429,46441,46468}))</f>
        <v>46373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46380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46401</v>
      </c>
      <c r="AD44" s="68" cm="1">
        <f t="array" ref="AD44">IF(AG44="","",$AG44-$AF44)</f>
        <v>46401</v>
      </c>
      <c r="AE44" s="67"/>
      <c r="AF44" s="83">
        <v>14</v>
      </c>
      <c r="AG44" s="72">
        <v>46415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84" t="s">
        <v>116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