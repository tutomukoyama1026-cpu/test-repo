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<sst xmlns="http://schemas.openxmlformats.org/spreadsheetml/2006/main" count="416" uniqueCount="286">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</sst>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10</v>
      </c>
      <c r="BL4" s="28" cm="1" t="str">
        <f t="array" aca="1" ref="BL4" ca="1">BJ4&amp;": "&amp;BK4&amp;"個"</f>
        <v>赤色: 10個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6</v>
      </c>
      <c r="BL5" s="28" cm="1" t="str">
        <f t="array" aca="1" ref="BL5" ca="1">BJ5&amp;": "&amp;BK5&amp;"個"</f>
        <v>黄色: 6個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133" t="inlineStr">
        <is>
          <t>製作２か月、9/30初回作図、発注済み</t>
        </is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/>
      <c r="I25" s="68"/>
      <c r="J25" s="67"/>
      <c r="K25" s="65"/>
      <c r="L25" s="68"/>
      <c r="M25" s="68"/>
      <c r="N25" s="68"/>
      <c r="O25" s="68"/>
      <c r="P25" s="68"/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/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/>
      <c r="I26" s="68"/>
      <c r="J26" s="67"/>
      <c r="K26" s="65"/>
      <c r="L26" s="68"/>
      <c r="M26" s="68"/>
      <c r="N26" s="68"/>
      <c r="O26" s="68"/>
      <c r="P26" s="68"/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/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SD点検口（東側デッキ）（追加）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ガラリ（東側デッキ）（追加）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133" t="inlineStr">
        <is>
          <t>SSD1（東デッキ側）製作２か月+塗装20日、発注済み</t>
        </is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46328</v>
      </c>
      <c r="G44" s="67"/>
      <c r="H44" s="65">
        <v>7</v>
      </c>
      <c r="I44" s="68">
        <f>IF(AG44="","",WORKDAY(P44-K44+1,-1,{46329,46349,46384,46385,46386,46387,46388,46391,46398,46429,46441,46468}))</f>
        <v>46335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46342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46363</v>
      </c>
      <c r="AD44" s="68" cm="1">
        <f t="array" ref="AD44">IF(AG44="","",$AG44-$AF44)</f>
        <v>46363</v>
      </c>
      <c r="AE44" s="67"/>
      <c r="AF44" s="83">
        <v>14</v>
      </c>
      <c r="AG44" s="72">
        <v>46377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133" t="inlineStr">
        <is>
          <t>製作３か月、9/18～作図、発注済み</t>
        </is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