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<sst xmlns="http://schemas.openxmlformats.org/spreadsheetml/2006/main" count="34" uniqueCount="32">
  <si>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増減リスト</t>
  </si>
  <si>
    <t xml:space="preserve">工事名：椙山女学園 星が丘キャンパス大学会館食堂リニューアル工事（工期 2026/11/9～2027/03/31）</t>
  </si>
  <si>
    <t xml:space="preserve">基準金額（契約金額）：契約書待ち（5/28 見積 No.260007 食堂分 税抜 305,000,000 と 9/4 見積内訳書 262,000,000 のどちらが基準かは契約書で確定）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</si>
  <si>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</si>
  <si>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</si>
  <si>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</si>
  <si>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</si>
  <si>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</si>
  <si>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</si>
  <si>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</si>
  <si>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</si>
  <si>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</si>
  <si>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</si>
  <si>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</si>
  <si>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</si>
  <si>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</si>
  <si>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</si>
  <si>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
・内訳書 p3：事前調査の費用は契約に含まれる（共通仮設「試験調査」100,000 に含む、小山さん確認）。p7・p8：石綿含有の石膏ボード・がれきの運搬・処分費も契約内（見積 301,000＋374,000）。580,000 は除去・処分等の追加分として別途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</si>
  <si>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</si>
  <si>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</si>
  <si>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</si>
  <si>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
・内訳書 p7：「プランターBOX撤去 7か所」50,120 は吹き抜け側で契約内。2階プランターの内側（室内側）の撤去は契約外のため追加見積（650,000）を提出（小山さん確認）→ 不採用（撤去しない）</t>
  </si>
  <si>
    <t xml:space="preserve">既存設備（オペレーター）の対応</t>
  </si>
  <si>
    <t xml:space="preserve">課題 No.19</t>
  </si>
  <si>
    <t xml:space="preserve">提出済み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</si>
  <si>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
・内訳書 p39：金属製建具工事「オペレーター改修」製品代 369,000＋取付運搬費 61,600＝430,600 が契約に含まれる
・10/31 現地調査の結果、2パターンの見積が必要と分かり、480,000 と 520,000 の2案を提出（小山さん確認）。どちらを採るかは未定（保留）。契約分 430,600 とは別の追加見積として扱う（契約分との関係は2案の内容で要確認）</t>
  </si>
  <si>
    <t xml:space="preserve">承認分　合計（SJ承認済み）</t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</si>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</sst>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customFormat="false" ht="78" hidden="false" customHeight="true" outlineLevel="0" collapsed="false">
      <c r="A5" s="7" t="n">
        <v>1</v>
      </c>
      <c r="B5" s="8" t="s">
        <v>13</v>
      </c>
      <c r="C5" s="9" t="s">
        <v>14</v>
      </c>
      <c r="D5" s="7" t="s">
        <v>15</v>
      </c>
      <c r="E5" s="10" t="n">
        <v>46283</v>
      </c>
      <c r="F5" s="10" t="n">
        <v>46311</v>
      </c>
      <c r="G5" s="11" t="n">
        <v>580000</v>
      </c>
      <c r="H5" s="10" t="n">
        <v>46323</v>
      </c>
      <c r="I5" s="9" t="s">
        <v>16</v>
      </c>
      <c r="J5" s="8" t="s">
        <v>17</v>
      </c>
    </row>
    <row r="6" customFormat="false" ht="66" hidden="false" customHeight="true" outlineLevel="0" collapsed="false">
      <c r="A6" s="9" t="n">
        <v>2</v>
      </c>
      <c r="B6" s="12" t="s">
        <v>18</v>
      </c>
      <c r="C6" s="9" t="s">
        <v>19</v>
      </c>
      <c r="D6" s="7" t="s">
        <v>15</v>
      </c>
      <c r="E6" s="10" t="n">
        <v>46297</v>
      </c>
      <c r="F6" s="10"/>
      <c r="G6" s="11" t="n">
        <v>650000</v>
      </c>
      <c r="H6" s="10"/>
      <c r="I6" s="9" t="s">
        <v>20</v>
      </c>
      <c r="J6" s="8" t="s">
        <v>21</v>
      </c>
    </row>
    <row r="7" customFormat="false" ht="78" hidden="false" customHeight="true" outlineLevel="0" collapsed="false">
      <c r="A7" s="9" t="n">
        <v>3</v>
      </c>
      <c r="B7" s="8" t="s">
        <v>22</v>
      </c>
      <c r="C7" s="9" t="s">
        <v>23</v>
      </c>
      <c r="D7" s="7" t="s">
        <v>15</v>
      </c>
      <c r="E7" s="10" t="n">
        <v>46325</v>
      </c>
      <c r="F7" s="10"/>
      <c r="G7" s="11"/>
      <c r="H7" s="10"/>
      <c r="I7" s="9" t="s">
        <v>24</v>
      </c>
      <c r="J7" s="8" t="s">
        <v>25</v>
      </c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4" t="s">
        <v>26</v>
      </c>
      <c r="B9" s="14"/>
      <c r="C9" s="14"/>
      <c r="D9" s="14"/>
      <c r="E9" s="14"/>
      <c r="F9" s="14"/>
      <c r="G9" s="15" t="n">
        <f aca="false">SUMIF($I$5:$I$7,"承認",$G$5:$G$7)</f>
        <v>580000</v>
      </c>
      <c r="H9" s="16"/>
      <c r="I9" s="16"/>
      <c r="J9" s="16"/>
    </row>
    <row r="10" customFormat="false" ht="15" hidden="false" customHeight="true" outlineLevel="0" collapsed="false">
      <c r="A10" s="17" t="s">
        <v>27</v>
      </c>
      <c r="B10" s="17"/>
      <c r="C10" s="17"/>
      <c r="D10" s="17"/>
      <c r="E10" s="17"/>
      <c r="F10" s="17"/>
      <c r="G10" s="18" t="n">
        <f aca="false">SUMIF($I$5:$I$7,"見積中",$G$5:$G$7)+SUMIF($I$5:$I$7,"提出済み",$G$5:$G$7)</f>
        <v>0</v>
      </c>
      <c r="H10" s="19"/>
      <c r="I10" s="19"/>
      <c r="J10" s="19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20" t="s">
        <v>28</v>
      </c>
      <c r="B11" s="20"/>
      <c r="C11" s="20"/>
      <c r="D11" s="20"/>
      <c r="E11" s="20"/>
      <c r="F11" s="20"/>
      <c r="G11" s="21" t="n">
        <f aca="false">SUMIF($I$5:$I$7,"見積中",$G$5:$G$7)</f>
        <v>0</v>
      </c>
      <c r="H11" s="22"/>
      <c r="I11" s="22"/>
      <c r="J11" s="22"/>
    </row>
    <row r="12" customFormat="false" ht="15" hidden="false" customHeight="true" outlineLevel="0" collapsed="false">
      <c r="A12" s="20" t="s">
        <v>29</v>
      </c>
      <c r="B12" s="20"/>
      <c r="C12" s="20"/>
      <c r="D12" s="20"/>
      <c r="E12" s="20"/>
      <c r="F12" s="20"/>
      <c r="G12" s="21" t="n">
        <f aca="false">SUMIF($I$5:$I$7,"提出済み",$G$5:$G$7)</f>
        <v>0</v>
      </c>
      <c r="H12" s="22"/>
      <c r="I12" s="22"/>
      <c r="J12" s="22"/>
    </row>
    <row r="13" customFormat="false" ht="15" hidden="false" customHeight="true" outlineLevel="0" collapsed="false">
      <c r="A13" s="23" t="s">
        <v>30</v>
      </c>
      <c r="B13" s="23"/>
      <c r="C13" s="23"/>
      <c r="D13" s="23"/>
      <c r="E13" s="23"/>
      <c r="F13" s="23"/>
      <c r="G13" s="24" t="n">
        <f aca="false">SUMIF($I$5:$I$7,"不採用",$G$5:$G$7)</f>
        <v>650000</v>
      </c>
      <c r="H13" s="25"/>
      <c r="I13" s="25"/>
      <c r="J13" s="25"/>
    </row>
    <row r="15" customFormat="false" ht="15" hidden="false" customHeight="true" outlineLevel="0" collapsed="false">
      <c r="A15" s="3" t="s">
        <v>31</v>
      </c>
    </row>
  </sheetData>
  <mergeCells count="5">
    <mergeCell ref="A9:F9"/>
    <mergeCell ref="A10:F10"/>
    <mergeCell ref="A11:F11"/>
    <mergeCell ref="A12:F12"/>
    <mergeCell ref="A13:F13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