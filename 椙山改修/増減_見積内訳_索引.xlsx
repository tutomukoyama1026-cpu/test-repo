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索引" sheetId="1" state="visible" r:id="rId3"/>
    <sheet name="5月見積との比較" sheetId="2" state="visible" r:id="rId4"/>
    <sheet name="増減リスト関連" sheetId="3" state="visible" r:id="rId5"/>
    <sheet name="別途工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<sst xmlns="http://schemas.openxmlformats.org/spreadsheetml/2006/main" count="357" uniqueCount="280">
  <si>
    <t xml:space="preserve">見積内訳書 索引（増減リストの単価の根拠）　※原価を含む社内資料。社外に出さない</t>
  </si>
  <si>
    <t xml:space="preserve">出典：椙山改修/参考/260904_見積内訳書（契約・原価）.pdf（2026/9/4 出力、101頁。左＝見積、右＝原価）</t>
  </si>
  <si>
    <t xml:space="preserve">基準金額（契約金額）：契約は1本（食堂＋外構3エリア、10/31 小山さん確認）。食堂分 262,000,000（税抜）／288,200,000（税込）＝9/4 見積内訳書（確定）。外構3エリア分は確認中（参考：5/28 見積 No.260007 税込 さくら坂 67,100,000／キャンパスコモン 215,600,000／10000歩コース 74,800,000）</t>
  </si>
  <si>
    <t xml:space="preserve">階層</t>
  </si>
  <si>
    <t xml:space="preserve">番号</t>
  </si>
  <si>
    <t xml:space="preserve">名称</t>
  </si>
  <si>
    <t xml:space="preserve">頁</t>
  </si>
  <si>
    <t xml:space="preserve">見積金額</t>
  </si>
  <si>
    <t xml:space="preserve">原価金額</t>
  </si>
  <si>
    <t xml:space="preserve">照合（下位の合計との差）</t>
  </si>
  <si>
    <t xml:space="preserve">a)</t>
  </si>
  <si>
    <t xml:space="preserve">共通仮設工事</t>
  </si>
  <si>
    <t xml:space="preserve">p3</t>
  </si>
  <si>
    <t xml:space="preserve">b)</t>
  </si>
  <si>
    <t xml:space="preserve">解体撤去工事</t>
  </si>
  <si>
    <t xml:space="preserve">p4</t>
  </si>
  <si>
    <t xml:space="preserve">b)-1</t>
  </si>
  <si>
    <t xml:space="preserve">　建築工事</t>
  </si>
  <si>
    <t xml:space="preserve">p5</t>
  </si>
  <si>
    <t xml:space="preserve">1</t>
  </si>
  <si>
    <t xml:space="preserve">　　撤去工事</t>
  </si>
  <si>
    <t xml:space="preserve">p6-8</t>
  </si>
  <si>
    <t xml:space="preserve">b)-2</t>
  </si>
  <si>
    <t xml:space="preserve">　設備工事</t>
  </si>
  <si>
    <t xml:space="preserve">p9-10</t>
  </si>
  <si>
    <t xml:space="preserve">　　幹線設備工事（電気）</t>
  </si>
  <si>
    <t xml:space="preserve">p11</t>
  </si>
  <si>
    <t xml:space="preserve">2</t>
  </si>
  <si>
    <t xml:space="preserve">　　照明器具設備工事（電気）</t>
  </si>
  <si>
    <t xml:space="preserve">p12</t>
  </si>
  <si>
    <t xml:space="preserve">3</t>
  </si>
  <si>
    <t xml:space="preserve">　　電灯設備工事（電気）</t>
  </si>
  <si>
    <t xml:space="preserve">p13</t>
  </si>
  <si>
    <t xml:space="preserve">4</t>
  </si>
  <si>
    <t xml:space="preserve">　　誘導灯設備工事（電気）</t>
  </si>
  <si>
    <t xml:space="preserve">p14</t>
  </si>
  <si>
    <t xml:space="preserve">5</t>
  </si>
  <si>
    <t xml:space="preserve">　　コンセント設備工事（電気）</t>
  </si>
  <si>
    <t xml:space="preserve">p15-16</t>
  </si>
  <si>
    <t xml:space="preserve">6</t>
  </si>
  <si>
    <t xml:space="preserve">　　LAN設備工事（電気）</t>
  </si>
  <si>
    <t xml:space="preserve">p17-18</t>
  </si>
  <si>
    <t xml:space="preserve">7</t>
  </si>
  <si>
    <t xml:space="preserve">　　放送設備工事（電気）</t>
  </si>
  <si>
    <t xml:space="preserve">p19-20</t>
  </si>
  <si>
    <t xml:space="preserve">8</t>
  </si>
  <si>
    <t xml:space="preserve">　　自動火災報知設備工事（電気）</t>
  </si>
  <si>
    <t xml:space="preserve">p21-22</t>
  </si>
  <si>
    <t xml:space="preserve">9</t>
  </si>
  <si>
    <t xml:space="preserve">　　ダクト撤去工事（空調）</t>
  </si>
  <si>
    <t xml:space="preserve">p23-24</t>
  </si>
  <si>
    <t xml:space="preserve">10</t>
  </si>
  <si>
    <t xml:space="preserve">　　配管撤去工事（衛生）</t>
  </si>
  <si>
    <t xml:space="preserve">p25-26</t>
  </si>
  <si>
    <t xml:space="preserve">c)</t>
  </si>
  <si>
    <t xml:space="preserve">改修工事</t>
  </si>
  <si>
    <t xml:space="preserve">p27</t>
  </si>
  <si>
    <t xml:space="preserve">c)-1</t>
  </si>
  <si>
    <t xml:space="preserve">p28</t>
  </si>
  <si>
    <t xml:space="preserve">　　直接仮設工事</t>
  </si>
  <si>
    <t xml:space="preserve">p29-31</t>
  </si>
  <si>
    <t xml:space="preserve">　　躯体工事</t>
  </si>
  <si>
    <t xml:space="preserve">p32</t>
  </si>
  <si>
    <t xml:space="preserve">　　防水工事</t>
  </si>
  <si>
    <t xml:space="preserve">p33</t>
  </si>
  <si>
    <t xml:space="preserve">　　タイル工事</t>
  </si>
  <si>
    <t xml:space="preserve">p34</t>
  </si>
  <si>
    <t xml:space="preserve">　　金属工事</t>
  </si>
  <si>
    <t xml:space="preserve">p35-38</t>
  </si>
  <si>
    <t xml:space="preserve">　　金属製建具工事</t>
  </si>
  <si>
    <t xml:space="preserve">p39</t>
  </si>
  <si>
    <t xml:space="preserve">　　ガラス工事</t>
  </si>
  <si>
    <t xml:space="preserve">p40</t>
  </si>
  <si>
    <t xml:space="preserve">　　木工事</t>
  </si>
  <si>
    <t xml:space="preserve">p41-43</t>
  </si>
  <si>
    <t xml:space="preserve">　　左官工事</t>
  </si>
  <si>
    <t xml:space="preserve">p44</t>
  </si>
  <si>
    <t xml:space="preserve">　　塗装工事</t>
  </si>
  <si>
    <t xml:space="preserve">p45-46</t>
  </si>
  <si>
    <t xml:space="preserve">11</t>
  </si>
  <si>
    <t xml:space="preserve">　　内装工事</t>
  </si>
  <si>
    <t xml:space="preserve">p47-48</t>
  </si>
  <si>
    <t xml:space="preserve">12</t>
  </si>
  <si>
    <t xml:space="preserve">　　雑工事</t>
  </si>
  <si>
    <t xml:space="preserve">p49-52</t>
  </si>
  <si>
    <t xml:space="preserve">12-1</t>
  </si>
  <si>
    <t xml:space="preserve">　　　サイン工事</t>
  </si>
  <si>
    <t xml:space="preserve">p50</t>
  </si>
  <si>
    <t xml:space="preserve">12-2</t>
  </si>
  <si>
    <t xml:space="preserve">　　　その他雑</t>
  </si>
  <si>
    <t xml:space="preserve">p51-52</t>
  </si>
  <si>
    <t xml:space="preserve">c)-2</t>
  </si>
  <si>
    <t xml:space="preserve">　電気設備工事</t>
  </si>
  <si>
    <t xml:space="preserve">p53</t>
  </si>
  <si>
    <t xml:space="preserve">　　幹線設備工事</t>
  </si>
  <si>
    <t xml:space="preserve">p54-55</t>
  </si>
  <si>
    <t xml:space="preserve">　　空調電源設備工事</t>
  </si>
  <si>
    <t xml:space="preserve">p56-58</t>
  </si>
  <si>
    <t xml:space="preserve">　　照明器具設備工事</t>
  </si>
  <si>
    <t xml:space="preserve">p59-61</t>
  </si>
  <si>
    <t xml:space="preserve">　　電灯設備工事</t>
  </si>
  <si>
    <t xml:space="preserve">p62-66</t>
  </si>
  <si>
    <t xml:space="preserve">　　誘導灯設備工事</t>
  </si>
  <si>
    <t xml:space="preserve">p67-69</t>
  </si>
  <si>
    <t xml:space="preserve">　　コンセント設備工事</t>
  </si>
  <si>
    <t xml:space="preserve">p70-73</t>
  </si>
  <si>
    <t xml:space="preserve">　　LAN設備工事</t>
  </si>
  <si>
    <t xml:space="preserve">p74-75</t>
  </si>
  <si>
    <t xml:space="preserve">　　放送設備工事</t>
  </si>
  <si>
    <t xml:space="preserve">p76-78</t>
  </si>
  <si>
    <t xml:space="preserve">　　自動火災報知設備工事</t>
  </si>
  <si>
    <t xml:space="preserve">p79-81</t>
  </si>
  <si>
    <t xml:space="preserve">c)-3</t>
  </si>
  <si>
    <t xml:space="preserve">　空気調和設備工事</t>
  </si>
  <si>
    <t xml:space="preserve">p82</t>
  </si>
  <si>
    <t xml:space="preserve">　　空調機器設備工事</t>
  </si>
  <si>
    <t xml:space="preserve">p83-84</t>
  </si>
  <si>
    <t xml:space="preserve">　　配管設備工事</t>
  </si>
  <si>
    <t xml:space="preserve">p85</t>
  </si>
  <si>
    <t xml:space="preserve">2-1</t>
  </si>
  <si>
    <t xml:space="preserve">　　　冷媒配管設備工事</t>
  </si>
  <si>
    <t xml:space="preserve">p86-87</t>
  </si>
  <si>
    <t xml:space="preserve">2-2</t>
  </si>
  <si>
    <t xml:space="preserve">　　　ドレン配管設備工事</t>
  </si>
  <si>
    <t xml:space="preserve">p88-89</t>
  </si>
  <si>
    <t xml:space="preserve">　　空調ダクト設備工事</t>
  </si>
  <si>
    <t xml:space="preserve">p90-92</t>
  </si>
  <si>
    <t xml:space="preserve">c)-4</t>
  </si>
  <si>
    <t xml:space="preserve">　衛生設備工事</t>
  </si>
  <si>
    <t xml:space="preserve">p93</t>
  </si>
  <si>
    <t xml:space="preserve">　　給水設備工事</t>
  </si>
  <si>
    <t xml:space="preserve">p94-95</t>
  </si>
  <si>
    <t xml:space="preserve">　　給湯設備工事</t>
  </si>
  <si>
    <t xml:space="preserve">p96-97</t>
  </si>
  <si>
    <t xml:space="preserve">　　屋内排水通気設備工事</t>
  </si>
  <si>
    <t xml:space="preserve">p98-99</t>
  </si>
  <si>
    <t xml:space="preserve">　　衛生器具設備工事</t>
  </si>
  <si>
    <t xml:space="preserve">p100-101</t>
  </si>
  <si>
    <t xml:space="preserve">d)</t>
  </si>
  <si>
    <t xml:space="preserve">諸経費</t>
  </si>
  <si>
    <t xml:space="preserve">p1</t>
  </si>
  <si>
    <t xml:space="preserve">　設備管理費（原価のみ）</t>
  </si>
  <si>
    <t xml:space="preserve">　内勤工事経費（原価のみ）</t>
  </si>
  <si>
    <t xml:space="preserve">工事価格（a〜d の合計）</t>
  </si>
  <si>
    <t xml:space="preserve">内訳書 p1「計」：見積 262,000,000／原価 222,477,594</t>
  </si>
  <si>
    <t xml:space="preserve">内訳書の記載との差</t>
  </si>
  <si>
    <r>
      <rPr>
        <b val="true"/>
        <sz val="9"/>
        <color rgb="FFFF0000"/>
        <rFont val="HG丸ｺﾞｼｯｸM-PRO"/>
        <family val="0"/>
        <charset val="1"/>
      </rPr>
      <t xml:space="preserve">0 </t>
    </r>
    <r>
      <rPr>
        <b val="true"/>
        <sz val="9"/>
        <color rgb="FFFF0000"/>
        <rFont val="WenQuanYi Zen Hei"/>
        <family val="2"/>
      </rPr>
      <t xml:space="preserve">なら一致</t>
    </r>
  </si>
  <si>
    <t xml:space="preserve">消費税及び地方消費税</t>
  </si>
  <si>
    <t xml:space="preserve">内訳書 p1</t>
  </si>
  <si>
    <t xml:space="preserve">合計（税込）</t>
  </si>
  <si>
    <t xml:space="preserve">288,200,000</t>
  </si>
  <si>
    <r>
      <rPr>
        <b val="true"/>
        <sz val="12"/>
        <color rgb="FFFF0000"/>
        <rFont val="HG丸ｺﾞｼｯｸM-PRO"/>
        <family val="0"/>
        <charset val="1"/>
      </rPr>
      <t xml:space="preserve">5/28 </t>
    </r>
    <r>
      <rPr>
        <b val="true"/>
        <sz val="12"/>
        <color rgb="FFFF0000"/>
        <rFont val="WenQuanYi Zen Hei"/>
        <family val="2"/>
      </rPr>
      <t xml:space="preserve">見積（</t>
    </r>
    <r>
      <rPr>
        <b val="true"/>
        <sz val="12"/>
        <color rgb="FFFF0000"/>
        <rFont val="HG丸ｺﾞｼｯｸM-PRO"/>
        <family val="0"/>
        <charset val="1"/>
      </rPr>
      <t xml:space="preserve">No.260007</t>
    </r>
    <r>
      <rPr>
        <b val="true"/>
        <sz val="12"/>
        <color rgb="FFFF0000"/>
        <rFont val="WenQuanYi Zen Hei"/>
        <family val="2"/>
      </rPr>
      <t xml:space="preserve">）食堂分 と </t>
    </r>
    <r>
      <rPr>
        <b val="true"/>
        <sz val="12"/>
        <color rgb="FFFF0000"/>
        <rFont val="HG丸ｺﾞｼｯｸM-PRO"/>
        <family val="0"/>
        <charset val="1"/>
      </rPr>
      <t xml:space="preserve">9/4 </t>
    </r>
    <r>
      <rPr>
        <b val="true"/>
        <sz val="12"/>
        <color rgb="FFFF0000"/>
        <rFont val="WenQuanYi Zen Hei"/>
        <family val="2"/>
      </rPr>
      <t xml:space="preserve">見積内訳書 の比較（税抜・見積金額）</t>
    </r>
  </si>
  <si>
    <t xml:space="preserve">契約は1本（食堂＋外構3エリア）。食堂分の契約金額＝9/4 見積内訳書 262,000,000（税抜、10/31 小山さん確認）。外構3エリア分は確認中。理由欄は【事実】＝両方の明細で確認、【推測】＝明細の照合はしていない／理由は書類に書かれていない</t>
  </si>
  <si>
    <t xml:space="preserve">工種</t>
  </si>
  <si>
    <r>
      <rPr>
        <b val="true"/>
        <sz val="9"/>
        <color rgb="FFFF0000"/>
        <rFont val="HG丸ｺﾞｼｯｸM-PRO"/>
        <family val="0"/>
        <charset val="1"/>
      </rPr>
      <t xml:space="preserve">5/28 </t>
    </r>
    <r>
      <rPr>
        <b val="true"/>
        <sz val="9"/>
        <color rgb="FFFF0000"/>
        <rFont val="WenQuanYi Zen Hei"/>
        <family val="2"/>
      </rPr>
      <t xml:space="preserve">見積</t>
    </r>
  </si>
  <si>
    <r>
      <rPr>
        <b val="true"/>
        <sz val="9"/>
        <color rgb="FFFF0000"/>
        <rFont val="HG丸ｺﾞｼｯｸM-PRO"/>
        <family val="0"/>
        <charset val="1"/>
      </rPr>
      <t xml:space="preserve">9/4 </t>
    </r>
    <r>
      <rPr>
        <b val="true"/>
        <sz val="9"/>
        <color rgb="FFFF0000"/>
        <rFont val="WenQuanYi Zen Hei"/>
        <family val="2"/>
      </rPr>
      <t xml:space="preserve">内訳書</t>
    </r>
  </si>
  <si>
    <t xml:space="preserve">差額（9/4−5/28）</t>
  </si>
  <si>
    <r>
      <rPr>
        <b val="true"/>
        <sz val="9"/>
        <color rgb="FFFF0000"/>
        <rFont val="HG丸ｺﾞｼｯｸM-PRO"/>
        <family val="0"/>
        <charset val="1"/>
      </rPr>
      <t xml:space="preserve">9/4 </t>
    </r>
    <r>
      <rPr>
        <b val="true"/>
        <sz val="9"/>
        <color rgb="FFFF0000"/>
        <rFont val="WenQuanYi Zen Hei"/>
        <family val="2"/>
      </rPr>
      <t xml:space="preserve">頁</t>
    </r>
  </si>
  <si>
    <t xml:space="preserve">下がった理由</t>
  </si>
  <si>
    <t xml:space="preserve">変更なし</t>
  </si>
  <si>
    <t xml:space="preserve">解体撤去／建築（撤去工事）</t>
  </si>
  <si>
    <t xml:space="preserve">【事実】床テラゾー撤去 358m2→189m2、天井材撤去 366m2（下地共）→64m2（下地共）＋302m2（下地残置）、産廃の量を減（コンガラ 20→12m3、がれき 8→5m3）、諸雑費 499,000→351,090、有価物買取 ▲80,000→▲40,000。【推測】撤去範囲の見直し</t>
  </si>
  <si>
    <t xml:space="preserve">解体撤去／設備</t>
  </si>
  <si>
    <t xml:space="preserve">p9-26</t>
  </si>
  <si>
    <t xml:space="preserve">c)-1-1</t>
  </si>
  <si>
    <t xml:space="preserve">直接仮設工事</t>
  </si>
  <si>
    <t xml:space="preserve">【事実】食堂外部東の足場 190.7m2→45.53m2 など。【推測】足場範囲の見直し</t>
  </si>
  <si>
    <r>
      <rPr>
        <sz val="9"/>
        <color rgb="FFFF0000"/>
        <rFont val="HG丸ｺﾞｼｯｸM-PRO"/>
        <family val="0"/>
        <charset val="1"/>
      </rPr>
      <t xml:space="preserve">c)-1-2</t>
    </r>
    <r>
      <rPr>
        <sz val="9"/>
        <color rgb="FFFF0000"/>
        <rFont val="WenQuanYi Zen Hei"/>
        <family val="2"/>
      </rPr>
      <t xml:space="preserve">〜</t>
    </r>
    <r>
      <rPr>
        <sz val="9"/>
        <color rgb="FFFF0000"/>
        <rFont val="HG丸ｺﾞｼｯｸM-PRO"/>
        <family val="0"/>
        <charset val="1"/>
      </rPr>
      <t xml:space="preserve">4</t>
    </r>
  </si>
  <si>
    <t xml:space="preserve">躯体・防水・タイル工事</t>
  </si>
  <si>
    <t xml:space="preserve">p32-34</t>
  </si>
  <si>
    <t xml:space="preserve">c)-1-5</t>
  </si>
  <si>
    <t xml:space="preserve">金属工事</t>
  </si>
  <si>
    <t xml:space="preserve">【推測】明細は未照合</t>
  </si>
  <si>
    <r>
      <rPr>
        <sz val="9"/>
        <color rgb="FFFF0000"/>
        <rFont val="HG丸ｺﾞｼｯｸM-PRO"/>
        <family val="0"/>
        <charset val="1"/>
      </rPr>
      <t xml:space="preserve">c)-1-6</t>
    </r>
    <r>
      <rPr>
        <sz val="9"/>
        <color rgb="FFFF0000"/>
        <rFont val="WenQuanYi Zen Hei"/>
        <family val="2"/>
      </rPr>
      <t xml:space="preserve">〜</t>
    </r>
    <r>
      <rPr>
        <sz val="9"/>
        <color rgb="FFFF0000"/>
        <rFont val="HG丸ｺﾞｼｯｸM-PRO"/>
        <family val="0"/>
        <charset val="1"/>
      </rPr>
      <t xml:space="preserve">8</t>
    </r>
  </si>
  <si>
    <t xml:space="preserve">金属製建具・ガラス・木工事</t>
  </si>
  <si>
    <t xml:space="preserve">p39-43</t>
  </si>
  <si>
    <t xml:space="preserve">c)-1-9</t>
  </si>
  <si>
    <t xml:space="preserve">左官工事</t>
  </si>
  <si>
    <t xml:space="preserve">【事実】5/28 は床・壁 MORTEX（634m2：プライマー・クラック防水処理・3回塗り・トップコート、計 約4,390万円）を左官で計上。9/4 では左官から外れ、床タイル下地などだけが残る</t>
  </si>
  <si>
    <t xml:space="preserve">c)-1-10</t>
  </si>
  <si>
    <t xml:space="preserve">塗装工事</t>
  </si>
  <si>
    <t xml:space="preserve">【事実】9/4 はジョリパッド モルタルアート（壁 339m2・床 290m2・天井 5m2）を塗装で計上（約2,450万円）。左官＋塗装の合計は 47,635,312→28,135,312（▲19,500,000）。【推測】仕上材の変更（VE）</t>
  </si>
  <si>
    <t xml:space="preserve">c)-1-11</t>
  </si>
  <si>
    <t xml:space="preserve">内装工事</t>
  </si>
  <si>
    <t xml:space="preserve">c)-1-12</t>
  </si>
  <si>
    <t xml:space="preserve">雑工事</t>
  </si>
  <si>
    <t xml:space="preserve">c)-2-3</t>
  </si>
  <si>
    <t xml:space="preserve">電気／照明器具設備工事</t>
  </si>
  <si>
    <t xml:space="preserve">【推測】器具の見直し（明細は未照合）</t>
  </si>
  <si>
    <t xml:space="preserve">c)-2-4</t>
  </si>
  <si>
    <t xml:space="preserve">電気／電灯設備工事</t>
  </si>
  <si>
    <r>
      <rPr>
        <sz val="9"/>
        <color rgb="FFFF0000"/>
        <rFont val="HG丸ｺﾞｼｯｸM-PRO"/>
        <family val="0"/>
        <charset val="1"/>
      </rPr>
      <t xml:space="preserve">c)-2 </t>
    </r>
    <r>
      <rPr>
        <sz val="9"/>
        <color rgb="FFFF0000"/>
        <rFont val="WenQuanYi Zen Hei"/>
        <family val="2"/>
      </rPr>
      <t xml:space="preserve">他</t>
    </r>
  </si>
  <si>
    <t xml:space="preserve">電気／その他（幹線・空調電源・誘導灯・コンセント・LAN・放送・自火報）</t>
  </si>
  <si>
    <t xml:space="preserve">p53-81</t>
  </si>
  <si>
    <t xml:space="preserve">空気調和設備工事</t>
  </si>
  <si>
    <t xml:space="preserve">p82-92</t>
  </si>
  <si>
    <t xml:space="preserve">衛生設備工事</t>
  </si>
  <si>
    <t xml:space="preserve">p93-101</t>
  </si>
  <si>
    <t xml:space="preserve">【推測】工事費の減額に合わせた調整</t>
  </si>
  <si>
    <t xml:space="preserve">工事価格（税抜）</t>
  </si>
  <si>
    <r>
      <rPr>
        <b val="true"/>
        <sz val="9"/>
        <color rgb="FFFF0000"/>
        <rFont val="HG丸ｺﾞｼｯｸM-PRO"/>
        <family val="0"/>
        <charset val="1"/>
      </rPr>
      <t xml:space="preserve">5/28 </t>
    </r>
    <r>
      <rPr>
        <b val="true"/>
        <sz val="9"/>
        <color rgb="FFFF0000"/>
        <rFont val="WenQuanYi Zen Hei"/>
        <family val="2"/>
      </rPr>
      <t xml:space="preserve">食堂分：税抜 </t>
    </r>
    <r>
      <rPr>
        <b val="true"/>
        <sz val="9"/>
        <color rgb="FFFF0000"/>
        <rFont val="HG丸ｺﾞｼｯｸM-PRO"/>
        <family val="0"/>
        <charset val="1"/>
      </rPr>
      <t xml:space="preserve">305,000,000</t>
    </r>
    <r>
      <rPr>
        <b val="true"/>
        <sz val="9"/>
        <color rgb="FFFF0000"/>
        <rFont val="WenQuanYi Zen Hei"/>
        <family val="2"/>
      </rPr>
      <t xml:space="preserve">（税込 </t>
    </r>
    <r>
      <rPr>
        <b val="true"/>
        <sz val="9"/>
        <color rgb="FFFF0000"/>
        <rFont val="HG丸ｺﾞｼｯｸM-PRO"/>
        <family val="0"/>
        <charset val="1"/>
      </rPr>
      <t xml:space="preserve">335,500,000</t>
    </r>
    <r>
      <rPr>
        <b val="true"/>
        <sz val="9"/>
        <color rgb="FFFF0000"/>
        <rFont val="WenQuanYi Zen Hei"/>
        <family val="2"/>
      </rPr>
      <t xml:space="preserve">）。</t>
    </r>
    <r>
      <rPr>
        <b val="true"/>
        <sz val="9"/>
        <color rgb="FFFF0000"/>
        <rFont val="HG丸ｺﾞｼｯｸM-PRO"/>
        <family val="0"/>
        <charset val="1"/>
      </rPr>
      <t xml:space="preserve">9/4</t>
    </r>
    <r>
      <rPr>
        <b val="true"/>
        <sz val="9"/>
        <color rgb="FFFF0000"/>
        <rFont val="WenQuanYi Zen Hei"/>
        <family val="2"/>
      </rPr>
      <t xml:space="preserve">：</t>
    </r>
    <r>
      <rPr>
        <b val="true"/>
        <sz val="9"/>
        <color rgb="FFFF0000"/>
        <rFont val="HG丸ｺﾞｼｯｸM-PRO"/>
        <family val="0"/>
        <charset val="1"/>
      </rPr>
      <t xml:space="preserve">262,000,000</t>
    </r>
    <r>
      <rPr>
        <b val="true"/>
        <sz val="9"/>
        <color rgb="FFFF0000"/>
        <rFont val="WenQuanYi Zen Hei"/>
        <family val="2"/>
      </rPr>
      <t xml:space="preserve">（税込 </t>
    </r>
    <r>
      <rPr>
        <b val="true"/>
        <sz val="9"/>
        <color rgb="FFFF0000"/>
        <rFont val="HG丸ｺﾞｼｯｸM-PRO"/>
        <family val="0"/>
        <charset val="1"/>
      </rPr>
      <t xml:space="preserve">288,200,000</t>
    </r>
    <r>
      <rPr>
        <b val="true"/>
        <sz val="9"/>
        <color rgb="FFFF0000"/>
        <rFont val="WenQuanYi Zen Hei"/>
        <family val="2"/>
      </rPr>
      <t xml:space="preserve">）</t>
    </r>
  </si>
  <si>
    <t xml:space="preserve">消費税</t>
  </si>
  <si>
    <t xml:space="preserve">参考：5/28 見積 No.260007 の全体（税込）</t>
  </si>
  <si>
    <t xml:space="preserve">① 大学会館食堂リニューアル工事</t>
  </si>
  <si>
    <t xml:space="preserve">② 外構リニューアル工事 さくら坂整備</t>
  </si>
  <si>
    <t xml:space="preserve">③ 外構リニューアル工事 キャンパスコモン整備</t>
  </si>
  <si>
    <t xml:space="preserve">④ 外構リニューアル工事 10000歩コース整備</t>
  </si>
  <si>
    <t xml:space="preserve">計（税込）</t>
  </si>
  <si>
    <t xml:space="preserve">うち工事価格（税抜）</t>
  </si>
  <si>
    <t xml:space="preserve">増減 No.</t>
  </si>
  <si>
    <t xml:space="preserve">項目</t>
  </si>
  <si>
    <t xml:space="preserve">内訳書の該当</t>
  </si>
  <si>
    <t xml:space="preserve">見積金額（内訳書）</t>
  </si>
  <si>
    <t xml:space="preserve">契約に含まれるか</t>
  </si>
  <si>
    <t xml:space="preserve">メモ</t>
  </si>
  <si>
    <t xml:space="preserve">アスベスト含有建材事前調査</t>
  </si>
  <si>
    <t xml:space="preserve">撤去工事「石綿含有 石膏ボード運搬・処分費（管理型）7m3」</t>
  </si>
  <si>
    <t xml:space="preserve">p7</t>
  </si>
  <si>
    <t xml:space="preserve">含まれる（処分費のみ）</t>
  </si>
  <si>
    <t xml:space="preserve">石綿の除去作業の項目は無し → 580,000 は除去・処分等の追加分として別途（増額）</t>
  </si>
  <si>
    <t xml:space="preserve">同上</t>
  </si>
  <si>
    <t xml:space="preserve">撤去工事「石綿含有 がれき運搬・処分費（安定型）11m3」</t>
  </si>
  <si>
    <t xml:space="preserve">p8</t>
  </si>
  <si>
    <t xml:space="preserve">共通仮設「試験調査」1式</t>
  </si>
  <si>
    <t xml:space="preserve">含まれる（小山さん確認）</t>
  </si>
  <si>
    <t xml:space="preserve">アスベストの事前調査の費用はここに含まれる（10/31 小山さん確認）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</si>
  <si>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</si>
  <si>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撤去工事「プランターBOX撤去」7か所（吹き抜け側）</t>
  </si>
  <si>
    <t xml:space="preserve">含まれる</t>
  </si>
  <si>
    <t xml:space="preserve">吹き抜け側は契約内。2階プランターの内側（室内側）の撤去は契約外 → 追加見積 650,000 を提出、不採用（撤去しない）（10/31 小山さん確認）</t>
  </si>
  <si>
    <t xml:space="preserve">既存設備（オペレーター）の対応</t>
  </si>
  <si>
    <t xml:space="preserve">金属製建具工事「オペレーター改修 製品代」1か所</t>
  </si>
  <si>
    <t xml:space="preserve">三和シャッター</t>
  </si>
  <si>
    <t xml:space="preserve">金属製建具工事「オペレーター改修 取付運搬費」1か所</t>
  </si>
  <si>
    <t xml:space="preserve">計 430,600。10/31 現地調査で2パターン必要と分かり 480,000／520,000 の2案を別途の追加見積として提出（小山さん確認）。契約分との関係は2案の内容で要確認</t>
  </si>
  <si>
    <t xml:space="preserve">別途工事・支給品（5/28 見積 No.260007「別途工事」シートの転記）</t>
  </si>
  <si>
    <t xml:space="preserve">見積に含まれないもの。これに当たる工事を頼まれたら増減リストに「増額（別途工事）」として載せる候補</t>
  </si>
  <si>
    <t xml:space="preserve">No.</t>
  </si>
  <si>
    <t xml:space="preserve">別途工事の項目</t>
  </si>
  <si>
    <t xml:space="preserve">地質調査</t>
  </si>
  <si>
    <t xml:space="preserve">既設解体</t>
  </si>
  <si>
    <t xml:space="preserve">食堂改修の撤去工事（b）は本工事。ここでいう既設解体の範囲は要確認</t>
  </si>
  <si>
    <t xml:space="preserve">地中障害物除去</t>
  </si>
  <si>
    <t xml:space="preserve">公共（施設 埋設）対策</t>
  </si>
  <si>
    <t xml:space="preserve">式典</t>
  </si>
  <si>
    <t xml:space="preserve">開発行為申請</t>
  </si>
  <si>
    <t xml:space="preserve">近隣補償</t>
  </si>
  <si>
    <t xml:space="preserve">土壌汚染調査、対策費（処理共）</t>
  </si>
  <si>
    <t xml:space="preserve">図中記載なき家具、什器備品 新設、撤去及び処分</t>
  </si>
  <si>
    <t xml:space="preserve">システムキッチン</t>
  </si>
  <si>
    <t xml:space="preserve">下足箱（棚）</t>
  </si>
  <si>
    <t xml:space="preserve">黒板</t>
  </si>
  <si>
    <t xml:space="preserve">掲示板</t>
  </si>
  <si>
    <t xml:space="preserve">映写スクリーン</t>
  </si>
  <si>
    <r>
      <rPr>
        <sz val="9"/>
        <color rgb="FFFF0000"/>
        <rFont val="HG丸ｺﾞｼｯｸM-PRO"/>
        <family val="0"/>
        <charset val="1"/>
      </rPr>
      <t xml:space="preserve">OHP</t>
    </r>
    <r>
      <rPr>
        <sz val="9"/>
        <color rgb="FFFF0000"/>
        <rFont val="WenQuanYi Zen Hei"/>
        <family val="2"/>
      </rPr>
      <t xml:space="preserve">スクリーン</t>
    </r>
  </si>
  <si>
    <t xml:space="preserve">映写機</t>
  </si>
  <si>
    <t xml:space="preserve">教育機器</t>
  </si>
  <si>
    <t xml:space="preserve">教壇</t>
  </si>
  <si>
    <t xml:space="preserve">舞台装置</t>
  </si>
  <si>
    <t xml:space="preserve">パーテーション</t>
  </si>
  <si>
    <t xml:space="preserve">スライディングドア</t>
  </si>
  <si>
    <r>
      <rPr>
        <sz val="9"/>
        <color rgb="FFFF0000"/>
        <rFont val="HG丸ｺﾞｼｯｸM-PRO"/>
        <family val="0"/>
        <charset val="1"/>
      </rPr>
      <t xml:space="preserve">9/4 </t>
    </r>
    <r>
      <rPr>
        <sz val="9"/>
        <color rgb="FFFF0000"/>
        <rFont val="WenQuanYi Zen Hei"/>
        <family val="2"/>
      </rPr>
      <t xml:space="preserve">内訳書 </t>
    </r>
    <r>
      <rPr>
        <sz val="9"/>
        <color rgb="FFFF0000"/>
        <rFont val="HG丸ｺﾞｼｯｸM-PRO"/>
        <family val="0"/>
        <charset val="1"/>
      </rPr>
      <t xml:space="preserve">p39 </t>
    </r>
    <r>
      <rPr>
        <sz val="9"/>
        <color rgb="FFFF0000"/>
        <rFont val="WenQuanYi Zen Hei"/>
        <family val="2"/>
      </rPr>
      <t xml:space="preserve">の「スライディンウォール」</t>
    </r>
    <r>
      <rPr>
        <sz val="9"/>
        <color rgb="FFFF0000"/>
        <rFont val="HG丸ｺﾞｼｯｸM-PRO"/>
        <family val="0"/>
        <charset val="1"/>
      </rPr>
      <t xml:space="preserve">2,239,000</t>
    </r>
    <r>
      <rPr>
        <sz val="9"/>
        <color rgb="FFFF0000"/>
        <rFont val="WenQuanYi Zen Hei"/>
        <family val="2"/>
      </rPr>
      <t xml:space="preserve">（製品代 </t>
    </r>
    <r>
      <rPr>
        <sz val="9"/>
        <color rgb="FFFF0000"/>
        <rFont val="HG丸ｺﾞｼｯｸM-PRO"/>
        <family val="0"/>
        <charset val="1"/>
      </rPr>
      <t xml:space="preserve">1,599,000</t>
    </r>
    <r>
      <rPr>
        <sz val="9"/>
        <color rgb="FFFF0000"/>
        <rFont val="WenQuanYi Zen Hei"/>
        <family val="2"/>
      </rPr>
      <t xml:space="preserve">＋取付運搬費 </t>
    </r>
    <r>
      <rPr>
        <sz val="9"/>
        <color rgb="FFFF0000"/>
        <rFont val="HG丸ｺﾞｼｯｸM-PRO"/>
        <family val="0"/>
        <charset val="1"/>
      </rPr>
      <t xml:space="preserve">640,000</t>
    </r>
    <r>
      <rPr>
        <sz val="9"/>
        <color rgb="FFFF0000"/>
        <rFont val="WenQuanYi Zen Hei"/>
        <family val="2"/>
      </rPr>
      <t xml:space="preserve">）と同じもの（</t>
    </r>
    <r>
      <rPr>
        <sz val="9"/>
        <color rgb="FFFF0000"/>
        <rFont val="HG丸ｺﾞｼｯｸM-PRO"/>
        <family val="0"/>
        <charset val="1"/>
      </rPr>
      <t xml:space="preserve">10/31 </t>
    </r>
    <r>
      <rPr>
        <sz val="9"/>
        <color rgb="FFFF0000"/>
        <rFont val="WenQuanYi Zen Hei"/>
        <family val="2"/>
      </rPr>
      <t xml:space="preserve">小山さん確認）。契約（</t>
    </r>
    <r>
      <rPr>
        <sz val="9"/>
        <color rgb="FFFF0000"/>
        <rFont val="HG丸ｺﾞｼｯｸM-PRO"/>
        <family val="0"/>
        <charset val="1"/>
      </rPr>
      <t xml:space="preserve">9/4</t>
    </r>
    <r>
      <rPr>
        <sz val="9"/>
        <color rgb="FFFF0000"/>
        <rFont val="WenQuanYi Zen Hei"/>
        <family val="2"/>
      </rPr>
      <t xml:space="preserve">）では本工事に含まれる。</t>
    </r>
    <r>
      <rPr>
        <sz val="9"/>
        <color rgb="FFFF0000"/>
        <rFont val="HG丸ｺﾞｼｯｸM-PRO"/>
        <family val="0"/>
        <charset val="1"/>
      </rPr>
      <t xml:space="preserve">5/28 </t>
    </r>
    <r>
      <rPr>
        <sz val="9"/>
        <color rgb="FFFF0000"/>
        <rFont val="WenQuanYi Zen Hei"/>
        <family val="2"/>
      </rPr>
      <t xml:space="preserve">の別途工事欄の記載は定型文か </t>
    </r>
    <r>
      <rPr>
        <sz val="9"/>
        <color rgb="FFFF0000"/>
        <rFont val="HG丸ｺﾞｼｯｸM-PRO"/>
        <family val="0"/>
        <charset val="1"/>
      </rPr>
      <t xml:space="preserve">5/28 </t>
    </r>
    <r>
      <rPr>
        <sz val="9"/>
        <color rgb="FFFF0000"/>
        <rFont val="WenQuanYi Zen Hei"/>
        <family val="2"/>
      </rPr>
      <t xml:space="preserve">時点の扱いと思われる（推測）</t>
    </r>
  </si>
  <si>
    <t xml:space="preserve">避難器具</t>
  </si>
  <si>
    <t xml:space="preserve">消火器（ボックスは本工事）</t>
  </si>
  <si>
    <r>
      <rPr>
        <sz val="9"/>
        <color rgb="FFFF0000"/>
        <rFont val="HG丸ｺﾞｼｯｸM-PRO"/>
        <family val="0"/>
        <charset val="1"/>
      </rPr>
      <t xml:space="preserve">9/4 </t>
    </r>
    <r>
      <rPr>
        <sz val="9"/>
        <color rgb="FFFF0000"/>
        <rFont val="WenQuanYi Zen Hei"/>
        <family val="2"/>
      </rPr>
      <t xml:space="preserve">内訳書 金属工事に消火器ボックスあり（本工事）</t>
    </r>
  </si>
  <si>
    <t xml:space="preserve">擁壁</t>
  </si>
  <si>
    <t xml:space="preserve">門</t>
  </si>
  <si>
    <t xml:space="preserve">堀</t>
  </si>
  <si>
    <t xml:space="preserve">フェンス</t>
  </si>
  <si>
    <t xml:space="preserve">既設遡及工事</t>
  </si>
  <si>
    <t xml:space="preserve">解体・改修に伴う什器、備品等の撤去及び処分</t>
  </si>
  <si>
    <r>
      <rPr>
        <sz val="9"/>
        <color rgb="FFFF0000"/>
        <rFont val="HG丸ｺﾞｼｯｸM-PRO"/>
        <family val="0"/>
        <charset val="1"/>
      </rPr>
      <t xml:space="preserve">ITV</t>
    </r>
    <r>
      <rPr>
        <sz val="9"/>
        <color rgb="FFFF0000"/>
        <rFont val="WenQuanYi Zen Hei"/>
        <family val="2"/>
      </rPr>
      <t xml:space="preserve">機器</t>
    </r>
  </si>
  <si>
    <t xml:space="preserve">警備保障設備</t>
  </si>
  <si>
    <t xml:space="preserve">非常通報機器</t>
  </si>
  <si>
    <t xml:space="preserve">生産設備用</t>
  </si>
  <si>
    <t xml:space="preserve">合併処理槽</t>
  </si>
  <si>
    <t xml:space="preserve">厨房機器</t>
  </si>
  <si>
    <t xml:space="preserve">官庁指導による追加変更指示事項及び変更申請手数料</t>
  </si>
  <si>
    <t xml:space="preserve">支給品</t>
  </si>
  <si>
    <t xml:space="preserve">工事用電力及び用水（無償）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</si>
</sst>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▲#,##0;&quot;OK&quot;"/>
    <numFmt numFmtId="167" formatCode="#,##0;\▲#,##0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  <font>
      <b val="true"/>
      <sz val="12"/>
      <color rgb="FFFF0000"/>
      <name val="HG丸ｺﾞｼｯｸM-PRO"/>
      <family val="0"/>
      <charset val="1"/>
    </font>
    <font>
      <b val="true"/>
      <sz val="12"/>
      <color rgb="FFFF0000"/>
      <name val="WenQuanYi Zen Hei"/>
      <family val="2"/>
    </font>
    <font>
      <sz val="9"/>
      <color rgb="FFFF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34"/>
    <col collapsed="false" customWidth="true" hidden="false" outlineLevel="0" max="4" min="4" style="1" width="9"/>
    <col collapsed="false" customWidth="true" hidden="false" outlineLevel="0" max="6" min="5" style="1" width="14"/>
    <col collapsed="false" customWidth="true" hidden="false" outlineLevel="0" max="7" min="7" style="1" width="4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customFormat="false" ht="15" hidden="false" customHeight="true" outlineLevel="0" collapsed="false">
      <c r="A5" s="6" t="n">
        <v>1</v>
      </c>
      <c r="B5" s="6" t="s">
        <v>10</v>
      </c>
      <c r="C5" s="7" t="s">
        <v>11</v>
      </c>
      <c r="D5" s="6" t="s">
        <v>12</v>
      </c>
      <c r="E5" s="8" t="n">
        <v>4540000</v>
      </c>
      <c r="F5" s="8" t="n">
        <v>2927690</v>
      </c>
      <c r="G5" s="9"/>
    </row>
    <row r="6" customFormat="false" ht="15" hidden="false" customHeight="true" outlineLevel="0" collapsed="false">
      <c r="A6" s="7" t="n">
        <v>1</v>
      </c>
      <c r="B6" s="6" t="s">
        <v>13</v>
      </c>
      <c r="C6" s="7" t="s">
        <v>14</v>
      </c>
      <c r="D6" s="6" t="s">
        <v>15</v>
      </c>
      <c r="E6" s="8" t="n">
        <v>16690000</v>
      </c>
      <c r="F6" s="8" t="n">
        <v>14921993</v>
      </c>
      <c r="G6" s="10" t="n">
        <f aca="false">E6-(E7+E9)</f>
        <v>0</v>
      </c>
    </row>
    <row r="7" customFormat="false" ht="15" hidden="false" customHeight="true" outlineLevel="0" collapsed="false">
      <c r="A7" s="11" t="n">
        <v>2</v>
      </c>
      <c r="B7" s="11" t="s">
        <v>16</v>
      </c>
      <c r="C7" s="12" t="s">
        <v>17</v>
      </c>
      <c r="D7" s="11" t="s">
        <v>18</v>
      </c>
      <c r="E7" s="13" t="n">
        <v>5700000</v>
      </c>
      <c r="F7" s="13" t="n">
        <v>5100048</v>
      </c>
      <c r="G7" s="14" t="n">
        <f aca="false">E7-(E8)</f>
        <v>0</v>
      </c>
    </row>
    <row r="8" customFormat="false" ht="15" hidden="false" customHeight="true" outlineLevel="0" collapsed="false">
      <c r="A8" s="12" t="n">
        <v>3</v>
      </c>
      <c r="B8" s="11" t="s">
        <v>19</v>
      </c>
      <c r="C8" s="12" t="s">
        <v>20</v>
      </c>
      <c r="D8" s="11" t="s">
        <v>21</v>
      </c>
      <c r="E8" s="13" t="n">
        <v>5700000</v>
      </c>
      <c r="F8" s="13" t="n">
        <v>5100048</v>
      </c>
      <c r="G8" s="12"/>
    </row>
    <row r="9" customFormat="false" ht="15" hidden="false" customHeight="true" outlineLevel="0" collapsed="false">
      <c r="A9" s="12" t="n">
        <v>2</v>
      </c>
      <c r="B9" s="11" t="s">
        <v>22</v>
      </c>
      <c r="C9" s="12" t="s">
        <v>23</v>
      </c>
      <c r="D9" s="11" t="s">
        <v>24</v>
      </c>
      <c r="E9" s="13" t="n">
        <v>10990000</v>
      </c>
      <c r="F9" s="13" t="n">
        <v>9821945</v>
      </c>
      <c r="G9" s="14" t="n">
        <f aca="false">E9-(E10+E11+E12+E13+E14+E15+E16+E17+E18+E19)</f>
        <v>0</v>
      </c>
    </row>
    <row r="10" customFormat="false" ht="15" hidden="false" customHeight="true" outlineLevel="0" collapsed="false">
      <c r="A10" s="12" t="n">
        <v>3</v>
      </c>
      <c r="B10" s="11" t="s">
        <v>19</v>
      </c>
      <c r="C10" s="12" t="s">
        <v>25</v>
      </c>
      <c r="D10" s="11" t="s">
        <v>26</v>
      </c>
      <c r="E10" s="13" t="n">
        <v>1450000</v>
      </c>
      <c r="F10" s="13" t="n">
        <v>1296000</v>
      </c>
      <c r="G10" s="12"/>
    </row>
    <row r="11" customFormat="false" ht="15" hidden="false" customHeight="true" outlineLevel="0" collapsed="false">
      <c r="A11" s="12" t="n">
        <v>3</v>
      </c>
      <c r="B11" s="11" t="s">
        <v>27</v>
      </c>
      <c r="C11" s="12" t="s">
        <v>28</v>
      </c>
      <c r="D11" s="11" t="s">
        <v>29</v>
      </c>
      <c r="E11" s="13" t="n">
        <v>1610000</v>
      </c>
      <c r="F11" s="13" t="n">
        <v>1439000</v>
      </c>
      <c r="G11" s="12"/>
    </row>
    <row r="12" customFormat="false" ht="15" hidden="false" customHeight="true" outlineLevel="0" collapsed="false">
      <c r="A12" s="12" t="n">
        <v>3</v>
      </c>
      <c r="B12" s="11" t="s">
        <v>30</v>
      </c>
      <c r="C12" s="12" t="s">
        <v>31</v>
      </c>
      <c r="D12" s="11" t="s">
        <v>32</v>
      </c>
      <c r="E12" s="13" t="n">
        <v>952000</v>
      </c>
      <c r="F12" s="13" t="n">
        <v>850000</v>
      </c>
      <c r="G12" s="12"/>
    </row>
    <row r="13" customFormat="false" ht="15" hidden="false" customHeight="true" outlineLevel="0" collapsed="false">
      <c r="A13" s="12" t="n">
        <v>3</v>
      </c>
      <c r="B13" s="11" t="s">
        <v>33</v>
      </c>
      <c r="C13" s="12" t="s">
        <v>34</v>
      </c>
      <c r="D13" s="11" t="s">
        <v>35</v>
      </c>
      <c r="E13" s="13" t="n">
        <v>193000</v>
      </c>
      <c r="F13" s="13" t="n">
        <v>173000</v>
      </c>
      <c r="G13" s="12"/>
    </row>
    <row r="14" customFormat="false" ht="15" hidden="false" customHeight="true" outlineLevel="0" collapsed="false">
      <c r="A14" s="12" t="n">
        <v>3</v>
      </c>
      <c r="B14" s="11" t="s">
        <v>36</v>
      </c>
      <c r="C14" s="12" t="s">
        <v>37</v>
      </c>
      <c r="D14" s="11" t="s">
        <v>38</v>
      </c>
      <c r="E14" s="13" t="n">
        <v>368000</v>
      </c>
      <c r="F14" s="13" t="n">
        <v>329000</v>
      </c>
      <c r="G14" s="12"/>
    </row>
    <row r="15" customFormat="false" ht="15" hidden="false" customHeight="true" outlineLevel="0" collapsed="false">
      <c r="A15" s="12" t="n">
        <v>3</v>
      </c>
      <c r="B15" s="11" t="s">
        <v>39</v>
      </c>
      <c r="C15" s="12" t="s">
        <v>40</v>
      </c>
      <c r="D15" s="11" t="s">
        <v>41</v>
      </c>
      <c r="E15" s="13" t="n">
        <v>118000</v>
      </c>
      <c r="F15" s="13" t="n">
        <v>105000</v>
      </c>
      <c r="G15" s="12"/>
    </row>
    <row r="16" customFormat="false" ht="15" hidden="false" customHeight="true" outlineLevel="0" collapsed="false">
      <c r="A16" s="12" t="n">
        <v>3</v>
      </c>
      <c r="B16" s="11" t="s">
        <v>42</v>
      </c>
      <c r="C16" s="12" t="s">
        <v>43</v>
      </c>
      <c r="D16" s="11" t="s">
        <v>44</v>
      </c>
      <c r="E16" s="13" t="n">
        <v>352000</v>
      </c>
      <c r="F16" s="13" t="n">
        <v>315000</v>
      </c>
      <c r="G16" s="12"/>
    </row>
    <row r="17" customFormat="false" ht="15" hidden="false" customHeight="true" outlineLevel="0" collapsed="false">
      <c r="A17" s="12" t="n">
        <v>3</v>
      </c>
      <c r="B17" s="11" t="s">
        <v>45</v>
      </c>
      <c r="C17" s="12" t="s">
        <v>46</v>
      </c>
      <c r="D17" s="11" t="s">
        <v>47</v>
      </c>
      <c r="E17" s="13" t="n">
        <v>100000</v>
      </c>
      <c r="F17" s="13" t="n">
        <v>89000</v>
      </c>
      <c r="G17" s="12"/>
    </row>
    <row r="18" customFormat="false" ht="15" hidden="false" customHeight="true" outlineLevel="0" collapsed="false">
      <c r="A18" s="12" t="n">
        <v>3</v>
      </c>
      <c r="B18" s="11" t="s">
        <v>48</v>
      </c>
      <c r="C18" s="12" t="s">
        <v>49</v>
      </c>
      <c r="D18" s="11" t="s">
        <v>50</v>
      </c>
      <c r="E18" s="13" t="n">
        <v>5175000</v>
      </c>
      <c r="F18" s="13" t="n">
        <v>4623945</v>
      </c>
      <c r="G18" s="12"/>
    </row>
    <row r="19" customFormat="false" ht="15" hidden="false" customHeight="true" outlineLevel="0" collapsed="false">
      <c r="A19" s="12" t="n">
        <v>3</v>
      </c>
      <c r="B19" s="11" t="s">
        <v>51</v>
      </c>
      <c r="C19" s="12" t="s">
        <v>52</v>
      </c>
      <c r="D19" s="11" t="s">
        <v>53</v>
      </c>
      <c r="E19" s="13" t="n">
        <v>672000</v>
      </c>
      <c r="F19" s="13" t="n">
        <v>602000</v>
      </c>
      <c r="G19" s="12"/>
    </row>
    <row r="20" customFormat="false" ht="15" hidden="false" customHeight="true" outlineLevel="0" collapsed="false">
      <c r="A20" s="7" t="n">
        <v>1</v>
      </c>
      <c r="B20" s="6" t="s">
        <v>54</v>
      </c>
      <c r="C20" s="7" t="s">
        <v>55</v>
      </c>
      <c r="D20" s="6" t="s">
        <v>56</v>
      </c>
      <c r="E20" s="8" t="n">
        <v>209540000</v>
      </c>
      <c r="F20" s="8" t="n">
        <v>186303411</v>
      </c>
      <c r="G20" s="10" t="n">
        <f aca="false">E20-(E21+E36+E46+E52)</f>
        <v>0</v>
      </c>
    </row>
    <row r="21" customFormat="false" ht="15" hidden="false" customHeight="true" outlineLevel="0" collapsed="false">
      <c r="A21" s="12" t="n">
        <v>2</v>
      </c>
      <c r="B21" s="11" t="s">
        <v>57</v>
      </c>
      <c r="C21" s="12" t="s">
        <v>17</v>
      </c>
      <c r="D21" s="11" t="s">
        <v>58</v>
      </c>
      <c r="E21" s="13" t="n">
        <v>139549000</v>
      </c>
      <c r="F21" s="13" t="n">
        <v>123564265</v>
      </c>
      <c r="G21" s="14" t="n">
        <f aca="false">E21-(E22+E23+E24+E25+E26+E27+E28+E29+E30+E31+E32+E33)</f>
        <v>0</v>
      </c>
    </row>
    <row r="22" customFormat="false" ht="15" hidden="false" customHeight="true" outlineLevel="0" collapsed="false">
      <c r="A22" s="12" t="n">
        <v>3</v>
      </c>
      <c r="B22" s="11" t="s">
        <v>19</v>
      </c>
      <c r="C22" s="12" t="s">
        <v>59</v>
      </c>
      <c r="D22" s="11" t="s">
        <v>60</v>
      </c>
      <c r="E22" s="13" t="n">
        <v>4345372</v>
      </c>
      <c r="F22" s="13" t="n">
        <v>4363245</v>
      </c>
      <c r="G22" s="12"/>
    </row>
    <row r="23" customFormat="false" ht="15" hidden="false" customHeight="true" outlineLevel="0" collapsed="false">
      <c r="A23" s="12" t="n">
        <v>3</v>
      </c>
      <c r="B23" s="11" t="s">
        <v>27</v>
      </c>
      <c r="C23" s="12" t="s">
        <v>61</v>
      </c>
      <c r="D23" s="11" t="s">
        <v>62</v>
      </c>
      <c r="E23" s="13" t="n">
        <v>476900</v>
      </c>
      <c r="F23" s="13" t="n">
        <v>427090</v>
      </c>
      <c r="G23" s="12"/>
    </row>
    <row r="24" customFormat="false" ht="15" hidden="false" customHeight="true" outlineLevel="0" collapsed="false">
      <c r="A24" s="12" t="n">
        <v>3</v>
      </c>
      <c r="B24" s="11" t="s">
        <v>30</v>
      </c>
      <c r="C24" s="12" t="s">
        <v>63</v>
      </c>
      <c r="D24" s="11" t="s">
        <v>64</v>
      </c>
      <c r="E24" s="13" t="n">
        <v>337100</v>
      </c>
      <c r="F24" s="13" t="n">
        <v>300860</v>
      </c>
      <c r="G24" s="12"/>
    </row>
    <row r="25" customFormat="false" ht="15" hidden="false" customHeight="true" outlineLevel="0" collapsed="false">
      <c r="A25" s="12" t="n">
        <v>3</v>
      </c>
      <c r="B25" s="11" t="s">
        <v>33</v>
      </c>
      <c r="C25" s="12" t="s">
        <v>65</v>
      </c>
      <c r="D25" s="11" t="s">
        <v>66</v>
      </c>
      <c r="E25" s="13" t="n">
        <v>14987300</v>
      </c>
      <c r="F25" s="13" t="n">
        <v>13500781</v>
      </c>
      <c r="G25" s="12"/>
    </row>
    <row r="26" customFormat="false" ht="15" hidden="false" customHeight="true" outlineLevel="0" collapsed="false">
      <c r="A26" s="12" t="n">
        <v>3</v>
      </c>
      <c r="B26" s="11" t="s">
        <v>36</v>
      </c>
      <c r="C26" s="12" t="s">
        <v>67</v>
      </c>
      <c r="D26" s="11" t="s">
        <v>68</v>
      </c>
      <c r="E26" s="13" t="n">
        <v>18986738</v>
      </c>
      <c r="F26" s="13" t="n">
        <v>16967682</v>
      </c>
      <c r="G26" s="12"/>
    </row>
    <row r="27" customFormat="false" ht="15" hidden="false" customHeight="true" outlineLevel="0" collapsed="false">
      <c r="A27" s="12" t="n">
        <v>3</v>
      </c>
      <c r="B27" s="11" t="s">
        <v>39</v>
      </c>
      <c r="C27" s="12" t="s">
        <v>69</v>
      </c>
      <c r="D27" s="11" t="s">
        <v>70</v>
      </c>
      <c r="E27" s="13" t="n">
        <v>8285600</v>
      </c>
      <c r="F27" s="13" t="n">
        <v>7401700</v>
      </c>
      <c r="G27" s="12"/>
    </row>
    <row r="28" customFormat="false" ht="15" hidden="false" customHeight="true" outlineLevel="0" collapsed="false">
      <c r="A28" s="12" t="n">
        <v>3</v>
      </c>
      <c r="B28" s="11" t="s">
        <v>42</v>
      </c>
      <c r="C28" s="12" t="s">
        <v>71</v>
      </c>
      <c r="D28" s="11" t="s">
        <v>72</v>
      </c>
      <c r="E28" s="13" t="n">
        <v>1115138</v>
      </c>
      <c r="F28" s="13" t="n">
        <v>999511</v>
      </c>
      <c r="G28" s="12"/>
    </row>
    <row r="29" customFormat="false" ht="15" hidden="false" customHeight="true" outlineLevel="0" collapsed="false">
      <c r="A29" s="12" t="n">
        <v>3</v>
      </c>
      <c r="B29" s="11" t="s">
        <v>45</v>
      </c>
      <c r="C29" s="12" t="s">
        <v>73</v>
      </c>
      <c r="D29" s="11" t="s">
        <v>74</v>
      </c>
      <c r="E29" s="13" t="n">
        <v>52688330</v>
      </c>
      <c r="F29" s="13" t="n">
        <v>48000476</v>
      </c>
      <c r="G29" s="12"/>
    </row>
    <row r="30" customFormat="false" ht="15" hidden="false" customHeight="true" outlineLevel="0" collapsed="false">
      <c r="A30" s="12" t="n">
        <v>3</v>
      </c>
      <c r="B30" s="11" t="s">
        <v>48</v>
      </c>
      <c r="C30" s="12" t="s">
        <v>75</v>
      </c>
      <c r="D30" s="11" t="s">
        <v>76</v>
      </c>
      <c r="E30" s="13" t="n">
        <v>2198888</v>
      </c>
      <c r="F30" s="13" t="n">
        <v>1999890</v>
      </c>
      <c r="G30" s="12"/>
    </row>
    <row r="31" customFormat="false" ht="15" hidden="false" customHeight="true" outlineLevel="0" collapsed="false">
      <c r="A31" s="12" t="n">
        <v>3</v>
      </c>
      <c r="B31" s="11" t="s">
        <v>51</v>
      </c>
      <c r="C31" s="12" t="s">
        <v>77</v>
      </c>
      <c r="D31" s="11" t="s">
        <v>78</v>
      </c>
      <c r="E31" s="13" t="n">
        <v>25936424</v>
      </c>
      <c r="F31" s="13" t="n">
        <v>20350220</v>
      </c>
      <c r="G31" s="12"/>
    </row>
    <row r="32" customFormat="false" ht="15" hidden="false" customHeight="true" outlineLevel="0" collapsed="false">
      <c r="A32" s="12" t="n">
        <v>3</v>
      </c>
      <c r="B32" s="11" t="s">
        <v>79</v>
      </c>
      <c r="C32" s="12" t="s">
        <v>80</v>
      </c>
      <c r="D32" s="11" t="s">
        <v>81</v>
      </c>
      <c r="E32" s="13" t="n">
        <v>7562450</v>
      </c>
      <c r="F32" s="13" t="n">
        <v>6899700</v>
      </c>
      <c r="G32" s="12"/>
    </row>
    <row r="33" customFormat="false" ht="15" hidden="false" customHeight="true" outlineLevel="0" collapsed="false">
      <c r="A33" s="12" t="n">
        <v>3</v>
      </c>
      <c r="B33" s="11" t="s">
        <v>82</v>
      </c>
      <c r="C33" s="12" t="s">
        <v>83</v>
      </c>
      <c r="D33" s="11" t="s">
        <v>84</v>
      </c>
      <c r="E33" s="13" t="n">
        <v>2628760</v>
      </c>
      <c r="F33" s="13" t="n">
        <v>2353110</v>
      </c>
      <c r="G33" s="14" t="n">
        <f aca="false">E33-(E34+E35)</f>
        <v>0</v>
      </c>
    </row>
    <row r="34" customFormat="false" ht="15" hidden="false" customHeight="true" outlineLevel="0" collapsed="false">
      <c r="A34" s="12" t="n">
        <v>4</v>
      </c>
      <c r="B34" s="11" t="s">
        <v>85</v>
      </c>
      <c r="C34" s="12" t="s">
        <v>86</v>
      </c>
      <c r="D34" s="11" t="s">
        <v>87</v>
      </c>
      <c r="E34" s="13" t="n">
        <v>503260</v>
      </c>
      <c r="F34" s="13" t="n">
        <v>450200</v>
      </c>
      <c r="G34" s="12"/>
    </row>
    <row r="35" customFormat="false" ht="15" hidden="false" customHeight="true" outlineLevel="0" collapsed="false">
      <c r="A35" s="12" t="n">
        <v>4</v>
      </c>
      <c r="B35" s="11" t="s">
        <v>88</v>
      </c>
      <c r="C35" s="12" t="s">
        <v>89</v>
      </c>
      <c r="D35" s="11" t="s">
        <v>90</v>
      </c>
      <c r="E35" s="13" t="n">
        <v>2125500</v>
      </c>
      <c r="F35" s="13" t="n">
        <v>1902910</v>
      </c>
      <c r="G35" s="12"/>
    </row>
    <row r="36" customFormat="false" ht="15" hidden="false" customHeight="true" outlineLevel="0" collapsed="false">
      <c r="A36" s="12" t="n">
        <v>2</v>
      </c>
      <c r="B36" s="11" t="s">
        <v>91</v>
      </c>
      <c r="C36" s="12" t="s">
        <v>92</v>
      </c>
      <c r="D36" s="11" t="s">
        <v>93</v>
      </c>
      <c r="E36" s="13" t="n">
        <v>53910000</v>
      </c>
      <c r="F36" s="13" t="n">
        <v>48365146</v>
      </c>
      <c r="G36" s="14" t="n">
        <f aca="false">E36-(E37+E38+E39+E40+E41+E42+E43+E44+E45)</f>
        <v>0</v>
      </c>
    </row>
    <row r="37" customFormat="false" ht="15" hidden="false" customHeight="true" outlineLevel="0" collapsed="false">
      <c r="A37" s="12" t="n">
        <v>3</v>
      </c>
      <c r="B37" s="11" t="s">
        <v>19</v>
      </c>
      <c r="C37" s="12" t="s">
        <v>94</v>
      </c>
      <c r="D37" s="11" t="s">
        <v>95</v>
      </c>
      <c r="E37" s="13" t="n">
        <v>7988000</v>
      </c>
      <c r="F37" s="13" t="n">
        <v>7141998</v>
      </c>
      <c r="G37" s="12"/>
    </row>
    <row r="38" customFormat="false" ht="15" hidden="false" customHeight="true" outlineLevel="0" collapsed="false">
      <c r="A38" s="12" t="n">
        <v>3</v>
      </c>
      <c r="B38" s="11" t="s">
        <v>27</v>
      </c>
      <c r="C38" s="12" t="s">
        <v>96</v>
      </c>
      <c r="D38" s="11" t="s">
        <v>97</v>
      </c>
      <c r="E38" s="13" t="n">
        <v>1391000</v>
      </c>
      <c r="F38" s="13" t="n">
        <v>1245000</v>
      </c>
      <c r="G38" s="12"/>
    </row>
    <row r="39" customFormat="false" ht="15" hidden="false" customHeight="true" outlineLevel="0" collapsed="false">
      <c r="A39" s="12" t="n">
        <v>3</v>
      </c>
      <c r="B39" s="11" t="s">
        <v>30</v>
      </c>
      <c r="C39" s="12" t="s">
        <v>98</v>
      </c>
      <c r="D39" s="11" t="s">
        <v>99</v>
      </c>
      <c r="E39" s="13" t="n">
        <v>18127320</v>
      </c>
      <c r="F39" s="13" t="n">
        <v>16368458</v>
      </c>
      <c r="G39" s="12"/>
    </row>
    <row r="40" customFormat="false" ht="15" hidden="false" customHeight="true" outlineLevel="0" collapsed="false">
      <c r="A40" s="12" t="n">
        <v>3</v>
      </c>
      <c r="B40" s="11" t="s">
        <v>33</v>
      </c>
      <c r="C40" s="12" t="s">
        <v>100</v>
      </c>
      <c r="D40" s="11" t="s">
        <v>101</v>
      </c>
      <c r="E40" s="13" t="n">
        <v>13391680</v>
      </c>
      <c r="F40" s="13" t="n">
        <v>11964684</v>
      </c>
      <c r="G40" s="12"/>
    </row>
    <row r="41" customFormat="false" ht="15" hidden="false" customHeight="true" outlineLevel="0" collapsed="false">
      <c r="A41" s="12" t="n">
        <v>3</v>
      </c>
      <c r="B41" s="11" t="s">
        <v>36</v>
      </c>
      <c r="C41" s="12" t="s">
        <v>102</v>
      </c>
      <c r="D41" s="11" t="s">
        <v>103</v>
      </c>
      <c r="E41" s="13" t="n">
        <v>1155000</v>
      </c>
      <c r="F41" s="13" t="n">
        <v>1033998</v>
      </c>
      <c r="G41" s="12"/>
    </row>
    <row r="42" customFormat="false" ht="15" hidden="false" customHeight="true" outlineLevel="0" collapsed="false">
      <c r="A42" s="12" t="n">
        <v>3</v>
      </c>
      <c r="B42" s="11" t="s">
        <v>39</v>
      </c>
      <c r="C42" s="12" t="s">
        <v>104</v>
      </c>
      <c r="D42" s="11" t="s">
        <v>105</v>
      </c>
      <c r="E42" s="13" t="n">
        <v>6251000</v>
      </c>
      <c r="F42" s="13" t="n">
        <v>5593000</v>
      </c>
      <c r="G42" s="12"/>
    </row>
    <row r="43" customFormat="false" ht="15" hidden="false" customHeight="true" outlineLevel="0" collapsed="false">
      <c r="A43" s="12" t="n">
        <v>3</v>
      </c>
      <c r="B43" s="11" t="s">
        <v>42</v>
      </c>
      <c r="C43" s="12" t="s">
        <v>106</v>
      </c>
      <c r="D43" s="11" t="s">
        <v>107</v>
      </c>
      <c r="E43" s="13" t="n">
        <v>529000</v>
      </c>
      <c r="F43" s="13" t="n">
        <v>474004</v>
      </c>
      <c r="G43" s="12"/>
    </row>
    <row r="44" customFormat="false" ht="15" hidden="false" customHeight="true" outlineLevel="0" collapsed="false">
      <c r="A44" s="12" t="n">
        <v>3</v>
      </c>
      <c r="B44" s="11" t="s">
        <v>45</v>
      </c>
      <c r="C44" s="12" t="s">
        <v>108</v>
      </c>
      <c r="D44" s="11" t="s">
        <v>109</v>
      </c>
      <c r="E44" s="13" t="n">
        <v>1558000</v>
      </c>
      <c r="F44" s="13" t="n">
        <v>1394004</v>
      </c>
      <c r="G44" s="12"/>
    </row>
    <row r="45" customFormat="false" ht="15" hidden="false" customHeight="true" outlineLevel="0" collapsed="false">
      <c r="A45" s="12" t="n">
        <v>3</v>
      </c>
      <c r="B45" s="11" t="s">
        <v>48</v>
      </c>
      <c r="C45" s="12" t="s">
        <v>110</v>
      </c>
      <c r="D45" s="11" t="s">
        <v>111</v>
      </c>
      <c r="E45" s="13" t="n">
        <v>3519000</v>
      </c>
      <c r="F45" s="13" t="n">
        <v>3150000</v>
      </c>
      <c r="G45" s="12"/>
    </row>
    <row r="46" customFormat="false" ht="15" hidden="false" customHeight="true" outlineLevel="0" collapsed="false">
      <c r="A46" s="12" t="n">
        <v>2</v>
      </c>
      <c r="B46" s="11" t="s">
        <v>112</v>
      </c>
      <c r="C46" s="12" t="s">
        <v>113</v>
      </c>
      <c r="D46" s="11" t="s">
        <v>114</v>
      </c>
      <c r="E46" s="13" t="n">
        <v>14450000</v>
      </c>
      <c r="F46" s="13" t="n">
        <v>12916000</v>
      </c>
      <c r="G46" s="14" t="n">
        <f aca="false">E46-(E47+E48+E51)</f>
        <v>0</v>
      </c>
    </row>
    <row r="47" customFormat="false" ht="15" hidden="false" customHeight="true" outlineLevel="0" collapsed="false">
      <c r="A47" s="12" t="n">
        <v>3</v>
      </c>
      <c r="B47" s="11" t="s">
        <v>19</v>
      </c>
      <c r="C47" s="12" t="s">
        <v>115</v>
      </c>
      <c r="D47" s="11" t="s">
        <v>116</v>
      </c>
      <c r="E47" s="13" t="n">
        <v>2215000</v>
      </c>
      <c r="F47" s="13" t="n">
        <v>1980000</v>
      </c>
      <c r="G47" s="12"/>
    </row>
    <row r="48" customFormat="false" ht="15" hidden="false" customHeight="true" outlineLevel="0" collapsed="false">
      <c r="A48" s="12" t="n">
        <v>3</v>
      </c>
      <c r="B48" s="11" t="s">
        <v>27</v>
      </c>
      <c r="C48" s="12" t="s">
        <v>117</v>
      </c>
      <c r="D48" s="11" t="s">
        <v>118</v>
      </c>
      <c r="E48" s="13" t="n">
        <v>1184000</v>
      </c>
      <c r="F48" s="13" t="n">
        <v>1059000</v>
      </c>
      <c r="G48" s="14" t="n">
        <f aca="false">E48-(E49+E50)</f>
        <v>0</v>
      </c>
    </row>
    <row r="49" customFormat="false" ht="15" hidden="false" customHeight="true" outlineLevel="0" collapsed="false">
      <c r="A49" s="12" t="n">
        <v>4</v>
      </c>
      <c r="B49" s="11" t="s">
        <v>119</v>
      </c>
      <c r="C49" s="12" t="s">
        <v>120</v>
      </c>
      <c r="D49" s="11" t="s">
        <v>121</v>
      </c>
      <c r="E49" s="13" t="n">
        <v>607000</v>
      </c>
      <c r="F49" s="13" t="n">
        <v>543000</v>
      </c>
      <c r="G49" s="12"/>
    </row>
    <row r="50" customFormat="false" ht="15" hidden="false" customHeight="true" outlineLevel="0" collapsed="false">
      <c r="A50" s="12" t="n">
        <v>4</v>
      </c>
      <c r="B50" s="11" t="s">
        <v>122</v>
      </c>
      <c r="C50" s="12" t="s">
        <v>123</v>
      </c>
      <c r="D50" s="11" t="s">
        <v>124</v>
      </c>
      <c r="E50" s="13" t="n">
        <v>577000</v>
      </c>
      <c r="F50" s="13" t="n">
        <v>516000</v>
      </c>
      <c r="G50" s="12"/>
    </row>
    <row r="51" customFormat="false" ht="15" hidden="false" customHeight="true" outlineLevel="0" collapsed="false">
      <c r="A51" s="12" t="n">
        <v>3</v>
      </c>
      <c r="B51" s="11" t="s">
        <v>30</v>
      </c>
      <c r="C51" s="12" t="s">
        <v>125</v>
      </c>
      <c r="D51" s="11" t="s">
        <v>126</v>
      </c>
      <c r="E51" s="13" t="n">
        <v>11051000</v>
      </c>
      <c r="F51" s="13" t="n">
        <v>9877000</v>
      </c>
      <c r="G51" s="12"/>
    </row>
    <row r="52" customFormat="false" ht="15" hidden="false" customHeight="true" outlineLevel="0" collapsed="false">
      <c r="A52" s="12" t="n">
        <v>2</v>
      </c>
      <c r="B52" s="11" t="s">
        <v>127</v>
      </c>
      <c r="C52" s="12" t="s">
        <v>128</v>
      </c>
      <c r="D52" s="11" t="s">
        <v>129</v>
      </c>
      <c r="E52" s="13" t="n">
        <v>1631000</v>
      </c>
      <c r="F52" s="13" t="n">
        <v>1458000</v>
      </c>
      <c r="G52" s="14" t="n">
        <f aca="false">E52-(E53+E54+E55+E56)</f>
        <v>0</v>
      </c>
    </row>
    <row r="53" customFormat="false" ht="15" hidden="false" customHeight="true" outlineLevel="0" collapsed="false">
      <c r="A53" s="12" t="n">
        <v>3</v>
      </c>
      <c r="B53" s="11" t="s">
        <v>19</v>
      </c>
      <c r="C53" s="12" t="s">
        <v>130</v>
      </c>
      <c r="D53" s="11" t="s">
        <v>131</v>
      </c>
      <c r="E53" s="13" t="n">
        <v>504000</v>
      </c>
      <c r="F53" s="13" t="n">
        <v>450000</v>
      </c>
      <c r="G53" s="12"/>
    </row>
    <row r="54" customFormat="false" ht="15" hidden="false" customHeight="true" outlineLevel="0" collapsed="false">
      <c r="A54" s="12" t="n">
        <v>3</v>
      </c>
      <c r="B54" s="11" t="s">
        <v>27</v>
      </c>
      <c r="C54" s="12" t="s">
        <v>132</v>
      </c>
      <c r="D54" s="11" t="s">
        <v>133</v>
      </c>
      <c r="E54" s="13" t="n">
        <v>95000</v>
      </c>
      <c r="F54" s="13" t="n">
        <v>85000</v>
      </c>
      <c r="G54" s="12"/>
    </row>
    <row r="55" customFormat="false" ht="15" hidden="false" customHeight="true" outlineLevel="0" collapsed="false">
      <c r="A55" s="12" t="n">
        <v>3</v>
      </c>
      <c r="B55" s="11" t="s">
        <v>30</v>
      </c>
      <c r="C55" s="12" t="s">
        <v>134</v>
      </c>
      <c r="D55" s="11" t="s">
        <v>135</v>
      </c>
      <c r="E55" s="13" t="n">
        <v>445000</v>
      </c>
      <c r="F55" s="13" t="n">
        <v>398000</v>
      </c>
      <c r="G55" s="12"/>
    </row>
    <row r="56" customFormat="false" ht="15" hidden="false" customHeight="true" outlineLevel="0" collapsed="false">
      <c r="A56" s="12" t="n">
        <v>3</v>
      </c>
      <c r="B56" s="11" t="s">
        <v>33</v>
      </c>
      <c r="C56" s="12" t="s">
        <v>136</v>
      </c>
      <c r="D56" s="11" t="s">
        <v>137</v>
      </c>
      <c r="E56" s="13" t="n">
        <v>587000</v>
      </c>
      <c r="F56" s="13" t="n">
        <v>525000</v>
      </c>
      <c r="G56" s="12"/>
    </row>
    <row r="57" customFormat="false" ht="15" hidden="false" customHeight="true" outlineLevel="0" collapsed="false">
      <c r="A57" s="7" t="n">
        <v>1</v>
      </c>
      <c r="B57" s="6" t="s">
        <v>138</v>
      </c>
      <c r="C57" s="7" t="s">
        <v>139</v>
      </c>
      <c r="D57" s="6" t="s">
        <v>140</v>
      </c>
      <c r="E57" s="8" t="n">
        <v>31230000</v>
      </c>
      <c r="F57" s="8" t="n">
        <v>11267000</v>
      </c>
      <c r="G57" s="9"/>
    </row>
    <row r="58" customFormat="false" ht="15" hidden="false" customHeight="true" outlineLevel="0" collapsed="false">
      <c r="A58" s="12" t="n">
        <v>2</v>
      </c>
      <c r="B58" s="12"/>
      <c r="C58" s="12" t="s">
        <v>141</v>
      </c>
      <c r="D58" s="11" t="s">
        <v>140</v>
      </c>
      <c r="E58" s="13"/>
      <c r="F58" s="13" t="n">
        <v>1633500</v>
      </c>
      <c r="G58" s="12"/>
    </row>
    <row r="59" customFormat="false" ht="15" hidden="false" customHeight="true" outlineLevel="0" collapsed="false">
      <c r="A59" s="12" t="n">
        <v>2</v>
      </c>
      <c r="B59" s="12"/>
      <c r="C59" s="12" t="s">
        <v>142</v>
      </c>
      <c r="D59" s="11" t="s">
        <v>140</v>
      </c>
      <c r="E59" s="13"/>
      <c r="F59" s="13" t="n">
        <v>5424000</v>
      </c>
      <c r="G59" s="12"/>
    </row>
    <row r="61" customFormat="false" ht="15" hidden="false" customHeight="true" outlineLevel="0" collapsed="false">
      <c r="A61" s="15"/>
      <c r="B61" s="15"/>
      <c r="C61" s="16" t="s">
        <v>143</v>
      </c>
      <c r="D61" s="16"/>
      <c r="E61" s="17" t="n">
        <f aca="false">E5+E6+E20+E57</f>
        <v>262000000</v>
      </c>
      <c r="F61" s="17" t="n">
        <f aca="false">F5+F6+F20+F57+F58+F59</f>
        <v>222477594</v>
      </c>
      <c r="G61" s="16" t="s">
        <v>144</v>
      </c>
    </row>
    <row r="62" customFormat="false" ht="15" hidden="false" customHeight="true" outlineLevel="0" collapsed="false">
      <c r="A62" s="16"/>
      <c r="B62" s="16"/>
      <c r="C62" s="16" t="s">
        <v>145</v>
      </c>
      <c r="D62" s="16"/>
      <c r="E62" s="17" t="n">
        <f aca="false">E61-262000000</f>
        <v>0</v>
      </c>
      <c r="F62" s="17" t="n">
        <f aca="false">F61-222477594</f>
        <v>0</v>
      </c>
      <c r="G62" s="15" t="s">
        <v>146</v>
      </c>
    </row>
    <row r="63" customFormat="false" ht="15" hidden="false" customHeight="true" outlineLevel="0" collapsed="false">
      <c r="A63" s="16"/>
      <c r="B63" s="16"/>
      <c r="C63" s="16" t="s">
        <v>147</v>
      </c>
      <c r="D63" s="16"/>
      <c r="E63" s="17" t="n">
        <v>26200000</v>
      </c>
      <c r="F63" s="17"/>
      <c r="G63" s="16" t="s">
        <v>148</v>
      </c>
    </row>
    <row r="64" customFormat="false" ht="15" hidden="false" customHeight="true" outlineLevel="0" collapsed="false">
      <c r="A64" s="16"/>
      <c r="B64" s="16"/>
      <c r="C64" s="16" t="s">
        <v>149</v>
      </c>
      <c r="D64" s="16"/>
      <c r="E64" s="17" t="n">
        <f aca="false">E61+E63</f>
        <v>288200000</v>
      </c>
      <c r="F64" s="17"/>
      <c r="G64" s="15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8"/>
    <col collapsed="false" customWidth="true" hidden="false" outlineLevel="0" max="7" min="7" style="1" width="70"/>
  </cols>
  <sheetData>
    <row r="1" customFormat="false" ht="16.5" hidden="false" customHeight="true" outlineLevel="0" collapsed="false">
      <c r="A1" s="18" t="s">
        <v>151</v>
      </c>
    </row>
    <row r="2" customFormat="false" ht="15" hidden="false" customHeight="true" outlineLevel="0" collapsed="false">
      <c r="A2" s="3" t="s">
        <v>152</v>
      </c>
    </row>
    <row r="4" customFormat="false" ht="24.75" hidden="false" customHeight="true" outlineLevel="0" collapsed="false">
      <c r="A4" s="5" t="s">
        <v>4</v>
      </c>
      <c r="B4" s="5" t="s">
        <v>153</v>
      </c>
      <c r="C4" s="19" t="s">
        <v>154</v>
      </c>
      <c r="D4" s="19" t="s">
        <v>155</v>
      </c>
      <c r="E4" s="5" t="s">
        <v>156</v>
      </c>
      <c r="F4" s="19" t="s">
        <v>157</v>
      </c>
      <c r="G4" s="5" t="s">
        <v>158</v>
      </c>
    </row>
    <row r="5" customFormat="false" ht="13.5" hidden="false" customHeight="true" outlineLevel="0" collapsed="false">
      <c r="A5" s="20" t="s">
        <v>10</v>
      </c>
      <c r="B5" s="21" t="s">
        <v>11</v>
      </c>
      <c r="C5" s="22" t="n">
        <v>4540000</v>
      </c>
      <c r="D5" s="22" t="n">
        <v>4540000</v>
      </c>
      <c r="E5" s="22" t="n">
        <f aca="false">D5-C5</f>
        <v>0</v>
      </c>
      <c r="F5" s="20" t="s">
        <v>12</v>
      </c>
      <c r="G5" s="21" t="s">
        <v>159</v>
      </c>
    </row>
    <row r="6" customFormat="false" ht="51.75" hidden="false" customHeight="true" outlineLevel="0" collapsed="false">
      <c r="A6" s="20" t="s">
        <v>16</v>
      </c>
      <c r="B6" s="21" t="s">
        <v>160</v>
      </c>
      <c r="C6" s="22" t="n">
        <v>7960000</v>
      </c>
      <c r="D6" s="22" t="n">
        <v>5700000</v>
      </c>
      <c r="E6" s="22" t="n">
        <f aca="false">D6-C6</f>
        <v>-2260000</v>
      </c>
      <c r="F6" s="20" t="s">
        <v>21</v>
      </c>
      <c r="G6" s="21" t="s">
        <v>161</v>
      </c>
    </row>
    <row r="7" customFormat="false" ht="13.5" hidden="false" customHeight="true" outlineLevel="0" collapsed="false">
      <c r="A7" s="20" t="s">
        <v>22</v>
      </c>
      <c r="B7" s="21" t="s">
        <v>162</v>
      </c>
      <c r="C7" s="22" t="n">
        <v>10990000</v>
      </c>
      <c r="D7" s="22" t="n">
        <v>10990000</v>
      </c>
      <c r="E7" s="22" t="n">
        <f aca="false">D7-C7</f>
        <v>0</v>
      </c>
      <c r="F7" s="20" t="s">
        <v>163</v>
      </c>
      <c r="G7" s="21" t="s">
        <v>159</v>
      </c>
    </row>
    <row r="8" customFormat="false" ht="25.5" hidden="false" customHeight="true" outlineLevel="0" collapsed="false">
      <c r="A8" s="20" t="s">
        <v>164</v>
      </c>
      <c r="B8" s="21" t="s">
        <v>165</v>
      </c>
      <c r="C8" s="22" t="n">
        <v>4826702</v>
      </c>
      <c r="D8" s="22" t="n">
        <v>4345372</v>
      </c>
      <c r="E8" s="22" t="n">
        <f aca="false">D8-C8</f>
        <v>-481330</v>
      </c>
      <c r="F8" s="20" t="s">
        <v>60</v>
      </c>
      <c r="G8" s="21" t="s">
        <v>166</v>
      </c>
    </row>
    <row r="9" customFormat="false" ht="13.5" hidden="false" customHeight="true" outlineLevel="0" collapsed="false">
      <c r="A9" s="20" t="s">
        <v>167</v>
      </c>
      <c r="B9" s="21" t="s">
        <v>168</v>
      </c>
      <c r="C9" s="22" t="n">
        <v>15801300</v>
      </c>
      <c r="D9" s="22" t="n">
        <v>15801300</v>
      </c>
      <c r="E9" s="22" t="n">
        <f aca="false">D9-C9</f>
        <v>0</v>
      </c>
      <c r="F9" s="20" t="s">
        <v>169</v>
      </c>
      <c r="G9" s="21" t="s">
        <v>159</v>
      </c>
    </row>
    <row r="10" customFormat="false" ht="13.5" hidden="false" customHeight="true" outlineLevel="0" collapsed="false">
      <c r="A10" s="20" t="s">
        <v>170</v>
      </c>
      <c r="B10" s="21" t="s">
        <v>171</v>
      </c>
      <c r="C10" s="22" t="n">
        <v>20138838</v>
      </c>
      <c r="D10" s="22" t="n">
        <v>18986738</v>
      </c>
      <c r="E10" s="22" t="n">
        <f aca="false">D10-C10</f>
        <v>-1152100</v>
      </c>
      <c r="F10" s="20" t="s">
        <v>68</v>
      </c>
      <c r="G10" s="21" t="s">
        <v>172</v>
      </c>
    </row>
    <row r="11" customFormat="false" ht="13.5" hidden="false" customHeight="true" outlineLevel="0" collapsed="false">
      <c r="A11" s="20" t="s">
        <v>173</v>
      </c>
      <c r="B11" s="21" t="s">
        <v>174</v>
      </c>
      <c r="C11" s="22" t="n">
        <v>62089068</v>
      </c>
      <c r="D11" s="22" t="n">
        <v>62089068</v>
      </c>
      <c r="E11" s="22" t="n">
        <f aca="false">D11-C11</f>
        <v>0</v>
      </c>
      <c r="F11" s="20" t="s">
        <v>175</v>
      </c>
      <c r="G11" s="21" t="s">
        <v>159</v>
      </c>
    </row>
    <row r="12" customFormat="false" ht="39" hidden="false" customHeight="true" outlineLevel="0" collapsed="false">
      <c r="A12" s="20" t="s">
        <v>176</v>
      </c>
      <c r="B12" s="21" t="s">
        <v>177</v>
      </c>
      <c r="C12" s="22" t="n">
        <v>46124228</v>
      </c>
      <c r="D12" s="22" t="n">
        <v>2198888</v>
      </c>
      <c r="E12" s="22" t="n">
        <f aca="false">D12-C12</f>
        <v>-43925340</v>
      </c>
      <c r="F12" s="20" t="s">
        <v>76</v>
      </c>
      <c r="G12" s="21" t="s">
        <v>178</v>
      </c>
    </row>
    <row r="13" customFormat="false" ht="51.75" hidden="false" customHeight="true" outlineLevel="0" collapsed="false">
      <c r="A13" s="20" t="s">
        <v>179</v>
      </c>
      <c r="B13" s="21" t="s">
        <v>180</v>
      </c>
      <c r="C13" s="22" t="n">
        <v>1511084</v>
      </c>
      <c r="D13" s="22" t="n">
        <v>25936424</v>
      </c>
      <c r="E13" s="22" t="n">
        <f aca="false">D13-C13</f>
        <v>24425340</v>
      </c>
      <c r="F13" s="20" t="s">
        <v>78</v>
      </c>
      <c r="G13" s="21" t="s">
        <v>181</v>
      </c>
    </row>
    <row r="14" customFormat="false" ht="13.5" hidden="false" customHeight="true" outlineLevel="0" collapsed="false">
      <c r="A14" s="20" t="s">
        <v>182</v>
      </c>
      <c r="B14" s="21" t="s">
        <v>183</v>
      </c>
      <c r="C14" s="22" t="n">
        <v>10568020</v>
      </c>
      <c r="D14" s="22" t="n">
        <v>7562450</v>
      </c>
      <c r="E14" s="22" t="n">
        <f aca="false">D14-C14</f>
        <v>-3005570</v>
      </c>
      <c r="F14" s="20" t="s">
        <v>81</v>
      </c>
      <c r="G14" s="21" t="s">
        <v>172</v>
      </c>
    </row>
    <row r="15" customFormat="false" ht="13.5" hidden="false" customHeight="true" outlineLevel="0" collapsed="false">
      <c r="A15" s="20" t="s">
        <v>184</v>
      </c>
      <c r="B15" s="21" t="s">
        <v>185</v>
      </c>
      <c r="C15" s="22" t="n">
        <v>2628760</v>
      </c>
      <c r="D15" s="22" t="n">
        <v>2628760</v>
      </c>
      <c r="E15" s="22" t="n">
        <f aca="false">D15-C15</f>
        <v>0</v>
      </c>
      <c r="F15" s="20" t="s">
        <v>84</v>
      </c>
      <c r="G15" s="21" t="s">
        <v>159</v>
      </c>
    </row>
    <row r="16" customFormat="false" ht="13.5" hidden="false" customHeight="true" outlineLevel="0" collapsed="false">
      <c r="A16" s="20" t="s">
        <v>186</v>
      </c>
      <c r="B16" s="21" t="s">
        <v>187</v>
      </c>
      <c r="C16" s="22" t="n">
        <v>25850000</v>
      </c>
      <c r="D16" s="22" t="n">
        <v>18127320</v>
      </c>
      <c r="E16" s="22" t="n">
        <f aca="false">D16-C16</f>
        <v>-7722680</v>
      </c>
      <c r="F16" s="20" t="s">
        <v>99</v>
      </c>
      <c r="G16" s="21" t="s">
        <v>188</v>
      </c>
    </row>
    <row r="17" customFormat="false" ht="13.5" hidden="false" customHeight="true" outlineLevel="0" collapsed="false">
      <c r="A17" s="20" t="s">
        <v>189</v>
      </c>
      <c r="B17" s="21" t="s">
        <v>190</v>
      </c>
      <c r="C17" s="22" t="n">
        <v>13700000</v>
      </c>
      <c r="D17" s="22" t="n">
        <v>13391680</v>
      </c>
      <c r="E17" s="22" t="n">
        <f aca="false">D17-C17</f>
        <v>-308320</v>
      </c>
      <c r="F17" s="20" t="s">
        <v>101</v>
      </c>
      <c r="G17" s="21" t="s">
        <v>172</v>
      </c>
    </row>
    <row r="18" customFormat="false" ht="13.5" hidden="false" customHeight="true" outlineLevel="0" collapsed="false">
      <c r="A18" s="20" t="s">
        <v>191</v>
      </c>
      <c r="B18" s="21" t="s">
        <v>192</v>
      </c>
      <c r="C18" s="22" t="n">
        <v>22391000</v>
      </c>
      <c r="D18" s="22" t="n">
        <v>22391000</v>
      </c>
      <c r="E18" s="22" t="n">
        <f aca="false">D18-C18</f>
        <v>0</v>
      </c>
      <c r="F18" s="20" t="s">
        <v>193</v>
      </c>
      <c r="G18" s="21" t="s">
        <v>159</v>
      </c>
    </row>
    <row r="19" customFormat="false" ht="13.5" hidden="false" customHeight="true" outlineLevel="0" collapsed="false">
      <c r="A19" s="20" t="s">
        <v>112</v>
      </c>
      <c r="B19" s="21" t="s">
        <v>194</v>
      </c>
      <c r="C19" s="22" t="n">
        <v>14450000</v>
      </c>
      <c r="D19" s="22" t="n">
        <v>14450000</v>
      </c>
      <c r="E19" s="22" t="n">
        <f aca="false">D19-C19</f>
        <v>0</v>
      </c>
      <c r="F19" s="20" t="s">
        <v>195</v>
      </c>
      <c r="G19" s="21" t="s">
        <v>159</v>
      </c>
    </row>
    <row r="20" customFormat="false" ht="13.5" hidden="false" customHeight="true" outlineLevel="0" collapsed="false">
      <c r="A20" s="20" t="s">
        <v>127</v>
      </c>
      <c r="B20" s="21" t="s">
        <v>196</v>
      </c>
      <c r="C20" s="22" t="n">
        <v>1631000</v>
      </c>
      <c r="D20" s="22" t="n">
        <v>1631000</v>
      </c>
      <c r="E20" s="22" t="n">
        <f aca="false">D20-C20</f>
        <v>0</v>
      </c>
      <c r="F20" s="20" t="s">
        <v>197</v>
      </c>
      <c r="G20" s="21" t="s">
        <v>159</v>
      </c>
    </row>
    <row r="21" customFormat="false" ht="13.5" hidden="false" customHeight="true" outlineLevel="0" collapsed="false">
      <c r="A21" s="20" t="s">
        <v>138</v>
      </c>
      <c r="B21" s="21" t="s">
        <v>139</v>
      </c>
      <c r="C21" s="22" t="n">
        <v>39800000</v>
      </c>
      <c r="D21" s="22" t="n">
        <v>31230000</v>
      </c>
      <c r="E21" s="22" t="n">
        <f aca="false">D21-C21</f>
        <v>-8570000</v>
      </c>
      <c r="F21" s="20" t="s">
        <v>140</v>
      </c>
      <c r="G21" s="21" t="s">
        <v>198</v>
      </c>
    </row>
    <row r="22" customFormat="false" ht="15" hidden="false" customHeight="true" outlineLevel="0" collapsed="false">
      <c r="A22" s="6"/>
      <c r="B22" s="7" t="s">
        <v>199</v>
      </c>
      <c r="C22" s="23" t="n">
        <f aca="false">SUM(C5:C21)</f>
        <v>305000000</v>
      </c>
      <c r="D22" s="23" t="n">
        <f aca="false">SUM(D5:D21)</f>
        <v>262000000</v>
      </c>
      <c r="E22" s="23" t="n">
        <f aca="false">D22-C22</f>
        <v>-43000000</v>
      </c>
      <c r="F22" s="7"/>
      <c r="G22" s="6" t="s">
        <v>200</v>
      </c>
    </row>
    <row r="23" customFormat="false" ht="15" hidden="false" customHeight="true" outlineLevel="0" collapsed="false">
      <c r="A23" s="7"/>
      <c r="B23" s="7" t="s">
        <v>201</v>
      </c>
      <c r="C23" s="23" t="n">
        <v>30500000</v>
      </c>
      <c r="D23" s="23" t="n">
        <v>26200000</v>
      </c>
      <c r="E23" s="23" t="n">
        <f aca="false">D23-C23</f>
        <v>-4300000</v>
      </c>
      <c r="F23" s="7"/>
      <c r="G23" s="7"/>
    </row>
    <row r="24" customFormat="false" ht="15" hidden="false" customHeight="true" outlineLevel="0" collapsed="false">
      <c r="A24" s="7"/>
      <c r="B24" s="7" t="s">
        <v>149</v>
      </c>
      <c r="C24" s="23" t="n">
        <f aca="false">C22+C23</f>
        <v>335500000</v>
      </c>
      <c r="D24" s="23" t="n">
        <f aca="false">D22+D23</f>
        <v>288200000</v>
      </c>
      <c r="E24" s="23" t="n">
        <f aca="false">D24-C24</f>
        <v>-47300000</v>
      </c>
      <c r="F24" s="7"/>
      <c r="G24" s="7"/>
    </row>
    <row r="26" customFormat="false" ht="15" hidden="false" customHeight="true" outlineLevel="0" collapsed="false">
      <c r="A26" s="4" t="s">
        <v>202</v>
      </c>
    </row>
    <row r="27" customFormat="false" ht="15" hidden="false" customHeight="true" outlineLevel="0" collapsed="false">
      <c r="B27" s="3" t="s">
        <v>203</v>
      </c>
      <c r="C27" s="24" t="n">
        <v>335500000</v>
      </c>
    </row>
    <row r="28" customFormat="false" ht="15" hidden="false" customHeight="true" outlineLevel="0" collapsed="false">
      <c r="B28" s="3" t="s">
        <v>204</v>
      </c>
      <c r="C28" s="24" t="n">
        <v>67100000</v>
      </c>
    </row>
    <row r="29" customFormat="false" ht="15" hidden="false" customHeight="true" outlineLevel="0" collapsed="false">
      <c r="B29" s="3" t="s">
        <v>205</v>
      </c>
      <c r="C29" s="24" t="n">
        <v>215600000</v>
      </c>
    </row>
    <row r="30" customFormat="false" ht="15" hidden="false" customHeight="true" outlineLevel="0" collapsed="false">
      <c r="B30" s="3" t="s">
        <v>206</v>
      </c>
      <c r="C30" s="24" t="n">
        <v>74800000</v>
      </c>
    </row>
    <row r="31" customFormat="false" ht="15" hidden="false" customHeight="true" outlineLevel="0" collapsed="false">
      <c r="B31" s="3" t="s">
        <v>207</v>
      </c>
      <c r="C31" s="24" t="n">
        <v>693000000</v>
      </c>
    </row>
    <row r="32" customFormat="false" ht="15" hidden="false" customHeight="true" outlineLevel="0" collapsed="false">
      <c r="B32" s="3" t="s">
        <v>208</v>
      </c>
      <c r="C32" s="24" t="n">
        <v>630000000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44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46"/>
  </cols>
  <sheetData>
    <row r="1" customFormat="false" ht="24.75" hidden="false" customHeight="true" outlineLevel="0" collapsed="false">
      <c r="A1" s="5" t="s">
        <v>209</v>
      </c>
      <c r="B1" s="5" t="s">
        <v>210</v>
      </c>
      <c r="C1" s="5" t="s">
        <v>211</v>
      </c>
      <c r="D1" s="5" t="s">
        <v>6</v>
      </c>
      <c r="E1" s="5" t="s">
        <v>212</v>
      </c>
      <c r="F1" s="5" t="s">
        <v>213</v>
      </c>
      <c r="G1" s="5" t="s">
        <v>214</v>
      </c>
    </row>
    <row r="2" customFormat="false" ht="24.75" hidden="false" customHeight="true" outlineLevel="0" collapsed="false">
      <c r="A2" s="25" t="s">
        <v>19</v>
      </c>
      <c r="B2" s="21" t="s">
        <v>215</v>
      </c>
      <c r="C2" s="21" t="s">
        <v>216</v>
      </c>
      <c r="D2" s="25" t="s">
        <v>217</v>
      </c>
      <c r="E2" s="26" t="n">
        <v>301000</v>
      </c>
      <c r="F2" s="21" t="s">
        <v>218</v>
      </c>
      <c r="G2" s="21" t="s">
        <v>219</v>
      </c>
    </row>
    <row r="3" customFormat="false" ht="24.75" hidden="false" customHeight="true" outlineLevel="0" collapsed="false">
      <c r="A3" s="25" t="s">
        <v>19</v>
      </c>
      <c r="B3" s="21" t="s">
        <v>220</v>
      </c>
      <c r="C3" s="21" t="s">
        <v>221</v>
      </c>
      <c r="D3" s="25" t="s">
        <v>222</v>
      </c>
      <c r="E3" s="26" t="n">
        <v>374000</v>
      </c>
      <c r="F3" s="21" t="s">
        <v>218</v>
      </c>
      <c r="G3" s="21"/>
    </row>
    <row r="4" customFormat="false" ht="15" hidden="false" customHeight="true" outlineLevel="0" collapsed="false">
      <c r="A4" s="25" t="s">
        <v>19</v>
      </c>
      <c r="B4" s="21" t="s">
        <v>220</v>
      </c>
      <c r="C4" s="21" t="s">
        <v>223</v>
      </c>
      <c r="D4" s="25" t="s">
        <v>12</v>
      </c>
      <c r="E4" s="26" t="n">
        <v>100000</v>
      </c>
      <c r="F4" s="21" t="s">
        <v>224</v>
      </c>
      <c r="G4" s="21" t="s">
        <v>225</v>
      </c>
    </row>
    <row r="5" customFormat="false" ht="24.75" hidden="false" customHeight="true" outlineLevel="0" collapsed="false">
      <c r="A5" s="25" t="s">
        <v>27</v>
      </c>
      <c r="B5" s="25" t="s">
        <v>226</v>
      </c>
      <c r="C5" s="21" t="s">
        <v>227</v>
      </c>
      <c r="D5" s="25" t="s">
        <v>217</v>
      </c>
      <c r="E5" s="26" t="n">
        <v>50120</v>
      </c>
      <c r="F5" s="21" t="s">
        <v>228</v>
      </c>
      <c r="G5" s="21" t="s">
        <v>229</v>
      </c>
    </row>
    <row r="6" customFormat="false" ht="15" hidden="false" customHeight="true" outlineLevel="0" collapsed="false">
      <c r="A6" s="25" t="s">
        <v>30</v>
      </c>
      <c r="B6" s="21" t="s">
        <v>230</v>
      </c>
      <c r="C6" s="21" t="s">
        <v>231</v>
      </c>
      <c r="D6" s="25" t="s">
        <v>70</v>
      </c>
      <c r="E6" s="26" t="n">
        <v>369000</v>
      </c>
      <c r="F6" s="21" t="s">
        <v>228</v>
      </c>
      <c r="G6" s="21" t="s">
        <v>232</v>
      </c>
    </row>
    <row r="7" customFormat="false" ht="24.75" hidden="false" customHeight="true" outlineLevel="0" collapsed="false">
      <c r="A7" s="25" t="s">
        <v>30</v>
      </c>
      <c r="B7" s="21" t="s">
        <v>220</v>
      </c>
      <c r="C7" s="21" t="s">
        <v>233</v>
      </c>
      <c r="D7" s="25" t="s">
        <v>70</v>
      </c>
      <c r="E7" s="26" t="n">
        <v>61600</v>
      </c>
      <c r="F7" s="21" t="s">
        <v>228</v>
      </c>
      <c r="G7" s="21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60"/>
  </cols>
  <sheetData>
    <row r="1" customFormat="false" ht="16.5" hidden="false" customHeight="true" outlineLevel="0" collapsed="false">
      <c r="A1" s="2" t="s">
        <v>235</v>
      </c>
    </row>
    <row r="2" customFormat="false" ht="15" hidden="false" customHeight="true" outlineLevel="0" collapsed="false">
      <c r="A2" s="3" t="s">
        <v>236</v>
      </c>
    </row>
    <row r="4" customFormat="false" ht="15" hidden="false" customHeight="true" outlineLevel="0" collapsed="false">
      <c r="A4" s="27" t="s">
        <v>237</v>
      </c>
      <c r="B4" s="28" t="s">
        <v>238</v>
      </c>
      <c r="C4" s="28" t="s">
        <v>214</v>
      </c>
    </row>
    <row r="5" customFormat="false" ht="15" hidden="false" customHeight="true" outlineLevel="0" collapsed="false">
      <c r="A5" s="25" t="n">
        <v>1</v>
      </c>
      <c r="B5" s="21" t="s">
        <v>239</v>
      </c>
      <c r="C5" s="25"/>
    </row>
    <row r="6" customFormat="false" ht="15" hidden="false" customHeight="true" outlineLevel="0" collapsed="false">
      <c r="A6" s="25" t="n">
        <v>2</v>
      </c>
      <c r="B6" s="21" t="s">
        <v>240</v>
      </c>
      <c r="C6" s="21" t="s">
        <v>241</v>
      </c>
    </row>
    <row r="7" customFormat="false" ht="15" hidden="false" customHeight="true" outlineLevel="0" collapsed="false">
      <c r="A7" s="25" t="n">
        <v>3</v>
      </c>
      <c r="B7" s="21" t="s">
        <v>242</v>
      </c>
      <c r="C7" s="25"/>
    </row>
    <row r="8" customFormat="false" ht="15" hidden="false" customHeight="true" outlineLevel="0" collapsed="false">
      <c r="A8" s="25" t="n">
        <v>4</v>
      </c>
      <c r="B8" s="21" t="s">
        <v>243</v>
      </c>
      <c r="C8" s="25"/>
    </row>
    <row r="9" customFormat="false" ht="15" hidden="false" customHeight="true" outlineLevel="0" collapsed="false">
      <c r="A9" s="25" t="n">
        <v>5</v>
      </c>
      <c r="B9" s="21" t="s">
        <v>244</v>
      </c>
      <c r="C9" s="25"/>
    </row>
    <row r="10" customFormat="false" ht="15" hidden="false" customHeight="true" outlineLevel="0" collapsed="false">
      <c r="A10" s="25" t="n">
        <v>6</v>
      </c>
      <c r="B10" s="21" t="s">
        <v>245</v>
      </c>
      <c r="C10" s="25"/>
    </row>
    <row r="11" customFormat="false" ht="15" hidden="false" customHeight="true" outlineLevel="0" collapsed="false">
      <c r="A11" s="25" t="n">
        <v>7</v>
      </c>
      <c r="B11" s="21" t="s">
        <v>246</v>
      </c>
      <c r="C11" s="25"/>
    </row>
    <row r="12" customFormat="false" ht="15" hidden="false" customHeight="true" outlineLevel="0" collapsed="false">
      <c r="A12" s="25" t="n">
        <v>8</v>
      </c>
      <c r="B12" s="21" t="s">
        <v>247</v>
      </c>
      <c r="C12" s="25"/>
    </row>
    <row r="13" customFormat="false" ht="15" hidden="false" customHeight="true" outlineLevel="0" collapsed="false">
      <c r="A13" s="25" t="n">
        <v>9</v>
      </c>
      <c r="B13" s="21" t="s">
        <v>248</v>
      </c>
      <c r="C13" s="25"/>
    </row>
    <row r="14" customFormat="false" ht="15" hidden="false" customHeight="true" outlineLevel="0" collapsed="false">
      <c r="A14" s="25" t="n">
        <v>10</v>
      </c>
      <c r="B14" s="21" t="s">
        <v>249</v>
      </c>
      <c r="C14" s="25"/>
    </row>
    <row r="15" customFormat="false" ht="15" hidden="false" customHeight="true" outlineLevel="0" collapsed="false">
      <c r="A15" s="25" t="n">
        <v>11</v>
      </c>
      <c r="B15" s="21" t="s">
        <v>250</v>
      </c>
      <c r="C15" s="25"/>
    </row>
    <row r="16" customFormat="false" ht="15" hidden="false" customHeight="true" outlineLevel="0" collapsed="false">
      <c r="A16" s="25" t="n">
        <v>12</v>
      </c>
      <c r="B16" s="21" t="s">
        <v>251</v>
      </c>
      <c r="C16" s="25"/>
    </row>
    <row r="17" customFormat="false" ht="15" hidden="false" customHeight="true" outlineLevel="0" collapsed="false">
      <c r="A17" s="25" t="n">
        <v>13</v>
      </c>
      <c r="B17" s="21" t="s">
        <v>252</v>
      </c>
      <c r="C17" s="25"/>
    </row>
    <row r="18" customFormat="false" ht="15" hidden="false" customHeight="true" outlineLevel="0" collapsed="false">
      <c r="A18" s="25" t="n">
        <v>14</v>
      </c>
      <c r="B18" s="21" t="s">
        <v>253</v>
      </c>
      <c r="C18" s="25"/>
    </row>
    <row r="19" customFormat="false" ht="15" hidden="false" customHeight="true" outlineLevel="0" collapsed="false">
      <c r="A19" s="25" t="n">
        <v>15</v>
      </c>
      <c r="B19" s="25" t="s">
        <v>254</v>
      </c>
      <c r="C19" s="25"/>
    </row>
    <row r="20" customFormat="false" ht="15" hidden="false" customHeight="true" outlineLevel="0" collapsed="false">
      <c r="A20" s="25" t="n">
        <v>16</v>
      </c>
      <c r="B20" s="21" t="s">
        <v>255</v>
      </c>
      <c r="C20" s="25"/>
    </row>
    <row r="21" customFormat="false" ht="15" hidden="false" customHeight="true" outlineLevel="0" collapsed="false">
      <c r="A21" s="25" t="n">
        <v>17</v>
      </c>
      <c r="B21" s="21" t="s">
        <v>256</v>
      </c>
      <c r="C21" s="25"/>
    </row>
    <row r="22" customFormat="false" ht="15" hidden="false" customHeight="true" outlineLevel="0" collapsed="false">
      <c r="A22" s="25" t="n">
        <v>18</v>
      </c>
      <c r="B22" s="21" t="s">
        <v>257</v>
      </c>
      <c r="C22" s="25"/>
    </row>
    <row r="23" customFormat="false" ht="15" hidden="false" customHeight="true" outlineLevel="0" collapsed="false">
      <c r="A23" s="25" t="n">
        <v>19</v>
      </c>
      <c r="B23" s="21" t="s">
        <v>258</v>
      </c>
      <c r="C23" s="25"/>
    </row>
    <row r="24" customFormat="false" ht="15" hidden="false" customHeight="true" outlineLevel="0" collapsed="false">
      <c r="A24" s="25" t="n">
        <v>20</v>
      </c>
      <c r="B24" s="21" t="s">
        <v>259</v>
      </c>
      <c r="C24" s="25"/>
    </row>
    <row r="25" customFormat="false" ht="24.75" hidden="false" customHeight="true" outlineLevel="0" collapsed="false">
      <c r="A25" s="25" t="n">
        <v>21</v>
      </c>
      <c r="B25" s="21" t="s">
        <v>260</v>
      </c>
      <c r="C25" s="25" t="s">
        <v>261</v>
      </c>
    </row>
    <row r="26" customFormat="false" ht="15" hidden="false" customHeight="true" outlineLevel="0" collapsed="false">
      <c r="A26" s="25" t="n">
        <v>22</v>
      </c>
      <c r="B26" s="21" t="s">
        <v>262</v>
      </c>
      <c r="C26" s="25"/>
    </row>
    <row r="27" customFormat="false" ht="15" hidden="false" customHeight="true" outlineLevel="0" collapsed="false">
      <c r="A27" s="25" t="n">
        <v>23</v>
      </c>
      <c r="B27" s="21" t="s">
        <v>263</v>
      </c>
      <c r="C27" s="25" t="s">
        <v>264</v>
      </c>
    </row>
    <row r="28" customFormat="false" ht="15" hidden="false" customHeight="true" outlineLevel="0" collapsed="false">
      <c r="A28" s="25" t="n">
        <v>24</v>
      </c>
      <c r="B28" s="21" t="s">
        <v>265</v>
      </c>
      <c r="C28" s="25"/>
    </row>
    <row r="29" customFormat="false" ht="15" hidden="false" customHeight="true" outlineLevel="0" collapsed="false">
      <c r="A29" s="25" t="n">
        <v>25</v>
      </c>
      <c r="B29" s="21" t="s">
        <v>266</v>
      </c>
      <c r="C29" s="25"/>
    </row>
    <row r="30" customFormat="false" ht="15" hidden="false" customHeight="true" outlineLevel="0" collapsed="false">
      <c r="A30" s="25" t="n">
        <v>26</v>
      </c>
      <c r="B30" s="21" t="s">
        <v>267</v>
      </c>
      <c r="C30" s="25"/>
    </row>
    <row r="31" customFormat="false" ht="15" hidden="false" customHeight="true" outlineLevel="0" collapsed="false">
      <c r="A31" s="25" t="n">
        <v>27</v>
      </c>
      <c r="B31" s="21" t="s">
        <v>268</v>
      </c>
      <c r="C31" s="25"/>
    </row>
    <row r="32" customFormat="false" ht="15" hidden="false" customHeight="true" outlineLevel="0" collapsed="false">
      <c r="A32" s="25" t="n">
        <v>28</v>
      </c>
      <c r="B32" s="21" t="s">
        <v>269</v>
      </c>
      <c r="C32" s="25"/>
    </row>
    <row r="33" customFormat="false" ht="15" hidden="false" customHeight="true" outlineLevel="0" collapsed="false">
      <c r="A33" s="25" t="n">
        <v>29</v>
      </c>
      <c r="B33" s="21" t="s">
        <v>270</v>
      </c>
      <c r="C33" s="25"/>
    </row>
    <row r="34" customFormat="false" ht="15" hidden="false" customHeight="true" outlineLevel="0" collapsed="false">
      <c r="A34" s="25" t="n">
        <v>30</v>
      </c>
      <c r="B34" s="25" t="s">
        <v>271</v>
      </c>
      <c r="C34" s="25"/>
    </row>
    <row r="35" customFormat="false" ht="15" hidden="false" customHeight="true" outlineLevel="0" collapsed="false">
      <c r="A35" s="25" t="n">
        <v>31</v>
      </c>
      <c r="B35" s="21" t="s">
        <v>272</v>
      </c>
      <c r="C35" s="25"/>
    </row>
    <row r="36" customFormat="false" ht="15" hidden="false" customHeight="true" outlineLevel="0" collapsed="false">
      <c r="A36" s="25" t="n">
        <v>32</v>
      </c>
      <c r="B36" s="21" t="s">
        <v>273</v>
      </c>
      <c r="C36" s="25"/>
    </row>
    <row r="37" customFormat="false" ht="15" hidden="false" customHeight="true" outlineLevel="0" collapsed="false">
      <c r="A37" s="25" t="n">
        <v>33</v>
      </c>
      <c r="B37" s="21" t="s">
        <v>274</v>
      </c>
      <c r="C37" s="25"/>
    </row>
    <row r="38" customFormat="false" ht="15" hidden="false" customHeight="true" outlineLevel="0" collapsed="false">
      <c r="A38" s="25" t="n">
        <v>34</v>
      </c>
      <c r="B38" s="21" t="s">
        <v>275</v>
      </c>
      <c r="C38" s="25"/>
    </row>
    <row r="39" customFormat="false" ht="15" hidden="false" customHeight="true" outlineLevel="0" collapsed="false">
      <c r="A39" s="25" t="n">
        <v>35</v>
      </c>
      <c r="B39" s="21" t="s">
        <v>276</v>
      </c>
      <c r="C39" s="25"/>
    </row>
    <row r="40" customFormat="false" ht="15" hidden="false" customHeight="true" outlineLevel="0" collapsed="false">
      <c r="A40" s="25" t="n">
        <v>36</v>
      </c>
      <c r="B40" s="21" t="s">
        <v>277</v>
      </c>
      <c r="C40" s="25"/>
    </row>
    <row r="42" customFormat="false" ht="15" hidden="false" customHeight="true" outlineLevel="0" collapsed="false">
      <c r="A42" s="4" t="s">
        <v>278</v>
      </c>
    </row>
    <row r="43" customFormat="false" ht="15" hidden="false" customHeight="true" outlineLevel="0" collapsed="false">
      <c r="B43" s="3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2026-10-31T12:18:25Z</dcterms:created>
  <dc:creator>openpyxl</dc:creator>
  <dc:description/>
  <dc:language>en-US</dc:language>
  <cp:lastModifiedBy/>
  <dcterms:modified xsi:type="dcterms:W3CDTF">2026-10-31T12:28:54Z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