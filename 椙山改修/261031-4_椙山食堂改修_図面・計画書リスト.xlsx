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<sst xmlns="http://schemas.openxmlformats.org/spreadsheetml/2006/main" count="416" uniqueCount="286">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</sst>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0.36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0.64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inlineStr">
        <is>
          <t>MIDIC-1</t>
        </is>
      </c>
      <c r="C40" s="18" t="inlineStr">
        <is>
          <t>西側　窓際カウンター</t>
        </is>
      </c>
      <c r="D40" s="72"/>
      <c r="E40" s="71"/>
      <c r="F40" s="70" cm="1" t="str">
        <f t="array" ref="F40">IF(AG40="","",I40-H40)</f>
        <v/>
      </c>
      <c r="G40" s="67"/>
      <c r="H40" s="65">
        <v>7</v>
      </c>
      <c r="I40" s="68" cm="1" t="str">
        <f t="array" ref="I40">IF(AG40="","",P40-K40)</f>
        <v/>
      </c>
      <c r="J40" s="67"/>
      <c r="K40" s="65">
        <v>7</v>
      </c>
      <c r="L40" s="68"/>
      <c r="M40" s="68"/>
      <c r="N40" s="68"/>
      <c r="O40" s="68"/>
      <c r="P40" s="68" cm="1" t="str">
        <f t="array" ref="P40">IF(AG40="","",AC40-R40-Q40)</f>
        <v/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8" cm="1" t="str">
        <f t="array" ref="AD40">IF(AG40="","",$AG40-$AF40)</f>
        <v/>
      </c>
      <c r="AE40" s="67"/>
      <c r="AF40" s="83">
        <v>14</v>
      </c>
      <c r="AG40" s="72"/>
      <c r="AH40" s="71"/>
      <c r="AI40" s="70"/>
      <c r="AJ40" s="68"/>
      <c r="AK40" s="68"/>
      <c r="AL40" s="67"/>
      <c r="AM40" s="72"/>
      <c r="AN40" s="75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inlineStr">
        <is>
          <t>MIDIC-2</t>
        </is>
      </c>
      <c r="C41" s="18" t="inlineStr">
        <is>
          <t>西側　ボックス席</t>
        </is>
      </c>
      <c r="D41" s="72"/>
      <c r="E41" s="71"/>
      <c r="F41" s="70" cm="1">
        <f t="array" ref="F41">IF(AG41="","",I41-H41)</f>
        <v>46360</v>
      </c>
      <c r="G41" s="67"/>
      <c r="H41" s="65">
        <v>7</v>
      </c>
      <c r="I41" s="68" cm="1">
        <f t="array" ref="I41">IF(AG41="","",P41-K41)</f>
        <v>46367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46374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46395</v>
      </c>
      <c r="AD41" s="68" cm="1">
        <f t="array" ref="AD41">IF(AG41="","",$AG41-$AF41)</f>
        <v>46395</v>
      </c>
      <c r="AE41" s="67"/>
      <c r="AF41" s="83">
        <v>28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MIDIC-3</t>
        </is>
      </c>
      <c r="C42" s="18" t="inlineStr">
        <is>
          <t>西側　ステンレスカウンター</t>
        </is>
      </c>
      <c r="D42" s="72"/>
      <c r="E42" s="71"/>
      <c r="F42" s="70" cm="1" t="str">
        <f t="array" ref="F42">IF(AG42="","",I42-H42)</f>
        <v/>
      </c>
      <c r="G42" s="67"/>
      <c r="H42" s="65">
        <v>7</v>
      </c>
      <c r="I42" s="68" cm="1" t="str">
        <f t="array" ref="I42">IF(AG42="","",P42-K42)</f>
        <v/>
      </c>
      <c r="J42" s="67"/>
      <c r="K42" s="65">
        <v>7</v>
      </c>
      <c r="L42" s="68"/>
      <c r="M42" s="68"/>
      <c r="N42" s="68"/>
      <c r="O42" s="68"/>
      <c r="P42" s="68" cm="1" t="str">
        <f t="array" ref="P42">IF(AG42="","",AC42-R42-Q42)</f>
        <v/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 t="str">
        <f>IF(AG42="","",WORKDAY(AG42-AF42+1,-1,{46329,46349,46384,46385,46386,46387,46388,46391,46398,46429,46441,46468}))</f>
        <v/>
      </c>
      <c r="AD42" s="68" cm="1" t="str">
        <f t="array" ref="AD42">IF(AG42="","",$AG42-$AF42)</f>
        <v/>
      </c>
      <c r="AE42" s="67"/>
      <c r="AF42" s="83"/>
      <c r="AG42" s="72"/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MIDIC-4</t>
        </is>
      </c>
      <c r="C43" s="18" t="inlineStr">
        <is>
          <t>西側・正面　木パネル貼り</t>
        </is>
      </c>
      <c r="D43" s="72"/>
      <c r="E43" s="71"/>
      <c r="F43" s="70" cm="1" t="str">
        <f t="array" ref="F43">IF(AG43="","",I43-H43)</f>
        <v/>
      </c>
      <c r="G43" s="67"/>
      <c r="H43" s="65">
        <v>7</v>
      </c>
      <c r="I43" s="68" cm="1" t="str">
        <f t="array" ref="I43">IF(AG43="","",P43-K43)</f>
        <v/>
      </c>
      <c r="J43" s="67"/>
      <c r="K43" s="65">
        <v>7</v>
      </c>
      <c r="L43" s="68"/>
      <c r="M43" s="68"/>
      <c r="N43" s="68"/>
      <c r="O43" s="68"/>
      <c r="P43" s="68" cm="1" t="str">
        <f t="array" ref="P43">IF(AG43="","",AC43-R43-Q43)</f>
        <v/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8" cm="1" t="str">
        <f t="array" ref="AD43">IF(AG43="","",$AG43-$AF43)</f>
        <v/>
      </c>
      <c r="AE43" s="67"/>
      <c r="AF43" s="83">
        <v>21</v>
      </c>
      <c r="AG43" s="72"/>
      <c r="AH43" s="71"/>
      <c r="AI43" s="70"/>
      <c r="AJ43" s="68"/>
      <c r="AK43" s="68"/>
      <c r="AL43" s="67"/>
      <c r="AM43" s="72"/>
      <c r="AN43" s="75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MIDIC-5</t>
        </is>
      </c>
      <c r="C44" s="18" t="inlineStr">
        <is>
          <t>東側　窓際カウンター</t>
        </is>
      </c>
      <c r="D44" s="72"/>
      <c r="E44" s="71"/>
      <c r="F44" s="70" cm="1" t="str">
        <f t="array" ref="F44">IF(AG44="","",I44-H44)</f>
        <v/>
      </c>
      <c r="G44" s="67"/>
      <c r="H44" s="65">
        <v>7</v>
      </c>
      <c r="I44" s="68" cm="1" t="str">
        <f t="array" ref="I44">IF(AG44="","",P44-K44)</f>
        <v/>
      </c>
      <c r="J44" s="67"/>
      <c r="K44" s="65">
        <v>7</v>
      </c>
      <c r="L44" s="68"/>
      <c r="M44" s="68"/>
      <c r="N44" s="68"/>
      <c r="O44" s="68"/>
      <c r="P44" s="68" cm="1" t="str">
        <f t="array" ref="P44">IF(AG44="","",AC44-R44-Q44)</f>
        <v/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8" cm="1" t="str">
        <f t="array" ref="AD44">IF(AG44="","",$AG44-$AF44)</f>
        <v/>
      </c>
      <c r="AE44" s="67"/>
      <c r="AF44" s="83">
        <v>14</v>
      </c>
      <c r="AG44" s="72"/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MIDIC-6</t>
        </is>
      </c>
      <c r="C45" s="18" t="inlineStr">
        <is>
          <t>東側　下膳台</t>
        </is>
      </c>
      <c r="D45" s="72"/>
      <c r="E45" s="71"/>
      <c r="F45" s="70" cm="1" t="str">
        <f t="array" ref="F45">IF(AG45="","",I45-H45)</f>
        <v/>
      </c>
      <c r="G45" s="67"/>
      <c r="H45" s="65">
        <v>7</v>
      </c>
      <c r="I45" s="68" cm="1" t="str">
        <f t="array" ref="I45">IF(AG45="","",P45-K45)</f>
        <v/>
      </c>
      <c r="J45" s="67"/>
      <c r="K45" s="65">
        <v>7</v>
      </c>
      <c r="L45" s="68"/>
      <c r="M45" s="68"/>
      <c r="N45" s="68"/>
      <c r="O45" s="68"/>
      <c r="P45" s="68" cm="1" t="str">
        <f t="array" ref="P45">IF(AG45="","",AC45-R45-Q45)</f>
        <v/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8" cm="1" t="str">
        <f t="array" ref="AD45">IF(AG45="","",$AG45-$AF45)</f>
        <v/>
      </c>
      <c r="AE45" s="67"/>
      <c r="AF45" s="83">
        <v>14</v>
      </c>
      <c r="AG45" s="72"/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MIDIC-7</t>
        </is>
      </c>
      <c r="C46" s="18" t="inlineStr">
        <is>
          <t>東側　腰壁</t>
        </is>
      </c>
      <c r="D46" s="72"/>
      <c r="E46" s="71"/>
      <c r="F46" s="70" cm="1" t="str">
        <f t="array" ref="F46">IF(AG46="","",I46-H46)</f>
        <v/>
      </c>
      <c r="G46" s="67"/>
      <c r="H46" s="65">
        <v>7</v>
      </c>
      <c r="I46" s="68" cm="1" t="str">
        <f t="array" ref="I46">IF(AG46="","",P46-K46)</f>
        <v/>
      </c>
      <c r="J46" s="67"/>
      <c r="K46" s="65">
        <v>7</v>
      </c>
      <c r="L46" s="68"/>
      <c r="M46" s="68"/>
      <c r="N46" s="68"/>
      <c r="O46" s="68"/>
      <c r="P46" s="68" cm="1" t="str">
        <f t="array" ref="P46">IF(AG46="","",AC46-R46-Q46)</f>
        <v/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8" cm="1" t="str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MIDIC-8</t>
        </is>
      </c>
      <c r="C47" s="18" t="inlineStr">
        <is>
          <t>正面　手洗いカウンター</t>
        </is>
      </c>
      <c r="D47" s="72"/>
      <c r="E47" s="71"/>
      <c r="F47" s="70" cm="1" t="str">
        <f t="array" ref="F47">IF(AG47="","",I47-H47)</f>
        <v/>
      </c>
      <c r="G47" s="67"/>
      <c r="H47" s="65">
        <v>7</v>
      </c>
      <c r="I47" s="68" cm="1" t="str">
        <f t="array" ref="I47">IF(AG47="","",P47-K47)</f>
        <v/>
      </c>
      <c r="J47" s="67"/>
      <c r="K47" s="65">
        <v>7</v>
      </c>
      <c r="L47" s="68"/>
      <c r="M47" s="68"/>
      <c r="N47" s="68"/>
      <c r="O47" s="68"/>
      <c r="P47" s="68" cm="1" t="str">
        <f t="array" ref="P47">IF(AG47="","",AC47-R47-Q47)</f>
        <v/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8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MIDIC-9</t>
        </is>
      </c>
      <c r="C48" s="18" t="inlineStr">
        <is>
          <t>正面　鏡下地</t>
        </is>
      </c>
      <c r="D48" s="72"/>
      <c r="E48" s="71"/>
      <c r="F48" s="70" cm="1" t="str">
        <f t="array" ref="F48">IF(AG48="","",I48-H48)</f>
        <v/>
      </c>
      <c r="G48" s="67"/>
      <c r="H48" s="65">
        <v>7</v>
      </c>
      <c r="I48" s="68" cm="1" t="str">
        <f t="array" ref="I48">IF(AG48="","",P48-K48)</f>
        <v/>
      </c>
      <c r="J48" s="67"/>
      <c r="K48" s="65">
        <v>7</v>
      </c>
      <c r="L48" s="68"/>
      <c r="M48" s="68"/>
      <c r="N48" s="68"/>
      <c r="O48" s="68"/>
      <c r="P48" s="68" cm="1" t="str">
        <f t="array" ref="P48">IF(AG48="","",AC48-R48-Q48)</f>
        <v/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8" cm="1" t="str">
        <f t="array" ref="AD48">IF(AG48="","",$AG48-$AF48)</f>
        <v/>
      </c>
      <c r="AE48" s="67"/>
      <c r="AF48" s="83">
        <v>7</v>
      </c>
      <c r="AG48" s="72"/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MIDIC-10</t>
        </is>
      </c>
      <c r="C49" s="24" t="inlineStr">
        <is>
          <t>天井・壁　吸音ルーバー（ヒガノ）</t>
        </is>
      </c>
      <c r="D49" s="72"/>
      <c r="E49" s="71"/>
      <c r="F49" s="70" cm="1">
        <f t="array" ref="F49">IF(AG49="","",I49-H49)</f>
        <v>46280</v>
      </c>
      <c r="G49" s="67">
        <v>46300</v>
      </c>
      <c r="H49" s="65">
        <v>7</v>
      </c>
      <c r="I49" s="68" cm="1">
        <f t="array" ref="I49">IF(AG49="","",P49-K49)</f>
        <v>46287</v>
      </c>
      <c r="J49" s="67">
        <v>46302</v>
      </c>
      <c r="K49" s="65">
        <v>7</v>
      </c>
      <c r="L49" s="68">
        <v>46302</v>
      </c>
      <c r="M49" s="68">
        <v>46309</v>
      </c>
      <c r="N49" s="68"/>
      <c r="O49" s="68"/>
      <c r="P49" s="68" cm="1">
        <f t="array" ref="P49">IF(AG49="","",AC49-R49-Q49)</f>
        <v>46294</v>
      </c>
      <c r="Q49" s="69">
        <v>7</v>
      </c>
      <c r="R49" s="69">
        <v>14</v>
      </c>
      <c r="S49" s="68">
        <v>46318</v>
      </c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46315</v>
      </c>
      <c r="AD49" s="68" cm="1">
        <f t="array" ref="AD49">IF(AG49="","",$AG49-$AF49)</f>
        <v>46315</v>
      </c>
      <c r="AE49" s="67"/>
      <c r="AF49" s="83">
        <v>90</v>
      </c>
      <c r="AG49" s="72">
        <v>46405</v>
      </c>
      <c r="AH49" s="71"/>
      <c r="AI49" s="70"/>
      <c r="AJ49" s="68"/>
      <c r="AK49" s="68"/>
      <c r="AL49" s="67"/>
      <c r="AM49" s="72"/>
      <c r="AN49" s="84" t="s">
        <v>116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124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125</v>
      </c>
      <c r="C52" s="18" t="s">
        <v>126</v>
      </c>
      <c r="D52" s="72"/>
      <c r="E52" s="71"/>
      <c r="F52" s="70" cm="1">
        <f t="array" ref="F52">IF(AG52="","",I52-H52)</f>
        <v>46345</v>
      </c>
      <c r="G52" s="67">
        <v>46276</v>
      </c>
      <c r="H52" s="65">
        <v>7</v>
      </c>
      <c r="I52" s="68" cm="1">
        <f t="array" ref="I52">IF(AG52="","",P52-K52)</f>
        <v>46352</v>
      </c>
      <c r="J52" s="67">
        <v>46291</v>
      </c>
      <c r="K52" s="65">
        <v>7</v>
      </c>
      <c r="L52" s="68"/>
      <c r="M52" s="68"/>
      <c r="N52" s="68"/>
      <c r="O52" s="68"/>
      <c r="P52" s="68" cm="1">
        <f t="array" ref="P52">IF(AG52="","",AC52-R52-Q52)</f>
        <v>46359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46380</v>
      </c>
      <c r="AD52" s="68" cm="1">
        <f t="array" ref="AD52">IF(AG52="","",$AG52-$AF52)</f>
        <v>46380</v>
      </c>
      <c r="AE52" s="67"/>
      <c r="AF52" s="83">
        <v>60</v>
      </c>
      <c r="AG52" s="72">
        <v>46440</v>
      </c>
      <c r="AH52" s="71"/>
      <c r="AI52" s="70"/>
      <c r="AJ52" s="68"/>
      <c r="AK52" s="68"/>
      <c r="AL52" s="67"/>
      <c r="AM52" s="72"/>
      <c r="AN52" s="75" t="s">
        <v>127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8" t="s">
        <v>128</v>
      </c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11" t="s">
        <v>129</v>
      </c>
      <c r="C55" s="18" t="s">
        <v>130</v>
      </c>
      <c r="D55" s="72"/>
      <c r="E55" s="71"/>
      <c r="F55" s="70" cm="1">
        <f t="array" ref="F55">IF(AG55="","",I55-H55)</f>
        <v>46381</v>
      </c>
      <c r="G55" s="67">
        <v>46297</v>
      </c>
      <c r="H55" s="65">
        <v>7</v>
      </c>
      <c r="I55" s="68" cm="1">
        <f t="array" ref="I55">IF(AG55="","",P55-K55)</f>
        <v>46388</v>
      </c>
      <c r="J55" s="67">
        <v>46302</v>
      </c>
      <c r="K55" s="65">
        <v>7</v>
      </c>
      <c r="L55" s="68">
        <v>46302</v>
      </c>
      <c r="M55" s="68"/>
      <c r="N55" s="68"/>
      <c r="O55" s="68"/>
      <c r="P55" s="68" cm="1">
        <f t="array" ref="P55">IF(AG55="","",AC55-R55-Q55)</f>
        <v>46395</v>
      </c>
      <c r="Q55" s="69">
        <v>7</v>
      </c>
      <c r="R55" s="69">
        <v>14</v>
      </c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>
        <f>IF(AG55="","",WORKDAY(AG55-AF55+1,-1,{46329,46349,46384,46385,46386,46387,46388,46391,46398,46429,46441,46468}))</f>
        <v>46416</v>
      </c>
      <c r="AD55" s="68" cm="1">
        <f t="array" ref="AD55">IF(AG55="","",$AG55-$AF55)</f>
        <v>46417</v>
      </c>
      <c r="AE55" s="67"/>
      <c r="AF55" s="83">
        <v>30</v>
      </c>
      <c r="AG55" s="72">
        <v>46447</v>
      </c>
      <c r="AH55" s="71"/>
      <c r="AI55" s="70"/>
      <c r="AJ55" s="68"/>
      <c r="AK55" s="68"/>
      <c r="AL55" s="67"/>
      <c r="AM55" s="72"/>
      <c r="AN55" s="75" t="s">
        <v>119</v>
      </c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8" t="s">
        <v>131</v>
      </c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11" t="s">
        <v>132</v>
      </c>
      <c r="C58" s="18" t="s">
        <v>133</v>
      </c>
      <c r="D58" s="72"/>
      <c r="E58" s="71"/>
      <c r="F58" s="70" cm="1">
        <f t="array" ref="F58">IF(AG58="","",I58-H58)</f>
        <v>46395</v>
      </c>
      <c r="G58" s="67"/>
      <c r="H58" s="65">
        <v>7</v>
      </c>
      <c r="I58" s="68" cm="1">
        <f t="array" ref="I58">IF(AG58="","",P58-K58)</f>
        <v>46402</v>
      </c>
      <c r="J58" s="67"/>
      <c r="K58" s="65">
        <v>7</v>
      </c>
      <c r="L58" s="68"/>
      <c r="M58" s="68"/>
      <c r="N58" s="68"/>
      <c r="O58" s="68"/>
      <c r="P58" s="68" cm="1">
        <f t="array" ref="P58">IF(AG58="","",AC58-R58-Q58)</f>
        <v>46409</v>
      </c>
      <c r="Q58" s="69">
        <v>7</v>
      </c>
      <c r="R58" s="69">
        <v>14</v>
      </c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>
        <f>IF(AG58="","",WORKDAY(AG58-AF58+1,-1,{46329,46349,46384,46385,46386,46387,46388,46391,46398,46429,46441,46468}))</f>
        <v>46430</v>
      </c>
      <c r="AD58" s="68" cm="1">
        <f t="array" ref="AD58">IF(AG58="","",$AG58-$AF58)</f>
        <v>46432</v>
      </c>
      <c r="AE58" s="67"/>
      <c r="AF58" s="83">
        <v>30</v>
      </c>
      <c r="AG58" s="72">
        <v>46462</v>
      </c>
      <c r="AH58" s="71"/>
      <c r="AI58" s="70"/>
      <c r="AJ58" s="68"/>
      <c r="AK58" s="68"/>
      <c r="AL58" s="67"/>
      <c r="AM58" s="72"/>
      <c r="AN58" s="75" t="s">
        <v>134</v>
      </c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