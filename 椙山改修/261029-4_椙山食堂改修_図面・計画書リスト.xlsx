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<sst xmlns="http://schemas.openxmlformats.org/spreadsheetml/2006/main" count="416" uniqueCount="286">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</sst>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0.253086419753086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162</v>
      </c>
      <c r="BI3" s="40" cm="1">
        <f t="array" ref="BI3">COUNTA($G$10:$G$210)+COUNTA($J$10:$J$210)+COUNTA($L$10:$L$210)+COUNTA($M$10:$M$210)+COUNTA($S$10:$S$210)+COUNTA($T$10:$T$210)</f>
        <v>41</v>
      </c>
      <c r="BJ3" s="30" t="s">
        <v>23</v>
      </c>
      <c r="BK3" s="32" cm="1">
        <f t="array" ref="BK3">1-BK2</f>
        <v>0.746913580246914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7</v>
      </c>
      <c r="BL4" s="28" cm="1" t="str">
        <f t="array" aca="1" ref="BL4" ca="1">BJ4&amp;": "&amp;BK4&amp;"個"</f>
        <v>赤色: 7個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3</v>
      </c>
      <c r="BL5" s="28" cm="1" t="str">
        <f t="array" aca="1" ref="BL5" ca="1">BJ5&amp;": "&amp;BK5&amp;"個"</f>
        <v>黄色: 3個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cm="1" t="str">
        <f t="array" ref="F11">IF(AG11="","",I11-H11)</f>
        <v/>
      </c>
      <c r="G11" s="67"/>
      <c r="H11" s="65"/>
      <c r="I11" s="66" cm="1" t="str">
        <f t="array" ref="I11">IF(AG11="","",P11-K11)</f>
        <v/>
      </c>
      <c r="J11" s="67"/>
      <c r="K11" s="65"/>
      <c r="L11" s="68"/>
      <c r="M11" s="68"/>
      <c r="N11" s="68"/>
      <c r="O11" s="68"/>
      <c r="P11" s="66" cm="1" t="str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>
        <v>46310</v>
      </c>
      <c r="H13" s="65">
        <v>7</v>
      </c>
      <c r="I13" s="68">
        <f t="shared" si="2"/>
        <v>46377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>
        <v>46310</v>
      </c>
      <c r="H20" s="65">
        <v>7</v>
      </c>
      <c r="I20" s="68">
        <f t="shared" si="2"/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 t="shared" si="3"/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>
        <v>46322</v>
      </c>
      <c r="H27" s="65">
        <v>7</v>
      </c>
      <c r="I27" s="68">
        <f>IF(AG27="","",P27-K27)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cm="1" t="str">
        <f t="array" ref="F28">IF(AG28="","",I28-H28)</f>
        <v/>
      </c>
      <c r="G28" s="67"/>
      <c r="H28" s="65"/>
      <c r="I28" s="66" cm="1" t="str">
        <f t="array" ref="I28">IF(AG28="","",P28-K28)</f>
        <v/>
      </c>
      <c r="J28" s="67"/>
      <c r="K28" s="65"/>
      <c r="L28" s="68"/>
      <c r="M28" s="68"/>
      <c r="N28" s="68"/>
      <c r="O28" s="68"/>
      <c r="P28" s="66" cm="1" t="str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cm="1" t="str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cm="1" t="str">
        <f t="array" ref="F29">IF(AG29="","",I29-H29)</f>
        <v/>
      </c>
      <c r="G29" s="67"/>
      <c r="H29" s="65"/>
      <c r="I29" s="66" cm="1" t="str">
        <f t="array" ref="I29">IF(AG29="","",P29-K29)</f>
        <v/>
      </c>
      <c r="J29" s="67"/>
      <c r="K29" s="65"/>
      <c r="L29" s="68"/>
      <c r="M29" s="68"/>
      <c r="N29" s="68"/>
      <c r="O29" s="68"/>
      <c r="P29" s="66" cm="1" t="str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>
        <v>46314</v>
      </c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cm="1" t="str">
        <f t="array" ref="F31">IF(AG31="","",I31-H31)</f>
        <v/>
      </c>
      <c r="G31" s="67"/>
      <c r="H31" s="65"/>
      <c r="I31" s="66" cm="1" t="str">
        <f t="array" ref="I31">IF(AG31="","",P31-K31)</f>
        <v/>
      </c>
      <c r="J31" s="67"/>
      <c r="K31" s="65"/>
      <c r="L31" s="68"/>
      <c r="M31" s="68"/>
      <c r="N31" s="68"/>
      <c r="O31" s="68"/>
      <c r="P31" s="66" cm="1" t="str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cm="1" t="str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>
        <v>46314</v>
      </c>
      <c r="P32" s="68" cm="1">
        <f t="array" ref="P32">IF(AG32="","",AC32-R32-Q32)</f>
        <v>46311</v>
      </c>
      <c r="Q32" s="69">
        <v>7</v>
      </c>
      <c r="R32" s="69">
        <v>14</v>
      </c>
      <c r="S32" s="68">
        <v>46317</v>
      </c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cm="1" t="str">
        <f t="array" ref="F33">IF(AG33="","",I33-H33)</f>
        <v/>
      </c>
      <c r="G33" s="67"/>
      <c r="H33" s="65"/>
      <c r="I33" s="66" cm="1" t="str">
        <f t="array" ref="I33">IF(AG33="","",P33-K33)</f>
        <v/>
      </c>
      <c r="J33" s="67"/>
      <c r="K33" s="65"/>
      <c r="L33" s="68"/>
      <c r="M33" s="68"/>
      <c r="N33" s="68"/>
      <c r="O33" s="68"/>
      <c r="P33" s="66" cm="1" t="str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cm="1" t="str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>
        <f>A33+1</f>
        <v>23</v>
      </c>
      <c r="B34" s="11" t="inlineStr">
        <is>
          <t>三和-5</t>
        </is>
      </c>
      <c r="C34" s="18" t="inlineStr">
        <is>
          <t>SD点検口</t>
        </is>
      </c>
      <c r="D34" s="72"/>
      <c r="E34" s="71"/>
      <c r="F34" s="70">
        <f>IF(AG34="","",I34-H34)</f>
        <v>46310</v>
      </c>
      <c r="G34" s="67">
        <v>46316</v>
      </c>
      <c r="H34" s="65">
        <v>7</v>
      </c>
      <c r="I34" s="68">
        <f>IF(AG34="","",P34-K34)</f>
        <v>46317</v>
      </c>
      <c r="J34" s="67">
        <v>46317</v>
      </c>
      <c r="K34" s="65">
        <v>7</v>
      </c>
      <c r="L34" s="68">
        <v>46318</v>
      </c>
      <c r="M34" s="68"/>
      <c r="N34" s="68"/>
      <c r="O34" s="68"/>
      <c r="P34" s="68">
        <f>IF(AG34="","",AC34-R34-Q34)</f>
        <v>46324</v>
      </c>
      <c r="Q34" s="69">
        <v>7</v>
      </c>
      <c r="R34" s="69">
        <v>14</v>
      </c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>
        <f>IF(AG34="","",WORKDAY(AG34-AF34+1,-1,{46329,46349,46384,46385,46386,46387,46388,46391,46398,46429,46441,46468}))</f>
        <v>46345</v>
      </c>
      <c r="AD34" s="68">
        <f>IF(AG34="","",$AG34-$AF34)</f>
        <v>46345</v>
      </c>
      <c r="AE34" s="67"/>
      <c r="AF34" s="83">
        <v>60</v>
      </c>
      <c r="AG34" s="72">
        <v>46405</v>
      </c>
      <c r="AH34" s="71"/>
      <c r="AI34" s="70"/>
      <c r="AJ34" s="68"/>
      <c r="AK34" s="68"/>
      <c r="AL34" s="67"/>
      <c r="AM34" s="72"/>
      <c r="AN34" s="84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9"/>
      <c r="D35" s="72"/>
      <c r="E35" s="71"/>
      <c r="F35" s="82" cm="1" t="str">
        <f t="array" ref="F35">IF(AG35="","",I35-H35)</f>
        <v/>
      </c>
      <c r="G35" s="67"/>
      <c r="H35" s="65"/>
      <c r="I35" s="66" cm="1" t="str">
        <f t="array" ref="I35">IF(AG35="","",P35-K35)</f>
        <v/>
      </c>
      <c r="J35" s="67"/>
      <c r="K35" s="65"/>
      <c r="L35" s="68"/>
      <c r="M35" s="68"/>
      <c r="N35" s="68"/>
      <c r="O35" s="68"/>
      <c r="P35" s="66" cm="1" t="str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cm="1" t="str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9"/>
      <c r="C36" s="18" t="s">
        <v>109</v>
      </c>
      <c r="D36" s="72"/>
      <c r="E36" s="71"/>
      <c r="F36" s="82" cm="1" t="str">
        <f t="array" ref="F36">IF(AG36="","",I36-H36)</f>
        <v/>
      </c>
      <c r="G36" s="67"/>
      <c r="H36" s="65"/>
      <c r="I36" s="66" cm="1" t="str">
        <f t="array" ref="I36">IF(AG36="","",P36-K36)</f>
        <v/>
      </c>
      <c r="J36" s="67"/>
      <c r="K36" s="65"/>
      <c r="L36" s="68"/>
      <c r="M36" s="68"/>
      <c r="N36" s="68"/>
      <c r="O36" s="68"/>
      <c r="P36" s="66" cm="1" t="str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 t="str">
        <f>IF(AG36="","",WORKDAY(AG36-AF36+1,-1,{46329,46349,46384,46385,46386,46387,46388,46391,46398,46429,46441,46468}))</f>
        <v/>
      </c>
      <c r="AD36" s="66" cm="1" t="str">
        <f t="array" ref="AD36">IF(AG36="","",$AG36-$AF36)</f>
        <v/>
      </c>
      <c r="AE36" s="67"/>
      <c r="AF36" s="83"/>
      <c r="AG36" s="72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11" t="s">
        <v>110</v>
      </c>
      <c r="C37" s="24" t="s">
        <v>111</v>
      </c>
      <c r="D37" s="72"/>
      <c r="E37" s="71"/>
      <c r="F37" s="70" cm="1">
        <f t="array" ref="F37">IF(AG37="","",I37-H37)</f>
        <v>46286</v>
      </c>
      <c r="G37" s="67">
        <v>46282</v>
      </c>
      <c r="H37" s="65">
        <v>7</v>
      </c>
      <c r="I37" s="68" cm="1">
        <f t="array" ref="I37">IF(AG37="","",P37-K37)</f>
        <v>46293</v>
      </c>
      <c r="J37" s="67">
        <v>46289</v>
      </c>
      <c r="K37" s="65">
        <v>7</v>
      </c>
      <c r="L37" s="68">
        <v>46293</v>
      </c>
      <c r="M37" s="68">
        <v>46297</v>
      </c>
      <c r="N37" s="68">
        <v>46302</v>
      </c>
      <c r="O37" s="68">
        <v>46309</v>
      </c>
      <c r="P37" s="68" cm="1">
        <f t="array" ref="P37">IF(AG37="","",AC37-R37-Q37)</f>
        <v>46300</v>
      </c>
      <c r="Q37" s="69">
        <v>7</v>
      </c>
      <c r="R37" s="69">
        <v>7</v>
      </c>
      <c r="S37" s="68">
        <v>46318</v>
      </c>
      <c r="T37" s="68"/>
      <c r="U37" s="68"/>
      <c r="V37" s="68"/>
      <c r="W37" s="68"/>
      <c r="X37" s="68"/>
      <c r="Y37" s="68"/>
      <c r="Z37" s="68"/>
      <c r="AA37" s="68"/>
      <c r="AB37" s="67"/>
      <c r="AC37" s="70">
        <f>IF(AG37="","",WORKDAY(AG37-AF37+1,-1,{46329,46349,46384,46385,46386,46387,46388,46391,46398,46429,46441,46468}))</f>
        <v>46314</v>
      </c>
      <c r="AD37" s="68" cm="1">
        <f t="array" ref="AD37">IF(AG37="","",$AG37-$AF37)</f>
        <v>46314</v>
      </c>
      <c r="AE37" s="67"/>
      <c r="AF37" s="83">
        <v>80</v>
      </c>
      <c r="AG37" s="72">
        <v>46394</v>
      </c>
      <c r="AH37" s="71"/>
      <c r="AI37" s="70"/>
      <c r="AJ37" s="68"/>
      <c r="AK37" s="68"/>
      <c r="AL37" s="67"/>
      <c r="AM37" s="72"/>
      <c r="AN37" s="84" t="s">
        <v>112</v>
      </c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9"/>
      <c r="D38" s="72"/>
      <c r="E38" s="71"/>
      <c r="F38" s="82" cm="1" t="str">
        <f t="array" ref="F38">IF(AG38="","",I38-H38)</f>
        <v/>
      </c>
      <c r="G38" s="67"/>
      <c r="H38" s="65"/>
      <c r="I38" s="66" cm="1" t="str">
        <f t="array" ref="I38">IF(AG38="","",P38-K38)</f>
        <v/>
      </c>
      <c r="J38" s="67"/>
      <c r="K38" s="65"/>
      <c r="L38" s="68"/>
      <c r="M38" s="68"/>
      <c r="N38" s="68"/>
      <c r="O38" s="68"/>
      <c r="P38" s="66" cm="1" t="str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9"/>
      <c r="C39" s="18" t="s">
        <v>113</v>
      </c>
      <c r="D39" s="72"/>
      <c r="E39" s="71"/>
      <c r="F39" s="82" cm="1" t="str">
        <f t="array" ref="F39">IF(AG39="","",I39-H39)</f>
        <v/>
      </c>
      <c r="G39" s="67"/>
      <c r="H39" s="65"/>
      <c r="I39" s="66" cm="1" t="str">
        <f t="array" ref="I39">IF(AG39="","",P39-K39)</f>
        <v/>
      </c>
      <c r="J39" s="67"/>
      <c r="K39" s="65"/>
      <c r="L39" s="68"/>
      <c r="M39" s="68"/>
      <c r="N39" s="68"/>
      <c r="O39" s="68"/>
      <c r="P39" s="66" cm="1" t="str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 t="str">
        <f>IF(AG39="","",WORKDAY(AG39-AF39+1,-1,{46329,46349,46384,46385,46386,46387,46388,46391,46398,46429,46441,46468}))</f>
        <v/>
      </c>
      <c r="AD39" s="66" cm="1" t="str">
        <f t="array" ref="AD39">IF(AG39="","",$AG39-$AF39)</f>
        <v/>
      </c>
      <c r="AE39" s="67"/>
      <c r="AF39" s="83"/>
      <c r="AG39" s="72"/>
      <c r="AH39" s="71"/>
      <c r="AI39" s="70"/>
      <c r="AJ39" s="68"/>
      <c r="AK39" s="68"/>
      <c r="AL39" s="67"/>
      <c r="AM39" s="72"/>
      <c r="AN39" s="85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s">
        <v>114</v>
      </c>
      <c r="C40" s="24" t="s">
        <v>115</v>
      </c>
      <c r="D40" s="72"/>
      <c r="E40" s="71"/>
      <c r="F40" s="70" cm="1">
        <f t="array" ref="F40">IF(AG40="","",I40-H40)</f>
        <v>46280</v>
      </c>
      <c r="G40" s="67">
        <v>46300</v>
      </c>
      <c r="H40" s="65">
        <v>7</v>
      </c>
      <c r="I40" s="68" cm="1">
        <f t="array" ref="I40">IF(AG40="","",P40-K40)</f>
        <v>46287</v>
      </c>
      <c r="J40" s="67">
        <v>46302</v>
      </c>
      <c r="K40" s="65">
        <v>7</v>
      </c>
      <c r="L40" s="68">
        <v>46302</v>
      </c>
      <c r="M40" s="68">
        <v>46309</v>
      </c>
      <c r="N40" s="68"/>
      <c r="O40" s="68"/>
      <c r="P40" s="68" cm="1">
        <f t="array" ref="P40">IF(AG40="","",AC40-R40-Q40)</f>
        <v>46294</v>
      </c>
      <c r="Q40" s="69">
        <v>7</v>
      </c>
      <c r="R40" s="69">
        <v>14</v>
      </c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>
        <f>IF(AG40="","",WORKDAY(AG40-AF40+1,-1,{46329,46349,46384,46385,46386,46387,46388,46391,46398,46429,46441,46468}))</f>
        <v>46315</v>
      </c>
      <c r="AD40" s="68" cm="1">
        <f t="array" ref="AD40">IF(AG40="","",$AG40-$AF40)</f>
        <v>46315</v>
      </c>
      <c r="AE40" s="67"/>
      <c r="AF40" s="83">
        <v>90</v>
      </c>
      <c r="AG40" s="72">
        <v>46405</v>
      </c>
      <c r="AH40" s="71"/>
      <c r="AI40" s="70"/>
      <c r="AJ40" s="68"/>
      <c r="AK40" s="68"/>
      <c r="AL40" s="67"/>
      <c r="AM40" s="72"/>
      <c r="AN40" s="84" t="s">
        <v>116</v>
      </c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s">
        <v>117</v>
      </c>
      <c r="C41" s="18" t="s">
        <v>118</v>
      </c>
      <c r="D41" s="72"/>
      <c r="E41" s="71"/>
      <c r="F41" s="70" cm="1">
        <f t="array" ref="F41">IF(AG41="","",I41-H41)</f>
        <v>46325</v>
      </c>
      <c r="G41" s="67"/>
      <c r="H41" s="65">
        <v>7</v>
      </c>
      <c r="I41" s="68" cm="1">
        <f t="array" ref="I41">IF(AG41="","",P41-K41)</f>
        <v>46332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46339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46360</v>
      </c>
      <c r="AD41" s="68" cm="1">
        <f t="array" ref="AD41">IF(AG41="","",$AG41-$AF41)</f>
        <v>46362</v>
      </c>
      <c r="AE41" s="67"/>
      <c r="AF41" s="83">
        <v>30</v>
      </c>
      <c r="AG41" s="72">
        <v>46392</v>
      </c>
      <c r="AH41" s="71"/>
      <c r="AI41" s="70"/>
      <c r="AJ41" s="68"/>
      <c r="AK41" s="68"/>
      <c r="AL41" s="67"/>
      <c r="AM41" s="72"/>
      <c r="AN41" s="75" t="s">
        <v>277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s">
        <v>120</v>
      </c>
      <c r="C42" s="18" t="s">
        <v>121</v>
      </c>
      <c r="D42" s="72"/>
      <c r="E42" s="71"/>
      <c r="F42" s="70" cm="1">
        <f t="array" ref="F42">IF(AG42="","",I42-H42)</f>
        <v>46358</v>
      </c>
      <c r="G42" s="67"/>
      <c r="H42" s="65">
        <v>7</v>
      </c>
      <c r="I42" s="68" cm="1">
        <f t="array" ref="I42">IF(AG42="","",P42-K42)</f>
        <v>46365</v>
      </c>
      <c r="J42" s="67"/>
      <c r="K42" s="65">
        <v>7</v>
      </c>
      <c r="L42" s="68"/>
      <c r="M42" s="68"/>
      <c r="N42" s="68"/>
      <c r="O42" s="68"/>
      <c r="P42" s="68" cm="1">
        <f t="array" ref="P42">IF(AG42="","",AC42-R42-Q42)</f>
        <v>46372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46393</v>
      </c>
      <c r="AD42" s="68" cm="1">
        <f t="array" ref="AD42">IF(AG42="","",$AG42-$AF42)</f>
        <v>46393</v>
      </c>
      <c r="AE42" s="67"/>
      <c r="AF42" s="83">
        <v>30</v>
      </c>
      <c r="AG42" s="72">
        <v>46423</v>
      </c>
      <c r="AH42" s="71"/>
      <c r="AI42" s="70"/>
      <c r="AJ42" s="68"/>
      <c r="AK42" s="68"/>
      <c r="AL42" s="67"/>
      <c r="AM42" s="72"/>
      <c r="AN42" s="75" t="s">
        <v>119</v>
      </c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s">
        <v>122</v>
      </c>
      <c r="C43" s="18" t="s">
        <v>123</v>
      </c>
      <c r="D43" s="72"/>
      <c r="E43" s="71"/>
      <c r="F43" s="70" cm="1">
        <f t="array" ref="F43">IF(AG43="","",I43-H43)</f>
        <v>46346</v>
      </c>
      <c r="G43" s="67"/>
      <c r="H43" s="65">
        <v>7</v>
      </c>
      <c r="I43" s="68" cm="1">
        <f t="array" ref="I43">IF(AG43="","",P43-K43)</f>
        <v>46353</v>
      </c>
      <c r="J43" s="67"/>
      <c r="K43" s="65">
        <v>7</v>
      </c>
      <c r="L43" s="68"/>
      <c r="M43" s="68"/>
      <c r="N43" s="68"/>
      <c r="O43" s="68"/>
      <c r="P43" s="68" cm="1">
        <f t="array" ref="P43">IF(AG43="","",AC43-R43-Q43)</f>
        <v>46360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46381</v>
      </c>
      <c r="AD43" s="68" cm="1">
        <f t="array" ref="AD43">IF(AG43="","",$AG43-$AF43)</f>
        <v>46389</v>
      </c>
      <c r="AE43" s="67"/>
      <c r="AF43" s="83">
        <v>30</v>
      </c>
      <c r="AG43" s="72">
        <v>46419</v>
      </c>
      <c r="AH43" s="71"/>
      <c r="AI43" s="70"/>
      <c r="AJ43" s="68"/>
      <c r="AK43" s="68"/>
      <c r="AL43" s="67"/>
      <c r="AM43" s="72"/>
      <c r="AN43" s="75" t="s">
        <v>279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9"/>
      <c r="C44" s="19"/>
      <c r="D44" s="72"/>
      <c r="E44" s="71"/>
      <c r="F44" s="82" cm="1" t="str">
        <f t="array" ref="F44">IF(AG44="","",I44-H44)</f>
        <v/>
      </c>
      <c r="G44" s="67"/>
      <c r="H44" s="65"/>
      <c r="I44" s="66" cm="1" t="str">
        <f t="array" ref="I44">IF(AG44="","",P44-K44)</f>
        <v/>
      </c>
      <c r="J44" s="67"/>
      <c r="K44" s="65"/>
      <c r="L44" s="68"/>
      <c r="M44" s="68"/>
      <c r="N44" s="68"/>
      <c r="O44" s="68"/>
      <c r="P44" s="66" cm="1" t="str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6" cm="1" t="str">
        <f t="array" ref="AD44">IF(AG44="","",$AG44-$AF44)</f>
        <v/>
      </c>
      <c r="AE44" s="67"/>
      <c r="AF44" s="83"/>
      <c r="AG44" s="72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9"/>
      <c r="C45" s="18" t="s">
        <v>124</v>
      </c>
      <c r="D45" s="72"/>
      <c r="E45" s="71"/>
      <c r="F45" s="82" cm="1" t="str">
        <f t="array" ref="F45">IF(AG45="","",I45-H45)</f>
        <v/>
      </c>
      <c r="G45" s="67"/>
      <c r="H45" s="65"/>
      <c r="I45" s="66" cm="1" t="str">
        <f t="array" ref="I45">IF(AG45="","",P45-K45)</f>
        <v/>
      </c>
      <c r="J45" s="67"/>
      <c r="K45" s="65"/>
      <c r="L45" s="68"/>
      <c r="M45" s="68"/>
      <c r="N45" s="68"/>
      <c r="O45" s="68"/>
      <c r="P45" s="66" cm="1" t="str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 t="str">
        <f>IF(AG45="","",WORKDAY(AG45-AF45+1,-1,{46329,46349,46384,46385,46386,46387,46388,46391,46398,46429,46441,46468}))</f>
        <v/>
      </c>
      <c r="AD45" s="66" cm="1" t="str">
        <f t="array" ref="AD45">IF(AG45="","",$AG45-$AF45)</f>
        <v/>
      </c>
      <c r="AE45" s="67"/>
      <c r="AF45" s="83"/>
      <c r="AG45" s="72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s">
        <v>125</v>
      </c>
      <c r="C46" s="18" t="s">
        <v>126</v>
      </c>
      <c r="D46" s="72"/>
      <c r="E46" s="71"/>
      <c r="F46" s="70" cm="1">
        <f t="array" ref="F46">IF(AG46="","",I46-H46)</f>
        <v>46345</v>
      </c>
      <c r="G46" s="67">
        <v>46276</v>
      </c>
      <c r="H46" s="65">
        <v>7</v>
      </c>
      <c r="I46" s="68" cm="1">
        <f t="array" ref="I46">IF(AG46="","",P46-K46)</f>
        <v>46352</v>
      </c>
      <c r="J46" s="67">
        <v>46291</v>
      </c>
      <c r="K46" s="65">
        <v>7</v>
      </c>
      <c r="L46" s="68"/>
      <c r="M46" s="68"/>
      <c r="N46" s="68"/>
      <c r="O46" s="68"/>
      <c r="P46" s="68" cm="1">
        <f t="array" ref="P46">IF(AG46="","",AC46-R46-Q46)</f>
        <v>46359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46380</v>
      </c>
      <c r="AD46" s="68" cm="1">
        <f t="array" ref="AD46">IF(AG46="","",$AG46-$AF46)</f>
        <v>46380</v>
      </c>
      <c r="AE46" s="67"/>
      <c r="AF46" s="83">
        <v>60</v>
      </c>
      <c r="AG46" s="72">
        <v>46440</v>
      </c>
      <c r="AH46" s="71"/>
      <c r="AI46" s="70"/>
      <c r="AJ46" s="68"/>
      <c r="AK46" s="68"/>
      <c r="AL46" s="67"/>
      <c r="AM46" s="72"/>
      <c r="AN46" s="75" t="s">
        <v>127</v>
      </c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9"/>
      <c r="C47" s="19"/>
      <c r="D47" s="72"/>
      <c r="E47" s="71"/>
      <c r="F47" s="82" cm="1" t="str">
        <f t="array" ref="F47">IF(AG47="","",I47-H47)</f>
        <v/>
      </c>
      <c r="G47" s="67"/>
      <c r="H47" s="65"/>
      <c r="I47" s="66" cm="1" t="str">
        <f t="array" ref="I47">IF(AG47="","",P47-K47)</f>
        <v/>
      </c>
      <c r="J47" s="67"/>
      <c r="K47" s="65"/>
      <c r="L47" s="68"/>
      <c r="M47" s="68"/>
      <c r="N47" s="68"/>
      <c r="O47" s="68"/>
      <c r="P47" s="66" cm="1" t="str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6" cm="1" t="str">
        <f t="array" ref="AD47">IF(AG47="","",$AG47-$AF47)</f>
        <v/>
      </c>
      <c r="AE47" s="67"/>
      <c r="AF47" s="83"/>
      <c r="AG47" s="72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9"/>
      <c r="C48" s="18" t="s">
        <v>128</v>
      </c>
      <c r="D48" s="72"/>
      <c r="E48" s="71"/>
      <c r="F48" s="82" cm="1" t="str">
        <f t="array" ref="F48">IF(AG48="","",I48-H48)</f>
        <v/>
      </c>
      <c r="G48" s="67"/>
      <c r="H48" s="65"/>
      <c r="I48" s="66" cm="1" t="str">
        <f t="array" ref="I48">IF(AG48="","",P48-K48)</f>
        <v/>
      </c>
      <c r="J48" s="67"/>
      <c r="K48" s="65"/>
      <c r="L48" s="68"/>
      <c r="M48" s="68"/>
      <c r="N48" s="68"/>
      <c r="O48" s="68"/>
      <c r="P48" s="66" cm="1" t="str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 t="str">
        <f>IF(AG48="","",WORKDAY(AG48-AF48+1,-1,{46329,46349,46384,46385,46386,46387,46388,46391,46398,46429,46441,46468}))</f>
        <v/>
      </c>
      <c r="AD48" s="66" cm="1" t="str">
        <f t="array" ref="AD48">IF(AG48="","",$AG48-$AF48)</f>
        <v/>
      </c>
      <c r="AE48" s="67"/>
      <c r="AF48" s="83"/>
      <c r="AG48" s="72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s">
        <v>129</v>
      </c>
      <c r="C49" s="18" t="s">
        <v>130</v>
      </c>
      <c r="D49" s="72"/>
      <c r="E49" s="71"/>
      <c r="F49" s="70" cm="1">
        <f t="array" ref="F49">IF(AG49="","",I49-H49)</f>
        <v>46381</v>
      </c>
      <c r="G49" s="67">
        <v>46297</v>
      </c>
      <c r="H49" s="65">
        <v>7</v>
      </c>
      <c r="I49" s="68" cm="1">
        <f t="array" ref="I49">IF(AG49="","",P49-K49)</f>
        <v>46388</v>
      </c>
      <c r="J49" s="67">
        <v>46302</v>
      </c>
      <c r="K49" s="65">
        <v>7</v>
      </c>
      <c r="L49" s="68">
        <v>46302</v>
      </c>
      <c r="M49" s="68"/>
      <c r="N49" s="68"/>
      <c r="O49" s="68"/>
      <c r="P49" s="68" cm="1">
        <f t="array" ref="P49">IF(AG49="","",AC49-R49-Q49)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46416</v>
      </c>
      <c r="AD49" s="68" cm="1">
        <f t="array" ref="AD49">IF(AG49="","",$AG49-$AF49)</f>
        <v>46417</v>
      </c>
      <c r="AE49" s="67"/>
      <c r="AF49" s="83">
        <v>30</v>
      </c>
      <c r="AG49" s="72">
        <v>46447</v>
      </c>
      <c r="AH49" s="71"/>
      <c r="AI49" s="70"/>
      <c r="AJ49" s="68"/>
      <c r="AK49" s="68"/>
      <c r="AL49" s="67"/>
      <c r="AM49" s="72"/>
      <c r="AN49" s="75" t="s">
        <v>119</v>
      </c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9"/>
      <c r="D50" s="72"/>
      <c r="E50" s="71"/>
      <c r="F50" s="82" cm="1" t="str">
        <f t="array" ref="F50">IF(AG50="","",I50-H50)</f>
        <v/>
      </c>
      <c r="G50" s="67"/>
      <c r="H50" s="65"/>
      <c r="I50" s="66" cm="1" t="str">
        <f t="array" ref="I50">IF(AG50="","",P50-K50)</f>
        <v/>
      </c>
      <c r="J50" s="67"/>
      <c r="K50" s="65"/>
      <c r="L50" s="68"/>
      <c r="M50" s="68"/>
      <c r="N50" s="68"/>
      <c r="O50" s="68"/>
      <c r="P50" s="66" cm="1" t="str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cm="1" t="str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9"/>
      <c r="C51" s="18" t="s">
        <v>131</v>
      </c>
      <c r="D51" s="72"/>
      <c r="E51" s="71"/>
      <c r="F51" s="82" cm="1" t="str">
        <f t="array" ref="F51">IF(AG51="","",I51-H51)</f>
        <v/>
      </c>
      <c r="G51" s="67"/>
      <c r="H51" s="65"/>
      <c r="I51" s="66" cm="1" t="str">
        <f t="array" ref="I51">IF(AG51="","",P51-K51)</f>
        <v/>
      </c>
      <c r="J51" s="67"/>
      <c r="K51" s="65"/>
      <c r="L51" s="68"/>
      <c r="M51" s="68"/>
      <c r="N51" s="68"/>
      <c r="O51" s="68"/>
      <c r="P51" s="66" cm="1" t="str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 t="str">
        <f>IF(AG51="","",WORKDAY(AG51-AF51+1,-1,{46329,46349,46384,46385,46386,46387,46388,46391,46398,46429,46441,46468}))</f>
        <v/>
      </c>
      <c r="AD51" s="66" cm="1" t="str">
        <f t="array" ref="AD51">IF(AG51="","",$AG51-$AF51)</f>
        <v/>
      </c>
      <c r="AE51" s="67"/>
      <c r="AF51" s="83"/>
      <c r="AG51" s="72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11" t="s">
        <v>132</v>
      </c>
      <c r="C52" s="18" t="s">
        <v>133</v>
      </c>
      <c r="D52" s="72"/>
      <c r="E52" s="71"/>
      <c r="F52" s="70" cm="1">
        <f t="array" ref="F52">IF(AG52="","",I52-H52)</f>
        <v>46395</v>
      </c>
      <c r="G52" s="67"/>
      <c r="H52" s="65">
        <v>7</v>
      </c>
      <c r="I52" s="68" cm="1">
        <f t="array" ref="I52">IF(AG52="","",P52-K52)</f>
        <v>46402</v>
      </c>
      <c r="J52" s="67"/>
      <c r="K52" s="65">
        <v>7</v>
      </c>
      <c r="L52" s="68"/>
      <c r="M52" s="68"/>
      <c r="N52" s="68"/>
      <c r="O52" s="68"/>
      <c r="P52" s="68" cm="1">
        <f t="array" ref="P52">IF(AG52="","",AC52-R52-Q52)</f>
        <v>46409</v>
      </c>
      <c r="Q52" s="69">
        <v>7</v>
      </c>
      <c r="R52" s="69">
        <v>14</v>
      </c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>
        <f>IF(AG52="","",WORKDAY(AG52-AF52+1,-1,{46329,46349,46384,46385,46386,46387,46388,46391,46398,46429,46441,46468}))</f>
        <v>46430</v>
      </c>
      <c r="AD52" s="68" cm="1">
        <f t="array" ref="AD52">IF(AG52="","",$AG52-$AF52)</f>
        <v>46432</v>
      </c>
      <c r="AE52" s="67"/>
      <c r="AF52" s="83">
        <v>30</v>
      </c>
      <c r="AG52" s="72">
        <v>46462</v>
      </c>
      <c r="AH52" s="71"/>
      <c r="AI52" s="70"/>
      <c r="AJ52" s="68"/>
      <c r="AK52" s="68"/>
      <c r="AL52" s="67"/>
      <c r="AM52" s="72"/>
      <c r="AN52" s="75" t="s">
        <v>134</v>
      </c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cm="1" t="str">
        <f t="array" ref="F53">IF(AG53="","",I53-H53)</f>
        <v/>
      </c>
      <c r="G53" s="67"/>
      <c r="H53" s="65"/>
      <c r="I53" s="66" cm="1" t="str">
        <f t="array" ref="I53">IF(AG53="","",P53-K53)</f>
        <v/>
      </c>
      <c r="J53" s="67"/>
      <c r="K53" s="65"/>
      <c r="L53" s="68"/>
      <c r="M53" s="68"/>
      <c r="N53" s="68"/>
      <c r="O53" s="68"/>
      <c r="P53" s="66" cm="1" t="str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9"/>
      <c r="D54" s="72"/>
      <c r="E54" s="71"/>
      <c r="F54" s="82" cm="1" t="str">
        <f t="array" ref="F54">IF(AG54="","",I54-H54)</f>
        <v/>
      </c>
      <c r="G54" s="67"/>
      <c r="H54" s="65"/>
      <c r="I54" s="66" cm="1" t="str">
        <f t="array" ref="I54">IF(AG54="","",P54-K54)</f>
        <v/>
      </c>
      <c r="J54" s="67"/>
      <c r="K54" s="65"/>
      <c r="L54" s="68"/>
      <c r="M54" s="68"/>
      <c r="N54" s="68"/>
      <c r="O54" s="68"/>
      <c r="P54" s="66" cm="1" t="str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cm="1" t="str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cm="1" t="str">
        <f t="array" ref="F55">IF(AG55="","",I55-H55)</f>
        <v/>
      </c>
      <c r="G55" s="67"/>
      <c r="H55" s="65"/>
      <c r="I55" s="66" cm="1" t="str">
        <f t="array" ref="I55">IF(AG55="","",P55-K55)</f>
        <v/>
      </c>
      <c r="J55" s="67"/>
      <c r="K55" s="65"/>
      <c r="L55" s="68"/>
      <c r="M55" s="68"/>
      <c r="N55" s="68"/>
      <c r="O55" s="68"/>
      <c r="P55" s="66" cm="1" t="str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cm="1" t="str">
        <f t="array" ref="F56">IF(AG56="","",I56-H56)</f>
        <v/>
      </c>
      <c r="G56" s="67"/>
      <c r="H56" s="65"/>
      <c r="I56" s="66" cm="1" t="str">
        <f t="array" ref="I56">IF(AG56="","",P56-K56)</f>
        <v/>
      </c>
      <c r="J56" s="67"/>
      <c r="K56" s="65"/>
      <c r="L56" s="68"/>
      <c r="M56" s="68"/>
      <c r="N56" s="68"/>
      <c r="O56" s="68"/>
      <c r="P56" s="66" cm="1" t="str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9"/>
      <c r="D57" s="72"/>
      <c r="E57" s="71"/>
      <c r="F57" s="82" cm="1" t="str">
        <f t="array" ref="F57">IF(AG57="","",I57-H57)</f>
        <v/>
      </c>
      <c r="G57" s="67"/>
      <c r="H57" s="65"/>
      <c r="I57" s="66" cm="1" t="str">
        <f t="array" ref="I57">IF(AG57="","",P57-K57)</f>
        <v/>
      </c>
      <c r="J57" s="67"/>
      <c r="K57" s="65"/>
      <c r="L57" s="68"/>
      <c r="M57" s="68"/>
      <c r="N57" s="68"/>
      <c r="O57" s="68"/>
      <c r="P57" s="66" cm="1" t="str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cm="1" t="str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cm="1" t="str">
        <f t="array" ref="F58">IF(AG58="","",I58-H58)</f>
        <v/>
      </c>
      <c r="G58" s="67"/>
      <c r="H58" s="65"/>
      <c r="I58" s="66" cm="1" t="str">
        <f t="array" ref="I58">IF(AG58="","",P58-K58)</f>
        <v/>
      </c>
      <c r="J58" s="67"/>
      <c r="K58" s="65"/>
      <c r="L58" s="68"/>
      <c r="M58" s="68"/>
      <c r="N58" s="68"/>
      <c r="O58" s="68"/>
      <c r="P58" s="66" cm="1" t="str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cm="1" t="str">
        <f t="array" ref="F59">IF(AG59="","",I59-H59)</f>
        <v/>
      </c>
      <c r="G59" s="67"/>
      <c r="H59" s="65"/>
      <c r="I59" s="66" cm="1" t="str">
        <f t="array" ref="I59">IF(AG59="","",P59-K59)</f>
        <v/>
      </c>
      <c r="J59" s="67"/>
      <c r="K59" s="65"/>
      <c r="L59" s="68"/>
      <c r="M59" s="68"/>
      <c r="N59" s="68"/>
      <c r="O59" s="68"/>
      <c r="P59" s="66" cm="1" t="str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cm="1" t="str">
        <f t="array" ref="F60">IF(AG60="","",I60-H60)</f>
        <v/>
      </c>
      <c r="G60" s="67"/>
      <c r="H60" s="65"/>
      <c r="I60" s="66" cm="1" t="str">
        <f t="array" ref="I60">IF(AG60="","",P60-K60)</f>
        <v/>
      </c>
      <c r="J60" s="67"/>
      <c r="K60" s="65"/>
      <c r="L60" s="68"/>
      <c r="M60" s="68"/>
      <c r="N60" s="68"/>
      <c r="O60" s="68"/>
      <c r="P60" s="66" cm="1" t="str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cm="1" t="str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cm="1" t="str">
        <f t="array" ref="F61">IF(AG61="","",I61-H61)</f>
        <v/>
      </c>
      <c r="G61" s="67"/>
      <c r="H61" s="65"/>
      <c r="I61" s="66" cm="1" t="str">
        <f t="array" ref="I61">IF(AG61="","",P61-K61)</f>
        <v/>
      </c>
      <c r="J61" s="67"/>
      <c r="K61" s="65"/>
      <c r="L61" s="68"/>
      <c r="M61" s="68"/>
      <c r="N61" s="68"/>
      <c r="O61" s="68"/>
      <c r="P61" s="66" cm="1" t="str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cm="1" t="str">
        <f t="array" ref="F62">IF(AG62="","",I62-H62)</f>
        <v/>
      </c>
      <c r="G62" s="67"/>
      <c r="H62" s="65"/>
      <c r="I62" s="66" cm="1" t="str">
        <f t="array" ref="I62">IF(AG62="","",P62-K62)</f>
        <v/>
      </c>
      <c r="J62" s="67"/>
      <c r="K62" s="65"/>
      <c r="L62" s="68"/>
      <c r="M62" s="68"/>
      <c r="N62" s="68"/>
      <c r="O62" s="68"/>
      <c r="P62" s="66" cm="1" t="str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cm="1" t="str">
        <f t="array" ref="F63">IF(AG63="","",I63-H63)</f>
        <v/>
      </c>
      <c r="G63" s="67"/>
      <c r="H63" s="65"/>
      <c r="I63" s="66" cm="1" t="str">
        <f t="array" ref="I63">IF(AG63="","",P63-K63)</f>
        <v/>
      </c>
      <c r="J63" s="67"/>
      <c r="K63" s="65"/>
      <c r="L63" s="68"/>
      <c r="M63" s="68"/>
      <c r="N63" s="68"/>
      <c r="O63" s="68"/>
      <c r="P63" s="66" cm="1" t="str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cm="1" t="str">
        <f t="array" ref="F64">IF(AG64="","",I64-H64)</f>
        <v/>
      </c>
      <c r="G64" s="67"/>
      <c r="H64" s="65"/>
      <c r="I64" s="66" cm="1" t="str">
        <f t="array" ref="I64">IF(AG64="","",P64-K64)</f>
        <v/>
      </c>
      <c r="J64" s="67"/>
      <c r="K64" s="65"/>
      <c r="L64" s="68"/>
      <c r="M64" s="68"/>
      <c r="N64" s="68"/>
      <c r="O64" s="68"/>
      <c r="P64" s="66" cm="1" t="str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cm="1" t="str">
        <f t="array" ref="F65">IF(AG65="","",I65-H65)</f>
        <v/>
      </c>
      <c r="G65" s="67"/>
      <c r="H65" s="65"/>
      <c r="I65" s="66" cm="1" t="str">
        <f t="array" ref="I65">IF(AG65="","",P65-K65)</f>
        <v/>
      </c>
      <c r="J65" s="67"/>
      <c r="K65" s="65"/>
      <c r="L65" s="68"/>
      <c r="M65" s="68"/>
      <c r="N65" s="68"/>
      <c r="O65" s="68"/>
      <c r="P65" s="66" cm="1" t="str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cm="1" t="str">
        <f t="array" ref="F66">IF(AG66="","",I66-H66)</f>
        <v/>
      </c>
      <c r="G66" s="67"/>
      <c r="H66" s="65"/>
      <c r="I66" s="66" cm="1" t="str">
        <f t="array" ref="I66">IF(AG66="","",P66-K66)</f>
        <v/>
      </c>
      <c r="J66" s="67"/>
      <c r="K66" s="65"/>
      <c r="L66" s="68"/>
      <c r="M66" s="68"/>
      <c r="N66" s="68"/>
      <c r="O66" s="68"/>
      <c r="P66" s="66" cm="1" t="str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cm="1" t="str">
        <f t="array" ref="F67">IF(AG67="","",I67-H67)</f>
        <v/>
      </c>
      <c r="G67" s="67"/>
      <c r="H67" s="65"/>
      <c r="I67" s="66" cm="1" t="str">
        <f t="array" ref="I67">IF(AG67="","",P67-K67)</f>
        <v/>
      </c>
      <c r="J67" s="67"/>
      <c r="K67" s="65"/>
      <c r="L67" s="68"/>
      <c r="M67" s="68"/>
      <c r="N67" s="68"/>
      <c r="O67" s="68"/>
      <c r="P67" s="66" cm="1" t="str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cm="1" t="str">
        <f t="array" ref="F68">IF(AG68="","",I68-H68)</f>
        <v/>
      </c>
      <c r="G68" s="67"/>
      <c r="H68" s="65"/>
      <c r="I68" s="66" cm="1" t="str">
        <f t="array" ref="I68">IF(AG68="","",P68-K68)</f>
        <v/>
      </c>
      <c r="J68" s="67"/>
      <c r="K68" s="65"/>
      <c r="L68" s="68"/>
      <c r="M68" s="68"/>
      <c r="N68" s="68"/>
      <c r="O68" s="68"/>
      <c r="P68" s="66" cm="1" t="str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cm="1" t="str">
        <f t="array" ref="F69">IF(AG69="","",I69-H69)</f>
        <v/>
      </c>
      <c r="G69" s="67"/>
      <c r="H69" s="65"/>
      <c r="I69" s="66" cm="1" t="str">
        <f t="array" ref="I69">IF(AG69="","",P69-K69)</f>
        <v/>
      </c>
      <c r="J69" s="67"/>
      <c r="K69" s="65"/>
      <c r="L69" s="68"/>
      <c r="M69" s="68"/>
      <c r="N69" s="68"/>
      <c r="O69" s="68"/>
      <c r="P69" s="66" cm="1" t="str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cm="1" t="str">
        <f t="array" ref="F70">IF(AG70="","",I70-H70)</f>
        <v/>
      </c>
      <c r="G70" s="67"/>
      <c r="H70" s="65"/>
      <c r="I70" s="66" cm="1" t="str">
        <f t="array" ref="I70">IF(AG70="","",P70-K70)</f>
        <v/>
      </c>
      <c r="J70" s="67"/>
      <c r="K70" s="65"/>
      <c r="L70" s="68"/>
      <c r="M70" s="68"/>
      <c r="N70" s="68"/>
      <c r="O70" s="68"/>
      <c r="P70" s="66" cm="1" t="str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cm="1" t="str">
        <f t="array" ref="F71">IF(AG71="","",I71-H71)</f>
        <v/>
      </c>
      <c r="G71" s="67"/>
      <c r="H71" s="65"/>
      <c r="I71" s="66" cm="1" t="str">
        <f t="array" ref="I71">IF(AG71="","",P71-K71)</f>
        <v/>
      </c>
      <c r="J71" s="67"/>
      <c r="K71" s="65"/>
      <c r="L71" s="68"/>
      <c r="M71" s="68"/>
      <c r="N71" s="68"/>
      <c r="O71" s="68"/>
      <c r="P71" s="66" cm="1" t="str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cm="1" t="str">
        <f t="array" ref="F72">IF(AG72="","",I72-H72)</f>
        <v/>
      </c>
      <c r="G72" s="67"/>
      <c r="H72" s="65"/>
      <c r="I72" s="66" cm="1" t="str">
        <f t="array" ref="I72">IF(AG72="","",P72-K72)</f>
        <v/>
      </c>
      <c r="J72" s="67"/>
      <c r="K72" s="65"/>
      <c r="L72" s="68"/>
      <c r="M72" s="68"/>
      <c r="N72" s="68"/>
      <c r="O72" s="68"/>
      <c r="P72" s="66" cm="1" t="str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cm="1" t="str">
        <f t="array" ref="F73">IF(AG73="","",I73-H73)</f>
        <v/>
      </c>
      <c r="G73" s="67"/>
      <c r="H73" s="65"/>
      <c r="I73" s="66" cm="1" t="str">
        <f t="array" ref="I73">IF(AG73="","",P73-K73)</f>
        <v/>
      </c>
      <c r="J73" s="67"/>
      <c r="K73" s="65"/>
      <c r="L73" s="68"/>
      <c r="M73" s="68"/>
      <c r="N73" s="68"/>
      <c r="O73" s="68"/>
      <c r="P73" s="66" cm="1" t="str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cm="1" t="str">
        <f t="array" ref="F74">IF(AG74="","",I74-H74)</f>
        <v/>
      </c>
      <c r="G74" s="67"/>
      <c r="H74" s="65"/>
      <c r="I74" s="66" cm="1" t="str">
        <f t="array" ref="I74">IF(AG74="","",P74-K74)</f>
        <v/>
      </c>
      <c r="J74" s="67"/>
      <c r="K74" s="65"/>
      <c r="L74" s="68"/>
      <c r="M74" s="68"/>
      <c r="N74" s="68"/>
      <c r="O74" s="68"/>
      <c r="P74" s="66" cm="1" t="str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cm="1" t="str">
        <f t="array" ref="F75">IF(AG75="","",I75-H75)</f>
        <v/>
      </c>
      <c r="G75" s="67"/>
      <c r="H75" s="65"/>
      <c r="I75" s="66" cm="1" t="str">
        <f t="array" ref="I75">IF(AG75="","",P75-K75)</f>
        <v/>
      </c>
      <c r="J75" s="67"/>
      <c r="K75" s="65"/>
      <c r="L75" s="68"/>
      <c r="M75" s="68"/>
      <c r="N75" s="68"/>
      <c r="O75" s="68"/>
      <c r="P75" s="66" cm="1" t="str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cm="1" t="str">
        <f t="array" ref="F76">IF(AG76="","",I76-H76)</f>
        <v/>
      </c>
      <c r="G76" s="67"/>
      <c r="H76" s="65"/>
      <c r="I76" s="66" cm="1" t="str">
        <f t="array" ref="I76">IF(AG76="","",P76-K76)</f>
        <v/>
      </c>
      <c r="J76" s="67"/>
      <c r="K76" s="65"/>
      <c r="L76" s="68"/>
      <c r="M76" s="68"/>
      <c r="N76" s="68"/>
      <c r="O76" s="68"/>
      <c r="P76" s="66" cm="1" t="str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cm="1" t="str">
        <f t="array" ref="F77">IF(AG77="","",I77-H77)</f>
        <v/>
      </c>
      <c r="G77" s="67"/>
      <c r="H77" s="65"/>
      <c r="I77" s="66" cm="1" t="str">
        <f t="array" ref="I77">IF(AG77="","",P77-K77)</f>
        <v/>
      </c>
      <c r="J77" s="67"/>
      <c r="K77" s="65"/>
      <c r="L77" s="68"/>
      <c r="M77" s="68"/>
      <c r="N77" s="68"/>
      <c r="O77" s="68"/>
      <c r="P77" s="66" cm="1" t="str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cm="1" t="str">
        <f t="array" ref="F78">IF(AG78="","",I78-H78)</f>
        <v/>
      </c>
      <c r="G78" s="67"/>
      <c r="H78" s="65"/>
      <c r="I78" s="66" cm="1" t="str">
        <f t="array" ref="I78">IF(AG78="","",P78-K78)</f>
        <v/>
      </c>
      <c r="J78" s="67"/>
      <c r="K78" s="65"/>
      <c r="L78" s="68"/>
      <c r="M78" s="68"/>
      <c r="N78" s="68"/>
      <c r="O78" s="68"/>
      <c r="P78" s="66" cm="1" t="str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cm="1" t="str">
        <f t="array" ref="F79">IF(AG79="","",I79-H79)</f>
        <v/>
      </c>
      <c r="G79" s="67"/>
      <c r="H79" s="65"/>
      <c r="I79" s="66" cm="1" t="str">
        <f t="array" ref="I79">IF(AG79="","",P79-K79)</f>
        <v/>
      </c>
      <c r="J79" s="67"/>
      <c r="K79" s="65"/>
      <c r="L79" s="68"/>
      <c r="M79" s="68"/>
      <c r="N79" s="68"/>
      <c r="O79" s="68"/>
      <c r="P79" s="66" cm="1" t="str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cm="1" t="str">
        <f t="array" ref="F80">IF(AG80="","",I80-H80)</f>
        <v/>
      </c>
      <c r="G80" s="67"/>
      <c r="H80" s="65"/>
      <c r="I80" s="66" cm="1" t="str">
        <f t="array" ref="I80">IF(AG80="","",P80-K80)</f>
        <v/>
      </c>
      <c r="J80" s="67"/>
      <c r="K80" s="65"/>
      <c r="L80" s="68"/>
      <c r="M80" s="68"/>
      <c r="N80" s="68"/>
      <c r="O80" s="68"/>
      <c r="P80" s="66" cm="1" t="str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cm="1" t="str">
        <f t="array" ref="F81">IF(AG81="","",I81-H81)</f>
        <v/>
      </c>
      <c r="G81" s="67"/>
      <c r="H81" s="65"/>
      <c r="I81" s="66" cm="1" t="str">
        <f t="array" ref="I81">IF(AG81="","",P81-K81)</f>
        <v/>
      </c>
      <c r="J81" s="67"/>
      <c r="K81" s="65"/>
      <c r="L81" s="68"/>
      <c r="M81" s="68"/>
      <c r="N81" s="68"/>
      <c r="O81" s="68"/>
      <c r="P81" s="66" cm="1" t="str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cm="1" t="str">
        <f t="array" ref="F82">IF(AG82="","",I82-H82)</f>
        <v/>
      </c>
      <c r="G82" s="67"/>
      <c r="H82" s="65"/>
      <c r="I82" s="66" cm="1" t="str">
        <f t="array" ref="I82">IF(AG82="","",P82-K82)</f>
        <v/>
      </c>
      <c r="J82" s="67"/>
      <c r="K82" s="65"/>
      <c r="L82" s="68"/>
      <c r="M82" s="68"/>
      <c r="N82" s="68"/>
      <c r="O82" s="68"/>
      <c r="P82" s="66" cm="1" t="str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cm="1" t="str">
        <f t="array" ref="F83">IF(AG83="","",I83-H83)</f>
        <v/>
      </c>
      <c r="G83" s="67"/>
      <c r="H83" s="65"/>
      <c r="I83" s="66" cm="1" t="str">
        <f t="array" ref="I83">IF(AG83="","",P83-K83)</f>
        <v/>
      </c>
      <c r="J83" s="67"/>
      <c r="K83" s="65"/>
      <c r="L83" s="68"/>
      <c r="M83" s="68"/>
      <c r="N83" s="68"/>
      <c r="O83" s="68"/>
      <c r="P83" s="66" cm="1" t="str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cm="1" t="str">
        <f t="array" ref="F84">IF(AG84="","",I84-H84)</f>
        <v/>
      </c>
      <c r="G84" s="67"/>
      <c r="H84" s="65"/>
      <c r="I84" s="66" cm="1" t="str">
        <f t="array" ref="I84">IF(AG84="","",P84-K84)</f>
        <v/>
      </c>
      <c r="J84" s="67"/>
      <c r="K84" s="65"/>
      <c r="L84" s="68"/>
      <c r="M84" s="68"/>
      <c r="N84" s="68"/>
      <c r="O84" s="68"/>
      <c r="P84" s="66" cm="1" t="str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cm="1" t="str">
        <f t="array" ref="F85">IF(AG85="","",I85-H85)</f>
        <v/>
      </c>
      <c r="G85" s="67"/>
      <c r="H85" s="65"/>
      <c r="I85" s="66" cm="1" t="str">
        <f t="array" ref="I85">IF(AG85="","",P85-K85)</f>
        <v/>
      </c>
      <c r="J85" s="67"/>
      <c r="K85" s="65"/>
      <c r="L85" s="68"/>
      <c r="M85" s="68"/>
      <c r="N85" s="68"/>
      <c r="O85" s="68"/>
      <c r="P85" s="66" cm="1" t="str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cm="1" t="str">
        <f t="array" ref="F86">IF(AG86="","",I86-H86)</f>
        <v/>
      </c>
      <c r="G86" s="67"/>
      <c r="H86" s="65"/>
      <c r="I86" s="66" cm="1" t="str">
        <f t="array" ref="I86">IF(AG86="","",P86-K86)</f>
        <v/>
      </c>
      <c r="J86" s="67"/>
      <c r="K86" s="65"/>
      <c r="L86" s="68"/>
      <c r="M86" s="68"/>
      <c r="N86" s="68"/>
      <c r="O86" s="68"/>
      <c r="P86" s="66" cm="1" t="str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cm="1" t="str">
        <f t="array" ref="F87">IF(AG87="","",I87-H87)</f>
        <v/>
      </c>
      <c r="G87" s="67"/>
      <c r="H87" s="65"/>
      <c r="I87" s="66" cm="1" t="str">
        <f t="array" ref="I87">IF(AG87="","",P87-K87)</f>
        <v/>
      </c>
      <c r="J87" s="67"/>
      <c r="K87" s="65"/>
      <c r="L87" s="68"/>
      <c r="M87" s="68"/>
      <c r="N87" s="68"/>
      <c r="O87" s="68"/>
      <c r="P87" s="66" cm="1" t="str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cm="1" t="str">
        <f t="array" ref="F88">IF(AG88="","",I88-H88)</f>
        <v/>
      </c>
      <c r="G88" s="67"/>
      <c r="H88" s="65"/>
      <c r="I88" s="66" cm="1" t="str">
        <f t="array" ref="I88">IF(AG88="","",P88-K88)</f>
        <v/>
      </c>
      <c r="J88" s="67"/>
      <c r="K88" s="65"/>
      <c r="L88" s="68"/>
      <c r="M88" s="68"/>
      <c r="N88" s="68"/>
      <c r="O88" s="68"/>
      <c r="P88" s="66" cm="1" t="str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cm="1" t="str">
        <f t="array" ref="F89">IF(AG89="","",I89-H89)</f>
        <v/>
      </c>
      <c r="G89" s="67"/>
      <c r="H89" s="65"/>
      <c r="I89" s="66" cm="1" t="str">
        <f t="array" ref="I89">IF(AG89="","",P89-K89)</f>
        <v/>
      </c>
      <c r="J89" s="67"/>
      <c r="K89" s="65"/>
      <c r="L89" s="68"/>
      <c r="M89" s="68"/>
      <c r="N89" s="68"/>
      <c r="O89" s="68"/>
      <c r="P89" s="66" cm="1" t="str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cm="1" t="str">
        <f t="array" ref="F90">IF(AG90="","",I90-H90)</f>
        <v/>
      </c>
      <c r="G90" s="67"/>
      <c r="H90" s="65"/>
      <c r="I90" s="66" cm="1" t="str">
        <f t="array" ref="I90">IF(AG90="","",P90-K90)</f>
        <v/>
      </c>
      <c r="J90" s="67"/>
      <c r="K90" s="65"/>
      <c r="L90" s="68"/>
      <c r="M90" s="68"/>
      <c r="N90" s="68"/>
      <c r="O90" s="68"/>
      <c r="P90" s="66" cm="1" t="str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cm="1" t="str">
        <f t="array" ref="F91">IF(AG91="","",I91-H91)</f>
        <v/>
      </c>
      <c r="G91" s="67"/>
      <c r="H91" s="65"/>
      <c r="I91" s="66" cm="1" t="str">
        <f t="array" ref="I91">IF(AG91="","",P91-K91)</f>
        <v/>
      </c>
      <c r="J91" s="67"/>
      <c r="K91" s="65"/>
      <c r="L91" s="68"/>
      <c r="M91" s="68"/>
      <c r="N91" s="68"/>
      <c r="O91" s="68"/>
      <c r="P91" s="66" cm="1" t="str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cm="1" t="str">
        <f t="array" ref="F92">IF(AG92="","",I92-H92)</f>
        <v/>
      </c>
      <c r="G92" s="67"/>
      <c r="H92" s="65"/>
      <c r="I92" s="66" cm="1" t="str">
        <f t="array" ref="I92">IF(AG92="","",P92-K92)</f>
        <v/>
      </c>
      <c r="J92" s="67"/>
      <c r="K92" s="65"/>
      <c r="L92" s="68"/>
      <c r="M92" s="68"/>
      <c r="N92" s="68"/>
      <c r="O92" s="68"/>
      <c r="P92" s="66" cm="1" t="str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cm="1" t="str">
        <f t="array" ref="F93">IF(AG93="","",I93-H93)</f>
        <v/>
      </c>
      <c r="G93" s="67"/>
      <c r="H93" s="65"/>
      <c r="I93" s="66" cm="1" t="str">
        <f t="array" ref="I93">IF(AG93="","",P93-K93)</f>
        <v/>
      </c>
      <c r="J93" s="67"/>
      <c r="K93" s="65"/>
      <c r="L93" s="68"/>
      <c r="M93" s="68"/>
      <c r="N93" s="68"/>
      <c r="O93" s="68"/>
      <c r="P93" s="66" cm="1" t="str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cm="1" t="str">
        <f t="array" ref="F94">IF(AG94="","",I94-H94)</f>
        <v/>
      </c>
      <c r="G94" s="67"/>
      <c r="H94" s="65"/>
      <c r="I94" s="66" cm="1" t="str">
        <f t="array" ref="I94">IF(AG94="","",P94-K94)</f>
        <v/>
      </c>
      <c r="J94" s="67"/>
      <c r="K94" s="65"/>
      <c r="L94" s="68"/>
      <c r="M94" s="68"/>
      <c r="N94" s="68"/>
      <c r="O94" s="68"/>
      <c r="P94" s="66" cm="1" t="str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cm="1" t="str">
        <f t="array" ref="F95">IF(AG95="","",I95-H95)</f>
        <v/>
      </c>
      <c r="G95" s="67"/>
      <c r="H95" s="65"/>
      <c r="I95" s="66" cm="1" t="str">
        <f t="array" ref="I95">IF(AG95="","",P95-K95)</f>
        <v/>
      </c>
      <c r="J95" s="67"/>
      <c r="K95" s="65"/>
      <c r="L95" s="68"/>
      <c r="M95" s="68"/>
      <c r="N95" s="68"/>
      <c r="O95" s="68"/>
      <c r="P95" s="66" cm="1" t="str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cm="1" t="str">
        <f t="array" ref="F96">IF(AG96="","",I96-H96)</f>
        <v/>
      </c>
      <c r="G96" s="67"/>
      <c r="H96" s="65"/>
      <c r="I96" s="66" cm="1" t="str">
        <f t="array" ref="I96">IF(AG96="","",P96-K96)</f>
        <v/>
      </c>
      <c r="J96" s="67"/>
      <c r="K96" s="65"/>
      <c r="L96" s="68"/>
      <c r="M96" s="68"/>
      <c r="N96" s="68"/>
      <c r="O96" s="68"/>
      <c r="P96" s="66" cm="1" t="str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cm="1" t="str">
        <f t="array" ref="F97">IF(AG97="","",I97-H97)</f>
        <v/>
      </c>
      <c r="G97" s="67"/>
      <c r="H97" s="65"/>
      <c r="I97" s="66" cm="1" t="str">
        <f t="array" ref="I97">IF(AG97="","",P97-K97)</f>
        <v/>
      </c>
      <c r="J97" s="67"/>
      <c r="K97" s="65"/>
      <c r="L97" s="68"/>
      <c r="M97" s="68"/>
      <c r="N97" s="68"/>
      <c r="O97" s="68"/>
      <c r="P97" s="66" cm="1" t="str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cm="1" t="str">
        <f t="array" ref="F98">IF(AG98="","",I98-H98)</f>
        <v/>
      </c>
      <c r="G98" s="67"/>
      <c r="H98" s="65"/>
      <c r="I98" s="66" cm="1" t="str">
        <f t="array" ref="I98">IF(AG98="","",P98-K98)</f>
        <v/>
      </c>
      <c r="J98" s="67"/>
      <c r="K98" s="65"/>
      <c r="L98" s="68"/>
      <c r="M98" s="68"/>
      <c r="N98" s="68"/>
      <c r="O98" s="68"/>
      <c r="P98" s="66" cm="1" t="str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cm="1" t="str">
        <f t="array" ref="F99">IF(AG99="","",I99-H99)</f>
        <v/>
      </c>
      <c r="G99" s="67"/>
      <c r="H99" s="65"/>
      <c r="I99" s="66" cm="1" t="str">
        <f t="array" ref="I99">IF(AG99="","",P99-K99)</f>
        <v/>
      </c>
      <c r="J99" s="67"/>
      <c r="K99" s="65"/>
      <c r="L99" s="68"/>
      <c r="M99" s="68"/>
      <c r="N99" s="68"/>
      <c r="O99" s="68"/>
      <c r="P99" s="66" cm="1" t="str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cm="1" t="str">
        <f t="array" ref="F100">IF(AG100="","",I100-H100)</f>
        <v/>
      </c>
      <c r="G100" s="67"/>
      <c r="H100" s="65"/>
      <c r="I100" s="66" cm="1" t="str">
        <f t="array" ref="I100">IF(AG100="","",P100-K100)</f>
        <v/>
      </c>
      <c r="J100" s="67"/>
      <c r="K100" s="65"/>
      <c r="L100" s="68"/>
      <c r="M100" s="68"/>
      <c r="N100" s="68"/>
      <c r="O100" s="68"/>
      <c r="P100" s="66" cm="1" t="str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cm="1" t="str">
        <f t="array" ref="F101">IF(AG101="","",I101-H101)</f>
        <v/>
      </c>
      <c r="G101" s="67"/>
      <c r="H101" s="65"/>
      <c r="I101" s="66" cm="1" t="str">
        <f t="array" ref="I101">IF(AG101="","",P101-K101)</f>
        <v/>
      </c>
      <c r="J101" s="67"/>
      <c r="K101" s="65"/>
      <c r="L101" s="68"/>
      <c r="M101" s="68"/>
      <c r="N101" s="68"/>
      <c r="O101" s="68"/>
      <c r="P101" s="66" cm="1" t="str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cm="1" t="str">
        <f t="array" ref="F102">IF(AG102="","",I102-H102)</f>
        <v/>
      </c>
      <c r="G102" s="67"/>
      <c r="H102" s="65"/>
      <c r="I102" s="66" cm="1" t="str">
        <f t="array" ref="I102">IF(AG102="","",P102-K102)</f>
        <v/>
      </c>
      <c r="J102" s="67"/>
      <c r="K102" s="65"/>
      <c r="L102" s="68"/>
      <c r="M102" s="68"/>
      <c r="N102" s="68"/>
      <c r="O102" s="68"/>
      <c r="P102" s="66" cm="1" t="str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cm="1" t="str">
        <f t="array" ref="F103">IF(AG103="","",I103-H103)</f>
        <v/>
      </c>
      <c r="G103" s="67"/>
      <c r="H103" s="65"/>
      <c r="I103" s="66" cm="1" t="str">
        <f t="array" ref="I103">IF(AG103="","",P103-K103)</f>
        <v/>
      </c>
      <c r="J103" s="67"/>
      <c r="K103" s="65"/>
      <c r="L103" s="68"/>
      <c r="M103" s="68"/>
      <c r="N103" s="68"/>
      <c r="O103" s="68"/>
      <c r="P103" s="66" cm="1" t="str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cm="1" t="str">
        <f t="array" ref="F104">IF(AG104="","",I104-H104)</f>
        <v/>
      </c>
      <c r="G104" s="67"/>
      <c r="H104" s="65"/>
      <c r="I104" s="66" cm="1" t="str">
        <f t="array" ref="I104">IF(AG104="","",P104-K104)</f>
        <v/>
      </c>
      <c r="J104" s="67"/>
      <c r="K104" s="65"/>
      <c r="L104" s="68"/>
      <c r="M104" s="68"/>
      <c r="N104" s="68"/>
      <c r="O104" s="68"/>
      <c r="P104" s="66" cm="1" t="str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cm="1" t="str">
        <f t="array" ref="F105">IF(AG105="","",I105-H105)</f>
        <v/>
      </c>
      <c r="G105" s="67"/>
      <c r="H105" s="65"/>
      <c r="I105" s="66" cm="1" t="str">
        <f t="array" ref="I105">IF(AG105="","",P105-K105)</f>
        <v/>
      </c>
      <c r="J105" s="67"/>
      <c r="K105" s="65"/>
      <c r="L105" s="68"/>
      <c r="M105" s="68"/>
      <c r="N105" s="68"/>
      <c r="O105" s="68"/>
      <c r="P105" s="66" cm="1" t="str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cm="1" t="str">
        <f t="array" ref="F106">IF(AG106="","",I106-H106)</f>
        <v/>
      </c>
      <c r="G106" s="67"/>
      <c r="H106" s="65"/>
      <c r="I106" s="66" cm="1" t="str">
        <f t="array" ref="I106">IF(AG106="","",P106-K106)</f>
        <v/>
      </c>
      <c r="J106" s="67"/>
      <c r="K106" s="65"/>
      <c r="L106" s="68"/>
      <c r="M106" s="68"/>
      <c r="N106" s="68"/>
      <c r="O106" s="68"/>
      <c r="P106" s="66" cm="1" t="str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cm="1" t="str">
        <f t="array" ref="F107">IF(AG107="","",I107-H107)</f>
        <v/>
      </c>
      <c r="G107" s="67"/>
      <c r="H107" s="65"/>
      <c r="I107" s="66" cm="1" t="str">
        <f t="array" ref="I107">IF(AG107="","",P107-K107)</f>
        <v/>
      </c>
      <c r="J107" s="67"/>
      <c r="K107" s="65"/>
      <c r="L107" s="68"/>
      <c r="M107" s="68"/>
      <c r="N107" s="68"/>
      <c r="O107" s="68"/>
      <c r="P107" s="66" cm="1" t="str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cm="1" t="str">
        <f t="array" ref="F108">IF(AG108="","",I108-H108)</f>
        <v/>
      </c>
      <c r="G108" s="67"/>
      <c r="H108" s="65"/>
      <c r="I108" s="66" cm="1" t="str">
        <f t="array" ref="I108">IF(AG108="","",P108-K108)</f>
        <v/>
      </c>
      <c r="J108" s="67"/>
      <c r="K108" s="65"/>
      <c r="L108" s="68"/>
      <c r="M108" s="68"/>
      <c r="N108" s="68"/>
      <c r="O108" s="68"/>
      <c r="P108" s="66" cm="1" t="str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cm="1" t="str">
        <f t="array" ref="F109">IF(AG109="","",I109-H109)</f>
        <v/>
      </c>
      <c r="G109" s="67"/>
      <c r="H109" s="65"/>
      <c r="I109" s="66" cm="1" t="str">
        <f t="array" ref="I109">IF(AG109="","",P109-K109)</f>
        <v/>
      </c>
      <c r="J109" s="67"/>
      <c r="K109" s="65"/>
      <c r="L109" s="68"/>
      <c r="M109" s="68"/>
      <c r="N109" s="68"/>
      <c r="O109" s="68"/>
      <c r="P109" s="66" cm="1" t="str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cm="1" t="str">
        <f t="array" ref="F110">IF(AG110="","",I110-H110)</f>
        <v/>
      </c>
      <c r="G110" s="67"/>
      <c r="H110" s="65"/>
      <c r="I110" s="66" cm="1" t="str">
        <f t="array" ref="I110">IF(AG110="","",P110-K110)</f>
        <v/>
      </c>
      <c r="J110" s="67"/>
      <c r="K110" s="65"/>
      <c r="L110" s="68"/>
      <c r="M110" s="68"/>
      <c r="N110" s="68"/>
      <c r="O110" s="68"/>
      <c r="P110" s="66" cm="1" t="str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cm="1" t="str">
        <f t="array" ref="F111">IF(AG111="","",I111-H111)</f>
        <v/>
      </c>
      <c r="G111" s="67"/>
      <c r="H111" s="65"/>
      <c r="I111" s="66" cm="1" t="str">
        <f t="array" ref="I111">IF(AG111="","",P111-K111)</f>
        <v/>
      </c>
      <c r="J111" s="67"/>
      <c r="K111" s="65"/>
      <c r="L111" s="68"/>
      <c r="M111" s="68"/>
      <c r="N111" s="68"/>
      <c r="O111" s="68"/>
      <c r="P111" s="66" cm="1" t="str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cm="1" t="str">
        <f t="array" ref="F112">IF(AG112="","",I112-H112)</f>
        <v/>
      </c>
      <c r="G112" s="67"/>
      <c r="H112" s="65"/>
      <c r="I112" s="66" cm="1" t="str">
        <f t="array" ref="I112">IF(AG112="","",P112-K112)</f>
        <v/>
      </c>
      <c r="J112" s="67"/>
      <c r="K112" s="65"/>
      <c r="L112" s="68"/>
      <c r="M112" s="68"/>
      <c r="N112" s="68"/>
      <c r="O112" s="68"/>
      <c r="P112" s="66" cm="1" t="str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cm="1" t="str">
        <f t="array" ref="F113">IF(AG113="","",I113-H113)</f>
        <v/>
      </c>
      <c r="G113" s="67"/>
      <c r="H113" s="65"/>
      <c r="I113" s="66" cm="1" t="str">
        <f t="array" ref="I113">IF(AG113="","",P113-K113)</f>
        <v/>
      </c>
      <c r="J113" s="67"/>
      <c r="K113" s="65"/>
      <c r="L113" s="68"/>
      <c r="M113" s="68"/>
      <c r="N113" s="68"/>
      <c r="O113" s="68"/>
      <c r="P113" s="66" cm="1" t="str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cm="1" t="str">
        <f t="array" ref="F114">IF(AG114="","",I114-H114)</f>
        <v/>
      </c>
      <c r="G114" s="67"/>
      <c r="H114" s="65"/>
      <c r="I114" s="66" cm="1" t="str">
        <f t="array" ref="I114">IF(AG114="","",P114-K114)</f>
        <v/>
      </c>
      <c r="J114" s="67"/>
      <c r="K114" s="65"/>
      <c r="L114" s="68"/>
      <c r="M114" s="68"/>
      <c r="N114" s="68"/>
      <c r="O114" s="68"/>
      <c r="P114" s="66" cm="1" t="str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cm="1" t="str">
        <f t="array" ref="F115">IF(AG115="","",I115-H115)</f>
        <v/>
      </c>
      <c r="G115" s="67"/>
      <c r="H115" s="65"/>
      <c r="I115" s="66" cm="1" t="str">
        <f t="array" ref="I115">IF(AG115="","",P115-K115)</f>
        <v/>
      </c>
      <c r="J115" s="67"/>
      <c r="K115" s="65"/>
      <c r="L115" s="68"/>
      <c r="M115" s="68"/>
      <c r="N115" s="68"/>
      <c r="O115" s="68"/>
      <c r="P115" s="66" cm="1" t="str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cm="1" t="str">
        <f t="array" ref="F116">IF(AG116="","",I116-H116)</f>
        <v/>
      </c>
      <c r="G116" s="67"/>
      <c r="H116" s="65"/>
      <c r="I116" s="66" cm="1" t="str">
        <f t="array" ref="I116">IF(AG116="","",P116-K116)</f>
        <v/>
      </c>
      <c r="J116" s="67"/>
      <c r="K116" s="65"/>
      <c r="L116" s="68"/>
      <c r="M116" s="68"/>
      <c r="N116" s="68"/>
      <c r="O116" s="68"/>
      <c r="P116" s="66" cm="1" t="str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cm="1" t="str">
        <f t="array" ref="F117">IF(AG117="","",I117-H117)</f>
        <v/>
      </c>
      <c r="G117" s="67"/>
      <c r="H117" s="65"/>
      <c r="I117" s="66" cm="1" t="str">
        <f t="array" ref="I117">IF(AG117="","",P117-K117)</f>
        <v/>
      </c>
      <c r="J117" s="67"/>
      <c r="K117" s="65"/>
      <c r="L117" s="68"/>
      <c r="M117" s="68"/>
      <c r="N117" s="68"/>
      <c r="O117" s="68"/>
      <c r="P117" s="66" cm="1" t="str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cm="1" t="str">
        <f t="array" ref="F118">IF(AG118="","",I118-H118)</f>
        <v/>
      </c>
      <c r="G118" s="67"/>
      <c r="H118" s="65"/>
      <c r="I118" s="66" cm="1" t="str">
        <f t="array" ref="I118">IF(AG118="","",P118-K118)</f>
        <v/>
      </c>
      <c r="J118" s="67"/>
      <c r="K118" s="65"/>
      <c r="L118" s="68"/>
      <c r="M118" s="68"/>
      <c r="N118" s="68"/>
      <c r="O118" s="68"/>
      <c r="P118" s="66" cm="1" t="str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cm="1" t="str">
        <f t="array" ref="F119">IF(AG119="","",I119-H119)</f>
        <v/>
      </c>
      <c r="G119" s="67"/>
      <c r="H119" s="65"/>
      <c r="I119" s="66" cm="1" t="str">
        <f t="array" ref="I119">IF(AG119="","",P119-K119)</f>
        <v/>
      </c>
      <c r="J119" s="67"/>
      <c r="K119" s="65"/>
      <c r="L119" s="68"/>
      <c r="M119" s="68"/>
      <c r="N119" s="68"/>
      <c r="O119" s="68"/>
      <c r="P119" s="66" cm="1" t="str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cm="1" t="str">
        <f t="array" ref="F120">IF(AG120="","",I120-H120)</f>
        <v/>
      </c>
      <c r="G120" s="67"/>
      <c r="H120" s="65"/>
      <c r="I120" s="66" cm="1" t="str">
        <f t="array" ref="I120">IF(AG120="","",P120-K120)</f>
        <v/>
      </c>
      <c r="J120" s="67"/>
      <c r="K120" s="65"/>
      <c r="L120" s="68"/>
      <c r="M120" s="68"/>
      <c r="N120" s="68"/>
      <c r="O120" s="68"/>
      <c r="P120" s="66" cm="1" t="str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cm="1" t="str">
        <f t="array" ref="F121">IF(AG121="","",I121-H121)</f>
        <v/>
      </c>
      <c r="G121" s="67"/>
      <c r="H121" s="65"/>
      <c r="I121" s="66" cm="1" t="str">
        <f t="array" ref="I121">IF(AG121="","",P121-K121)</f>
        <v/>
      </c>
      <c r="J121" s="67"/>
      <c r="K121" s="65"/>
      <c r="L121" s="68"/>
      <c r="M121" s="68"/>
      <c r="N121" s="68"/>
      <c r="O121" s="68"/>
      <c r="P121" s="66" cm="1" t="str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cm="1" t="str">
        <f t="array" ref="F122">IF(AG122="","",I122-H122)</f>
        <v/>
      </c>
      <c r="G122" s="67"/>
      <c r="H122" s="65"/>
      <c r="I122" s="66" cm="1" t="str">
        <f t="array" ref="I122">IF(AG122="","",P122-K122)</f>
        <v/>
      </c>
      <c r="J122" s="67"/>
      <c r="K122" s="65"/>
      <c r="L122" s="68"/>
      <c r="M122" s="68"/>
      <c r="N122" s="68"/>
      <c r="O122" s="68"/>
      <c r="P122" s="66" cm="1" t="str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cm="1" t="str">
        <f t="array" ref="F123">IF(AG123="","",I123-H123)</f>
        <v/>
      </c>
      <c r="G123" s="67"/>
      <c r="H123" s="65"/>
      <c r="I123" s="66" cm="1" t="str">
        <f t="array" ref="I123">IF(AG123="","",P123-K123)</f>
        <v/>
      </c>
      <c r="J123" s="67"/>
      <c r="K123" s="65"/>
      <c r="L123" s="68"/>
      <c r="M123" s="68"/>
      <c r="N123" s="68"/>
      <c r="O123" s="68"/>
      <c r="P123" s="66" cm="1" t="str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cm="1" t="str">
        <f t="array" ref="F124">IF(AG124="","",I124-H124)</f>
        <v/>
      </c>
      <c r="G124" s="67"/>
      <c r="H124" s="65"/>
      <c r="I124" s="66" cm="1" t="str">
        <f t="array" ref="I124">IF(AG124="","",P124-K124)</f>
        <v/>
      </c>
      <c r="J124" s="67"/>
      <c r="K124" s="65"/>
      <c r="L124" s="68"/>
      <c r="M124" s="68"/>
      <c r="N124" s="68"/>
      <c r="O124" s="68"/>
      <c r="P124" s="66" cm="1" t="str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cm="1" t="str">
        <f t="array" ref="F125">IF(AG125="","",I125-H125)</f>
        <v/>
      </c>
      <c r="G125" s="67"/>
      <c r="H125" s="65"/>
      <c r="I125" s="66" cm="1" t="str">
        <f t="array" ref="I125">IF(AG125="","",P125-K125)</f>
        <v/>
      </c>
      <c r="J125" s="67"/>
      <c r="K125" s="65"/>
      <c r="L125" s="68"/>
      <c r="M125" s="68"/>
      <c r="N125" s="68"/>
      <c r="O125" s="68"/>
      <c r="P125" s="66" cm="1" t="str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cm="1" t="str">
        <f t="array" ref="F126">IF(AG126="","",I126-H126)</f>
        <v/>
      </c>
      <c r="G126" s="67"/>
      <c r="H126" s="65"/>
      <c r="I126" s="66" cm="1" t="str">
        <f t="array" ref="I126">IF(AG126="","",P126-K126)</f>
        <v/>
      </c>
      <c r="J126" s="67"/>
      <c r="K126" s="65"/>
      <c r="L126" s="68"/>
      <c r="M126" s="68"/>
      <c r="N126" s="68"/>
      <c r="O126" s="68"/>
      <c r="P126" s="66" cm="1" t="str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cm="1" t="str">
        <f t="array" ref="F127">IF(AG127="","",I127-H127)</f>
        <v/>
      </c>
      <c r="G127" s="67"/>
      <c r="H127" s="65"/>
      <c r="I127" s="66" cm="1" t="str">
        <f t="array" ref="I127">IF(AG127="","",P127-K127)</f>
        <v/>
      </c>
      <c r="J127" s="67"/>
      <c r="K127" s="65"/>
      <c r="L127" s="68"/>
      <c r="M127" s="68"/>
      <c r="N127" s="68"/>
      <c r="O127" s="68"/>
      <c r="P127" s="66" cm="1" t="str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cm="1" t="str">
        <f t="array" ref="F128">IF(AG128="","",I128-H128)</f>
        <v/>
      </c>
      <c r="G128" s="67"/>
      <c r="H128" s="65"/>
      <c r="I128" s="66" cm="1" t="str">
        <f t="array" ref="I128">IF(AG128="","",P128-K128)</f>
        <v/>
      </c>
      <c r="J128" s="67"/>
      <c r="K128" s="65"/>
      <c r="L128" s="68"/>
      <c r="M128" s="68"/>
      <c r="N128" s="68"/>
      <c r="O128" s="68"/>
      <c r="P128" s="66" cm="1" t="str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cm="1" t="str">
        <f t="array" ref="F129">IF(AG129="","",I129-H129)</f>
        <v/>
      </c>
      <c r="G129" s="67"/>
      <c r="H129" s="65"/>
      <c r="I129" s="66" cm="1" t="str">
        <f t="array" ref="I129">IF(AG129="","",P129-K129)</f>
        <v/>
      </c>
      <c r="J129" s="67"/>
      <c r="K129" s="65"/>
      <c r="L129" s="68"/>
      <c r="M129" s="68"/>
      <c r="N129" s="68"/>
      <c r="O129" s="68"/>
      <c r="P129" s="66" cm="1" t="str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cm="1" t="str">
        <f t="array" ref="F130">IF(AG130="","",I130-H130)</f>
        <v/>
      </c>
      <c r="G130" s="67"/>
      <c r="H130" s="65"/>
      <c r="I130" s="66" cm="1" t="str">
        <f t="array" ref="I130">IF(AG130="","",P130-K130)</f>
        <v/>
      </c>
      <c r="J130" s="67"/>
      <c r="K130" s="65"/>
      <c r="L130" s="68"/>
      <c r="M130" s="68"/>
      <c r="N130" s="68"/>
      <c r="O130" s="68"/>
      <c r="P130" s="66" cm="1" t="str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cm="1" t="str">
        <f t="array" ref="F131">IF(AG131="","",I131-H131)</f>
        <v/>
      </c>
      <c r="G131" s="67"/>
      <c r="H131" s="65"/>
      <c r="I131" s="66" cm="1" t="str">
        <f t="array" ref="I131">IF(AG131="","",P131-K131)</f>
        <v/>
      </c>
      <c r="J131" s="67"/>
      <c r="K131" s="65"/>
      <c r="L131" s="68"/>
      <c r="M131" s="68"/>
      <c r="N131" s="68"/>
      <c r="O131" s="68"/>
      <c r="P131" s="66" cm="1" t="str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cm="1" t="str">
        <f t="array" ref="F132">IF(AG132="","",I132-H132)</f>
        <v/>
      </c>
      <c r="G132" s="67"/>
      <c r="H132" s="65"/>
      <c r="I132" s="66" cm="1" t="str">
        <f t="array" ref="I132">IF(AG132="","",P132-K132)</f>
        <v/>
      </c>
      <c r="J132" s="67"/>
      <c r="K132" s="65"/>
      <c r="L132" s="68"/>
      <c r="M132" s="68"/>
      <c r="N132" s="68"/>
      <c r="O132" s="68"/>
      <c r="P132" s="66" cm="1" t="str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cm="1" t="str">
        <f t="array" ref="F133">IF(AG133="","",I133-H133)</f>
        <v/>
      </c>
      <c r="G133" s="67"/>
      <c r="H133" s="65"/>
      <c r="I133" s="66" cm="1" t="str">
        <f t="array" ref="I133">IF(AG133="","",P133-K133)</f>
        <v/>
      </c>
      <c r="J133" s="67"/>
      <c r="K133" s="65"/>
      <c r="L133" s="68"/>
      <c r="M133" s="68"/>
      <c r="N133" s="68"/>
      <c r="O133" s="68"/>
      <c r="P133" s="66" cm="1" t="str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cm="1" t="str">
        <f t="array" ref="F134">IF(AG134="","",I134-H134)</f>
        <v/>
      </c>
      <c r="G134" s="67"/>
      <c r="H134" s="65"/>
      <c r="I134" s="66" cm="1" t="str">
        <f t="array" ref="I134">IF(AG134="","",P134-K134)</f>
        <v/>
      </c>
      <c r="J134" s="67"/>
      <c r="K134" s="65"/>
      <c r="L134" s="68"/>
      <c r="M134" s="68"/>
      <c r="N134" s="68"/>
      <c r="O134" s="68"/>
      <c r="P134" s="66" cm="1" t="str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cm="1" t="str">
        <f t="array" ref="F135">IF(AG135="","",I135-H135)</f>
        <v/>
      </c>
      <c r="G135" s="67"/>
      <c r="H135" s="65"/>
      <c r="I135" s="66" cm="1" t="str">
        <f t="array" ref="I135">IF(AG135="","",P135-K135)</f>
        <v/>
      </c>
      <c r="J135" s="67"/>
      <c r="K135" s="65"/>
      <c r="L135" s="68"/>
      <c r="M135" s="68"/>
      <c r="N135" s="68"/>
      <c r="O135" s="68"/>
      <c r="P135" s="66" cm="1" t="str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cm="1" t="str">
        <f t="array" ref="F136">IF(AG136="","",I136-H136)</f>
        <v/>
      </c>
      <c r="G136" s="67"/>
      <c r="H136" s="65"/>
      <c r="I136" s="66" cm="1" t="str">
        <f t="array" ref="I136">IF(AG136="","",P136-K136)</f>
        <v/>
      </c>
      <c r="J136" s="67"/>
      <c r="K136" s="65"/>
      <c r="L136" s="68"/>
      <c r="M136" s="68"/>
      <c r="N136" s="68"/>
      <c r="O136" s="68"/>
      <c r="P136" s="66" cm="1" t="str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cm="1" t="str">
        <f t="array" ref="F137">IF(AG137="","",I137-H137)</f>
        <v/>
      </c>
      <c r="G137" s="67"/>
      <c r="H137" s="65"/>
      <c r="I137" s="66" cm="1" t="str">
        <f t="array" ref="I137">IF(AG137="","",P137-K137)</f>
        <v/>
      </c>
      <c r="J137" s="67"/>
      <c r="K137" s="65"/>
      <c r="L137" s="68"/>
      <c r="M137" s="68"/>
      <c r="N137" s="68"/>
      <c r="O137" s="68"/>
      <c r="P137" s="66" cm="1" t="str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cm="1" t="str">
        <f t="array" ref="F138">IF(AG138="","",I138-H138)</f>
        <v/>
      </c>
      <c r="G138" s="67"/>
      <c r="H138" s="65"/>
      <c r="I138" s="66" cm="1" t="str">
        <f t="array" ref="I138">IF(AG138="","",P138-K138)</f>
        <v/>
      </c>
      <c r="J138" s="67"/>
      <c r="K138" s="65"/>
      <c r="L138" s="68"/>
      <c r="M138" s="68"/>
      <c r="N138" s="68"/>
      <c r="O138" s="68"/>
      <c r="P138" s="66" cm="1" t="str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cm="1" t="str">
        <f t="array" ref="F139">IF(AG139="","",I139-H139)</f>
        <v/>
      </c>
      <c r="G139" s="67"/>
      <c r="H139" s="65"/>
      <c r="I139" s="66" cm="1" t="str">
        <f t="array" ref="I139">IF(AG139="","",P139-K139)</f>
        <v/>
      </c>
      <c r="J139" s="67"/>
      <c r="K139" s="65"/>
      <c r="L139" s="68"/>
      <c r="M139" s="68"/>
      <c r="N139" s="68"/>
      <c r="O139" s="68"/>
      <c r="P139" s="66" cm="1" t="str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cm="1" t="str">
        <f t="array" ref="F140">IF(AG140="","",I140-H140)</f>
        <v/>
      </c>
      <c r="G140" s="67"/>
      <c r="H140" s="65"/>
      <c r="I140" s="66" cm="1" t="str">
        <f t="array" ref="I140">IF(AG140="","",P140-K140)</f>
        <v/>
      </c>
      <c r="J140" s="67"/>
      <c r="K140" s="65"/>
      <c r="L140" s="68"/>
      <c r="M140" s="68"/>
      <c r="N140" s="68"/>
      <c r="O140" s="68"/>
      <c r="P140" s="66" cm="1" t="str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cm="1" t="str">
        <f t="array" ref="F141">IF(AG141="","",I141-H141)</f>
        <v/>
      </c>
      <c r="G141" s="67"/>
      <c r="H141" s="65"/>
      <c r="I141" s="66" cm="1" t="str">
        <f t="array" ref="I141">IF(AG141="","",P141-K141)</f>
        <v/>
      </c>
      <c r="J141" s="67"/>
      <c r="K141" s="65"/>
      <c r="L141" s="68"/>
      <c r="M141" s="68"/>
      <c r="N141" s="68"/>
      <c r="O141" s="68"/>
      <c r="P141" s="66" cm="1" t="str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cm="1" t="str">
        <f t="array" ref="F142">IF(AG142="","",I142-H142)</f>
        <v/>
      </c>
      <c r="G142" s="67"/>
      <c r="H142" s="65"/>
      <c r="I142" s="66" cm="1" t="str">
        <f t="array" ref="I142">IF(AG142="","",P142-K142)</f>
        <v/>
      </c>
      <c r="J142" s="67"/>
      <c r="K142" s="65"/>
      <c r="L142" s="68"/>
      <c r="M142" s="68"/>
      <c r="N142" s="68"/>
      <c r="O142" s="68"/>
      <c r="P142" s="66" cm="1" t="str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cm="1" t="str">
        <f t="array" ref="F143">IF(AG143="","",I143-H143)</f>
        <v/>
      </c>
      <c r="G143" s="67"/>
      <c r="H143" s="65"/>
      <c r="I143" s="66" cm="1" t="str">
        <f t="array" ref="I143">IF(AG143="","",P143-K143)</f>
        <v/>
      </c>
      <c r="J143" s="67"/>
      <c r="K143" s="65"/>
      <c r="L143" s="68"/>
      <c r="M143" s="68"/>
      <c r="N143" s="68"/>
      <c r="O143" s="68"/>
      <c r="P143" s="66" cm="1" t="str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cm="1" t="str">
        <f t="array" ref="F144">IF(AG144="","",I144-H144)</f>
        <v/>
      </c>
      <c r="G144" s="67"/>
      <c r="H144" s="65"/>
      <c r="I144" s="66" cm="1" t="str">
        <f t="array" ref="I144">IF(AG144="","",P144-K144)</f>
        <v/>
      </c>
      <c r="J144" s="67"/>
      <c r="K144" s="65"/>
      <c r="L144" s="68"/>
      <c r="M144" s="68"/>
      <c r="N144" s="68"/>
      <c r="O144" s="68"/>
      <c r="P144" s="66" cm="1" t="str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cm="1" t="str">
        <f t="array" ref="F145">IF(AG145="","",I145-H145)</f>
        <v/>
      </c>
      <c r="G145" s="67"/>
      <c r="H145" s="65"/>
      <c r="I145" s="66" cm="1" t="str">
        <f t="array" ref="I145">IF(AG145="","",P145-K145)</f>
        <v/>
      </c>
      <c r="J145" s="67"/>
      <c r="K145" s="65"/>
      <c r="L145" s="68"/>
      <c r="M145" s="68"/>
      <c r="N145" s="68"/>
      <c r="O145" s="68"/>
      <c r="P145" s="66" cm="1" t="str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cm="1" t="str">
        <f t="array" ref="F146">IF(AG146="","",I146-H146)</f>
        <v/>
      </c>
      <c r="G146" s="67"/>
      <c r="H146" s="65"/>
      <c r="I146" s="66" cm="1" t="str">
        <f t="array" ref="I146">IF(AG146="","",P146-K146)</f>
        <v/>
      </c>
      <c r="J146" s="67"/>
      <c r="K146" s="65"/>
      <c r="L146" s="68"/>
      <c r="M146" s="68"/>
      <c r="N146" s="68"/>
      <c r="O146" s="68"/>
      <c r="P146" s="66" cm="1" t="str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cm="1" t="str">
        <f t="array" ref="F147">IF(AG147="","",I147-H147)</f>
        <v/>
      </c>
      <c r="G147" s="67"/>
      <c r="H147" s="65"/>
      <c r="I147" s="66" cm="1" t="str">
        <f t="array" ref="I147">IF(AG147="","",P147-K147)</f>
        <v/>
      </c>
      <c r="J147" s="67"/>
      <c r="K147" s="65"/>
      <c r="L147" s="68"/>
      <c r="M147" s="68"/>
      <c r="N147" s="68"/>
      <c r="O147" s="68"/>
      <c r="P147" s="66" cm="1" t="str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cm="1" t="str">
        <f t="array" ref="F148">IF(AG148="","",I148-H148)</f>
        <v/>
      </c>
      <c r="G148" s="67"/>
      <c r="H148" s="65"/>
      <c r="I148" s="66" cm="1" t="str">
        <f t="array" ref="I148">IF(AG148="","",P148-K148)</f>
        <v/>
      </c>
      <c r="J148" s="67"/>
      <c r="K148" s="65"/>
      <c r="L148" s="68"/>
      <c r="M148" s="68"/>
      <c r="N148" s="68"/>
      <c r="O148" s="68"/>
      <c r="P148" s="66" cm="1" t="str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cm="1" t="str">
        <f t="array" ref="F149">IF(AG149="","",I149-H149)</f>
        <v/>
      </c>
      <c r="G149" s="67"/>
      <c r="H149" s="65"/>
      <c r="I149" s="66" cm="1" t="str">
        <f t="array" ref="I149">IF(AG149="","",P149-K149)</f>
        <v/>
      </c>
      <c r="J149" s="67"/>
      <c r="K149" s="65"/>
      <c r="L149" s="68"/>
      <c r="M149" s="68"/>
      <c r="N149" s="68"/>
      <c r="O149" s="68"/>
      <c r="P149" s="66" cm="1" t="str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cm="1" t="str">
        <f t="array" ref="F150">IF(AG150="","",I150-H150)</f>
        <v/>
      </c>
      <c r="G150" s="67"/>
      <c r="H150" s="65"/>
      <c r="I150" s="66" cm="1" t="str">
        <f t="array" ref="I150">IF(AG150="","",P150-K150)</f>
        <v/>
      </c>
      <c r="J150" s="67"/>
      <c r="K150" s="65"/>
      <c r="L150" s="68"/>
      <c r="M150" s="68"/>
      <c r="N150" s="68"/>
      <c r="O150" s="68"/>
      <c r="P150" s="66" cm="1" t="str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cm="1" t="str">
        <f t="array" ref="F151">IF(AG151="","",I151-H151)</f>
        <v/>
      </c>
      <c r="G151" s="67"/>
      <c r="H151" s="65"/>
      <c r="I151" s="66" cm="1" t="str">
        <f t="array" ref="I151">IF(AG151="","",P151-K151)</f>
        <v/>
      </c>
      <c r="J151" s="67"/>
      <c r="K151" s="65"/>
      <c r="L151" s="68"/>
      <c r="M151" s="68"/>
      <c r="N151" s="68"/>
      <c r="O151" s="68"/>
      <c r="P151" s="66" cm="1" t="str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cm="1" t="str">
        <f t="array" ref="F152">IF(AG152="","",I152-H152)</f>
        <v/>
      </c>
      <c r="G152" s="67"/>
      <c r="H152" s="65"/>
      <c r="I152" s="66" cm="1" t="str">
        <f t="array" ref="I152">IF(AG152="","",P152-K152)</f>
        <v/>
      </c>
      <c r="J152" s="67"/>
      <c r="K152" s="65"/>
      <c r="L152" s="68"/>
      <c r="M152" s="68"/>
      <c r="N152" s="68"/>
      <c r="O152" s="68"/>
      <c r="P152" s="66" cm="1" t="str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cm="1" t="str">
        <f t="array" ref="F153">IF(AG153="","",I153-H153)</f>
        <v/>
      </c>
      <c r="G153" s="67"/>
      <c r="H153" s="65"/>
      <c r="I153" s="66" cm="1" t="str">
        <f t="array" ref="I153">IF(AG153="","",P153-K153)</f>
        <v/>
      </c>
      <c r="J153" s="67"/>
      <c r="K153" s="65"/>
      <c r="L153" s="68"/>
      <c r="M153" s="68"/>
      <c r="N153" s="68"/>
      <c r="O153" s="68"/>
      <c r="P153" s="66" cm="1" t="str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cm="1" t="str">
        <f t="array" ref="F154">IF(AG154="","",I154-H154)</f>
        <v/>
      </c>
      <c r="G154" s="67"/>
      <c r="H154" s="65"/>
      <c r="I154" s="66" cm="1" t="str">
        <f t="array" ref="I154">IF(AG154="","",P154-K154)</f>
        <v/>
      </c>
      <c r="J154" s="67"/>
      <c r="K154" s="65"/>
      <c r="L154" s="68"/>
      <c r="M154" s="68"/>
      <c r="N154" s="68"/>
      <c r="O154" s="68"/>
      <c r="P154" s="66" cm="1" t="str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cm="1" t="str">
        <f t="array" ref="F155">IF(AG155="","",I155-H155)</f>
        <v/>
      </c>
      <c r="G155" s="67"/>
      <c r="H155" s="65"/>
      <c r="I155" s="66" cm="1" t="str">
        <f t="array" ref="I155">IF(AG155="","",P155-K155)</f>
        <v/>
      </c>
      <c r="J155" s="67"/>
      <c r="K155" s="65"/>
      <c r="L155" s="68"/>
      <c r="M155" s="68"/>
      <c r="N155" s="68"/>
      <c r="O155" s="68"/>
      <c r="P155" s="66" cm="1" t="str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cm="1" t="str">
        <f t="array" ref="F156">IF(AG156="","",I156-H156)</f>
        <v/>
      </c>
      <c r="G156" s="67"/>
      <c r="H156" s="65"/>
      <c r="I156" s="66" cm="1" t="str">
        <f t="array" ref="I156">IF(AG156="","",P156-K156)</f>
        <v/>
      </c>
      <c r="J156" s="67"/>
      <c r="K156" s="65"/>
      <c r="L156" s="68"/>
      <c r="M156" s="68"/>
      <c r="N156" s="68"/>
      <c r="O156" s="68"/>
      <c r="P156" s="66" cm="1" t="str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cm="1" t="str">
        <f t="array" ref="F157">IF(AG157="","",I157-H157)</f>
        <v/>
      </c>
      <c r="G157" s="67"/>
      <c r="H157" s="65"/>
      <c r="I157" s="66" cm="1" t="str">
        <f t="array" ref="I157">IF(AG157="","",P157-K157)</f>
        <v/>
      </c>
      <c r="J157" s="67"/>
      <c r="K157" s="65"/>
      <c r="L157" s="68"/>
      <c r="M157" s="68"/>
      <c r="N157" s="68"/>
      <c r="O157" s="68"/>
      <c r="P157" s="66" cm="1" t="str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cm="1" t="str">
        <f t="array" ref="F158">IF(AG158="","",I158-H158)</f>
        <v/>
      </c>
      <c r="G158" s="67"/>
      <c r="H158" s="65"/>
      <c r="I158" s="66" cm="1" t="str">
        <f t="array" ref="I158">IF(AG158="","",P158-K158)</f>
        <v/>
      </c>
      <c r="J158" s="67"/>
      <c r="K158" s="65"/>
      <c r="L158" s="68"/>
      <c r="M158" s="68"/>
      <c r="N158" s="68"/>
      <c r="O158" s="68"/>
      <c r="P158" s="66" cm="1" t="str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cm="1" t="str">
        <f t="array" ref="F159">IF(AG159="","",I159-H159)</f>
        <v/>
      </c>
      <c r="G159" s="67"/>
      <c r="H159" s="65"/>
      <c r="I159" s="66" cm="1" t="str">
        <f t="array" ref="I159">IF(AG159="","",P159-K159)</f>
        <v/>
      </c>
      <c r="J159" s="67"/>
      <c r="K159" s="65"/>
      <c r="L159" s="68"/>
      <c r="M159" s="68"/>
      <c r="N159" s="68"/>
      <c r="O159" s="68"/>
      <c r="P159" s="66" cm="1" t="str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cm="1" t="str">
        <f t="array" ref="F160">IF(AG160="","",I160-H160)</f>
        <v/>
      </c>
      <c r="G160" s="67"/>
      <c r="H160" s="65"/>
      <c r="I160" s="66" cm="1" t="str">
        <f t="array" ref="I160">IF(AG160="","",P160-K160)</f>
        <v/>
      </c>
      <c r="J160" s="67"/>
      <c r="K160" s="65"/>
      <c r="L160" s="68"/>
      <c r="M160" s="68"/>
      <c r="N160" s="68"/>
      <c r="O160" s="68"/>
      <c r="P160" s="66" cm="1" t="str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cm="1" t="str">
        <f t="array" ref="F161">IF(AG161="","",I161-H161)</f>
        <v/>
      </c>
      <c r="G161" s="67"/>
      <c r="H161" s="65"/>
      <c r="I161" s="66" cm="1" t="str">
        <f t="array" ref="I161">IF(AG161="","",P161-K161)</f>
        <v/>
      </c>
      <c r="J161" s="67"/>
      <c r="K161" s="65"/>
      <c r="L161" s="68"/>
      <c r="M161" s="68"/>
      <c r="N161" s="68"/>
      <c r="O161" s="68"/>
      <c r="P161" s="66" cm="1" t="str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cm="1" t="str">
        <f t="array" ref="F162">IF(AG162="","",I162-H162)</f>
        <v/>
      </c>
      <c r="G162" s="67"/>
      <c r="H162" s="65"/>
      <c r="I162" s="66" cm="1" t="str">
        <f t="array" ref="I162">IF(AG162="","",P162-K162)</f>
        <v/>
      </c>
      <c r="J162" s="67"/>
      <c r="K162" s="65"/>
      <c r="L162" s="68"/>
      <c r="M162" s="68"/>
      <c r="N162" s="68"/>
      <c r="O162" s="68"/>
      <c r="P162" s="66" cm="1" t="str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cm="1" t="str">
        <f t="array" ref="F163">IF(AG163="","",I163-H163)</f>
        <v/>
      </c>
      <c r="G163" s="67"/>
      <c r="H163" s="65"/>
      <c r="I163" s="66" cm="1" t="str">
        <f t="array" ref="I163">IF(AG163="","",P163-K163)</f>
        <v/>
      </c>
      <c r="J163" s="67"/>
      <c r="K163" s="65"/>
      <c r="L163" s="68"/>
      <c r="M163" s="68"/>
      <c r="N163" s="68"/>
      <c r="O163" s="68"/>
      <c r="P163" s="66" cm="1" t="str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cm="1" t="str">
        <f t="array" ref="F164">IF(AG164="","",I164-H164)</f>
        <v/>
      </c>
      <c r="G164" s="67"/>
      <c r="H164" s="65"/>
      <c r="I164" s="66" cm="1" t="str">
        <f t="array" ref="I164">IF(AG164="","",P164-K164)</f>
        <v/>
      </c>
      <c r="J164" s="67"/>
      <c r="K164" s="65"/>
      <c r="L164" s="68"/>
      <c r="M164" s="68"/>
      <c r="N164" s="68"/>
      <c r="O164" s="68"/>
      <c r="P164" s="66" cm="1" t="str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cm="1" t="str">
        <f t="array" ref="F165">IF(AG165="","",I165-H165)</f>
        <v/>
      </c>
      <c r="G165" s="67"/>
      <c r="H165" s="65"/>
      <c r="I165" s="66" cm="1" t="str">
        <f t="array" ref="I165">IF(AG165="","",P165-K165)</f>
        <v/>
      </c>
      <c r="J165" s="67"/>
      <c r="K165" s="65"/>
      <c r="L165" s="68"/>
      <c r="M165" s="68"/>
      <c r="N165" s="68"/>
      <c r="O165" s="68"/>
      <c r="P165" s="66" cm="1" t="str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cm="1" t="str">
        <f t="array" ref="F166">IF(AG166="","",I166-H166)</f>
        <v/>
      </c>
      <c r="G166" s="67"/>
      <c r="H166" s="65"/>
      <c r="I166" s="66" cm="1" t="str">
        <f t="array" ref="I166">IF(AG166="","",P166-K166)</f>
        <v/>
      </c>
      <c r="J166" s="67"/>
      <c r="K166" s="65"/>
      <c r="L166" s="68"/>
      <c r="M166" s="68"/>
      <c r="N166" s="68"/>
      <c r="O166" s="68"/>
      <c r="P166" s="66" cm="1" t="str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cm="1" t="str">
        <f t="array" ref="F167">IF(AG167="","",I167-H167)</f>
        <v/>
      </c>
      <c r="G167" s="67"/>
      <c r="H167" s="65"/>
      <c r="I167" s="66" cm="1" t="str">
        <f t="array" ref="I167">IF(AG167="","",P167-K167)</f>
        <v/>
      </c>
      <c r="J167" s="67"/>
      <c r="K167" s="65"/>
      <c r="L167" s="68"/>
      <c r="M167" s="68"/>
      <c r="N167" s="68"/>
      <c r="O167" s="68"/>
      <c r="P167" s="66" cm="1" t="str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cm="1" t="str">
        <f t="array" ref="F168">IF(AG168="","",I168-H168)</f>
        <v/>
      </c>
      <c r="G168" s="67"/>
      <c r="H168" s="65"/>
      <c r="I168" s="66" cm="1" t="str">
        <f t="array" ref="I168">IF(AG168="","",P168-K168)</f>
        <v/>
      </c>
      <c r="J168" s="67"/>
      <c r="K168" s="65"/>
      <c r="L168" s="68"/>
      <c r="M168" s="68"/>
      <c r="N168" s="68"/>
      <c r="O168" s="68"/>
      <c r="P168" s="66" cm="1" t="str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cm="1" t="str">
        <f t="array" ref="F169">IF(AG169="","",I169-H169)</f>
        <v/>
      </c>
      <c r="G169" s="67"/>
      <c r="H169" s="65"/>
      <c r="I169" s="66" cm="1" t="str">
        <f t="array" ref="I169">IF(AG169="","",P169-K169)</f>
        <v/>
      </c>
      <c r="J169" s="67"/>
      <c r="K169" s="65"/>
      <c r="L169" s="68"/>
      <c r="M169" s="68"/>
      <c r="N169" s="68"/>
      <c r="O169" s="68"/>
      <c r="P169" s="66" cm="1" t="str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cm="1" t="str">
        <f t="array" ref="F170">IF(AG170="","",I170-H170)</f>
        <v/>
      </c>
      <c r="G170" s="67"/>
      <c r="H170" s="65"/>
      <c r="I170" s="66" cm="1" t="str">
        <f t="array" ref="I170">IF(AG170="","",P170-K170)</f>
        <v/>
      </c>
      <c r="J170" s="67"/>
      <c r="K170" s="65"/>
      <c r="L170" s="68"/>
      <c r="M170" s="68"/>
      <c r="N170" s="68"/>
      <c r="O170" s="68"/>
      <c r="P170" s="66" cm="1" t="str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cm="1" t="str">
        <f t="array" ref="F171">IF(AG171="","",I171-H171)</f>
        <v/>
      </c>
      <c r="G171" s="67"/>
      <c r="H171" s="65"/>
      <c r="I171" s="66" cm="1" t="str">
        <f t="array" ref="I171">IF(AG171="","",P171-K171)</f>
        <v/>
      </c>
      <c r="J171" s="67"/>
      <c r="K171" s="65"/>
      <c r="L171" s="68"/>
      <c r="M171" s="68"/>
      <c r="N171" s="68"/>
      <c r="O171" s="68"/>
      <c r="P171" s="66" cm="1" t="str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cm="1" t="str">
        <f t="array" ref="F172">IF(AG172="","",I172-H172)</f>
        <v/>
      </c>
      <c r="G172" s="67"/>
      <c r="H172" s="65"/>
      <c r="I172" s="66" cm="1" t="str">
        <f t="array" ref="I172">IF(AG172="","",P172-K172)</f>
        <v/>
      </c>
      <c r="J172" s="67"/>
      <c r="K172" s="65"/>
      <c r="L172" s="68"/>
      <c r="M172" s="68"/>
      <c r="N172" s="68"/>
      <c r="O172" s="68"/>
      <c r="P172" s="66" cm="1" t="str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cm="1" t="str">
        <f t="array" ref="F173">IF(AG173="","",I173-H173)</f>
        <v/>
      </c>
      <c r="G173" s="67"/>
      <c r="H173" s="65"/>
      <c r="I173" s="66" cm="1" t="str">
        <f t="array" ref="I173">IF(AG173="","",P173-K173)</f>
        <v/>
      </c>
      <c r="J173" s="67"/>
      <c r="K173" s="65"/>
      <c r="L173" s="68"/>
      <c r="M173" s="68"/>
      <c r="N173" s="68"/>
      <c r="O173" s="68"/>
      <c r="P173" s="66" cm="1" t="str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cm="1" t="str">
        <f t="array" ref="F174">IF(AG174="","",I174-H174)</f>
        <v/>
      </c>
      <c r="G174" s="67"/>
      <c r="H174" s="65"/>
      <c r="I174" s="66" cm="1" t="str">
        <f t="array" ref="I174">IF(AG174="","",P174-K174)</f>
        <v/>
      </c>
      <c r="J174" s="67"/>
      <c r="K174" s="65"/>
      <c r="L174" s="68"/>
      <c r="M174" s="68"/>
      <c r="N174" s="68"/>
      <c r="O174" s="68"/>
      <c r="P174" s="66" cm="1" t="str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cm="1" t="str">
        <f t="array" ref="F175">IF(AG175="","",I175-H175)</f>
        <v/>
      </c>
      <c r="G175" s="67"/>
      <c r="H175" s="65"/>
      <c r="I175" s="66" cm="1" t="str">
        <f t="array" ref="I175">IF(AG175="","",P175-K175)</f>
        <v/>
      </c>
      <c r="J175" s="67"/>
      <c r="K175" s="65"/>
      <c r="L175" s="68"/>
      <c r="M175" s="68"/>
      <c r="N175" s="68"/>
      <c r="O175" s="68"/>
      <c r="P175" s="66" cm="1" t="str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cm="1" t="str">
        <f t="array" ref="F176">IF(AG176="","",I176-H176)</f>
        <v/>
      </c>
      <c r="G176" s="67"/>
      <c r="H176" s="65"/>
      <c r="I176" s="66" cm="1" t="str">
        <f t="array" ref="I176">IF(AG176="","",P176-K176)</f>
        <v/>
      </c>
      <c r="J176" s="67"/>
      <c r="K176" s="65"/>
      <c r="L176" s="68"/>
      <c r="M176" s="68"/>
      <c r="N176" s="68"/>
      <c r="O176" s="68"/>
      <c r="P176" s="66" cm="1" t="str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cm="1" t="str">
        <f t="array" ref="F177">IF(AG177="","",I177-H177)</f>
        <v/>
      </c>
      <c r="G177" s="67"/>
      <c r="H177" s="65"/>
      <c r="I177" s="66" cm="1" t="str">
        <f t="array" ref="I177">IF(AG177="","",P177-K177)</f>
        <v/>
      </c>
      <c r="J177" s="67"/>
      <c r="K177" s="65"/>
      <c r="L177" s="68"/>
      <c r="M177" s="68"/>
      <c r="N177" s="68"/>
      <c r="O177" s="68"/>
      <c r="P177" s="66" cm="1" t="str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cm="1" t="str">
        <f t="array" ref="F178">IF(AG178="","",I178-H178)</f>
        <v/>
      </c>
      <c r="G178" s="67"/>
      <c r="H178" s="65"/>
      <c r="I178" s="66" cm="1" t="str">
        <f t="array" ref="I178">IF(AG178="","",P178-K178)</f>
        <v/>
      </c>
      <c r="J178" s="67"/>
      <c r="K178" s="65"/>
      <c r="L178" s="68"/>
      <c r="M178" s="68"/>
      <c r="N178" s="68"/>
      <c r="O178" s="68"/>
      <c r="P178" s="66" cm="1" t="str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cm="1" t="str">
        <f t="array" ref="F179">IF(AG179="","",I179-H179)</f>
        <v/>
      </c>
      <c r="G179" s="67"/>
      <c r="H179" s="65"/>
      <c r="I179" s="66" cm="1" t="str">
        <f t="array" ref="I179">IF(AG179="","",P179-K179)</f>
        <v/>
      </c>
      <c r="J179" s="67"/>
      <c r="K179" s="65"/>
      <c r="L179" s="68"/>
      <c r="M179" s="68"/>
      <c r="N179" s="68"/>
      <c r="O179" s="68"/>
      <c r="P179" s="66" cm="1" t="str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cm="1" t="str">
        <f t="array" ref="F180">IF(AG180="","",I180-H180)</f>
        <v/>
      </c>
      <c r="G180" s="67"/>
      <c r="H180" s="65"/>
      <c r="I180" s="66" cm="1" t="str">
        <f t="array" ref="I180">IF(AG180="","",P180-K180)</f>
        <v/>
      </c>
      <c r="J180" s="67"/>
      <c r="K180" s="65"/>
      <c r="L180" s="68"/>
      <c r="M180" s="68"/>
      <c r="N180" s="68"/>
      <c r="O180" s="68"/>
      <c r="P180" s="66" cm="1" t="str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cm="1" t="str">
        <f t="array" ref="F181">IF(AG181="","",I181-H181)</f>
        <v/>
      </c>
      <c r="G181" s="67"/>
      <c r="H181" s="65"/>
      <c r="I181" s="66" cm="1" t="str">
        <f t="array" ref="I181">IF(AG181="","",P181-K181)</f>
        <v/>
      </c>
      <c r="J181" s="67"/>
      <c r="K181" s="65"/>
      <c r="L181" s="68"/>
      <c r="M181" s="68"/>
      <c r="N181" s="68"/>
      <c r="O181" s="68"/>
      <c r="P181" s="66" cm="1" t="str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cm="1" t="str">
        <f t="array" ref="F182">IF(AG182="","",I182-H182)</f>
        <v/>
      </c>
      <c r="G182" s="67"/>
      <c r="H182" s="65"/>
      <c r="I182" s="66" cm="1" t="str">
        <f t="array" ref="I182">IF(AG182="","",P182-K182)</f>
        <v/>
      </c>
      <c r="J182" s="67"/>
      <c r="K182" s="65"/>
      <c r="L182" s="68"/>
      <c r="M182" s="68"/>
      <c r="N182" s="68"/>
      <c r="O182" s="68"/>
      <c r="P182" s="66" cm="1" t="str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cm="1" t="str">
        <f t="array" ref="F183">IF(AG183="","",I183-H183)</f>
        <v/>
      </c>
      <c r="G183" s="67"/>
      <c r="H183" s="65"/>
      <c r="I183" s="66" cm="1" t="str">
        <f t="array" ref="I183">IF(AG183="","",P183-K183)</f>
        <v/>
      </c>
      <c r="J183" s="67"/>
      <c r="K183" s="65"/>
      <c r="L183" s="68"/>
      <c r="M183" s="68"/>
      <c r="N183" s="68"/>
      <c r="O183" s="68"/>
      <c r="P183" s="66" cm="1" t="str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cm="1" t="str">
        <f t="array" ref="F184">IF(AG184="","",I184-H184)</f>
        <v/>
      </c>
      <c r="G184" s="67"/>
      <c r="H184" s="65"/>
      <c r="I184" s="66" cm="1" t="str">
        <f t="array" ref="I184">IF(AG184="","",P184-K184)</f>
        <v/>
      </c>
      <c r="J184" s="67"/>
      <c r="K184" s="65"/>
      <c r="L184" s="68"/>
      <c r="M184" s="68"/>
      <c r="N184" s="68"/>
      <c r="O184" s="68"/>
      <c r="P184" s="66" cm="1" t="str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cm="1" t="str">
        <f t="array" ref="F185">IF(AG185="","",I185-H185)</f>
        <v/>
      </c>
      <c r="G185" s="67"/>
      <c r="H185" s="65"/>
      <c r="I185" s="66" cm="1" t="str">
        <f t="array" ref="I185">IF(AG185="","",P185-K185)</f>
        <v/>
      </c>
      <c r="J185" s="67"/>
      <c r="K185" s="65"/>
      <c r="L185" s="68"/>
      <c r="M185" s="68"/>
      <c r="N185" s="68"/>
      <c r="O185" s="68"/>
      <c r="P185" s="66" cm="1" t="str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cm="1" t="str">
        <f t="array" ref="F186">IF(AG186="","",I186-H186)</f>
        <v/>
      </c>
      <c r="G186" s="67"/>
      <c r="H186" s="65"/>
      <c r="I186" s="66" cm="1" t="str">
        <f t="array" ref="I186">IF(AG186="","",P186-K186)</f>
        <v/>
      </c>
      <c r="J186" s="67"/>
      <c r="K186" s="65"/>
      <c r="L186" s="68"/>
      <c r="M186" s="68"/>
      <c r="N186" s="68"/>
      <c r="O186" s="68"/>
      <c r="P186" s="66" cm="1" t="str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cm="1" t="str">
        <f t="array" ref="F187">IF(AG187="","",I187-H187)</f>
        <v/>
      </c>
      <c r="G187" s="67"/>
      <c r="H187" s="65"/>
      <c r="I187" s="66" cm="1" t="str">
        <f t="array" ref="I187">IF(AG187="","",P187-K187)</f>
        <v/>
      </c>
      <c r="J187" s="67"/>
      <c r="K187" s="65"/>
      <c r="L187" s="68"/>
      <c r="M187" s="68"/>
      <c r="N187" s="68"/>
      <c r="O187" s="68"/>
      <c r="P187" s="66" cm="1" t="str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cm="1" t="str">
        <f t="array" ref="F188">IF(AG188="","",I188-H188)</f>
        <v/>
      </c>
      <c r="G188" s="67"/>
      <c r="H188" s="65"/>
      <c r="I188" s="66" cm="1" t="str">
        <f t="array" ref="I188">IF(AG188="","",P188-K188)</f>
        <v/>
      </c>
      <c r="J188" s="67"/>
      <c r="K188" s="65"/>
      <c r="L188" s="68"/>
      <c r="M188" s="68"/>
      <c r="N188" s="68"/>
      <c r="O188" s="68"/>
      <c r="P188" s="66" cm="1" t="str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cm="1" t="str">
        <f t="array" ref="F189">IF(AG189="","",I189-H189)</f>
        <v/>
      </c>
      <c r="G189" s="67"/>
      <c r="H189" s="65"/>
      <c r="I189" s="66" cm="1" t="str">
        <f t="array" ref="I189">IF(AG189="","",P189-K189)</f>
        <v/>
      </c>
      <c r="J189" s="67"/>
      <c r="K189" s="65"/>
      <c r="L189" s="68"/>
      <c r="M189" s="68"/>
      <c r="N189" s="68"/>
      <c r="O189" s="68"/>
      <c r="P189" s="66" cm="1" t="str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cm="1" t="str">
        <f t="array" ref="F190">IF(AG190="","",I190-H190)</f>
        <v/>
      </c>
      <c r="G190" s="67"/>
      <c r="H190" s="65"/>
      <c r="I190" s="66" cm="1" t="str">
        <f t="array" ref="I190">IF(AG190="","",P190-K190)</f>
        <v/>
      </c>
      <c r="J190" s="67"/>
      <c r="K190" s="65"/>
      <c r="L190" s="68"/>
      <c r="M190" s="68"/>
      <c r="N190" s="68"/>
      <c r="O190" s="68"/>
      <c r="P190" s="66" cm="1" t="str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cm="1" t="str">
        <f t="array" ref="F191">IF(AG191="","",I191-H191)</f>
        <v/>
      </c>
      <c r="G191" s="67"/>
      <c r="H191" s="65"/>
      <c r="I191" s="66" cm="1" t="str">
        <f t="array" ref="I191">IF(AG191="","",P191-K191)</f>
        <v/>
      </c>
      <c r="J191" s="67"/>
      <c r="K191" s="65"/>
      <c r="L191" s="68"/>
      <c r="M191" s="68"/>
      <c r="N191" s="68"/>
      <c r="O191" s="68"/>
      <c r="P191" s="66" cm="1" t="str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cm="1" t="str">
        <f t="array" ref="F192">IF(AG192="","",I192-H192)</f>
        <v/>
      </c>
      <c r="G192" s="67"/>
      <c r="H192" s="65"/>
      <c r="I192" s="66" cm="1" t="str">
        <f t="array" ref="I192">IF(AG192="","",P192-K192)</f>
        <v/>
      </c>
      <c r="J192" s="67"/>
      <c r="K192" s="65"/>
      <c r="L192" s="68"/>
      <c r="M192" s="68"/>
      <c r="N192" s="68"/>
      <c r="O192" s="68"/>
      <c r="P192" s="66" cm="1" t="str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cm="1" t="str">
        <f t="array" ref="F193">IF(AG193="","",I193-H193)</f>
        <v/>
      </c>
      <c r="G193" s="67"/>
      <c r="H193" s="65"/>
      <c r="I193" s="66" cm="1" t="str">
        <f t="array" ref="I193">IF(AG193="","",P193-K193)</f>
        <v/>
      </c>
      <c r="J193" s="67"/>
      <c r="K193" s="65"/>
      <c r="L193" s="68"/>
      <c r="M193" s="68"/>
      <c r="N193" s="68"/>
      <c r="O193" s="68"/>
      <c r="P193" s="66" cm="1" t="str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cm="1" t="str">
        <f t="array" ref="F194">IF(AG194="","",I194-H194)</f>
        <v/>
      </c>
      <c r="G194" s="67"/>
      <c r="H194" s="65"/>
      <c r="I194" s="66" cm="1" t="str">
        <f t="array" ref="I194">IF(AG194="","",P194-K194)</f>
        <v/>
      </c>
      <c r="J194" s="67"/>
      <c r="K194" s="65"/>
      <c r="L194" s="68"/>
      <c r="M194" s="68"/>
      <c r="N194" s="68"/>
      <c r="O194" s="68"/>
      <c r="P194" s="66" cm="1" t="str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cm="1" t="str">
        <f t="array" ref="F195">IF(AG195="","",I195-H195)</f>
        <v/>
      </c>
      <c r="G195" s="67"/>
      <c r="H195" s="65"/>
      <c r="I195" s="66" cm="1" t="str">
        <f t="array" ref="I195">IF(AG195="","",P195-K195)</f>
        <v/>
      </c>
      <c r="J195" s="67"/>
      <c r="K195" s="65"/>
      <c r="L195" s="68"/>
      <c r="M195" s="68"/>
      <c r="N195" s="68"/>
      <c r="O195" s="68"/>
      <c r="P195" s="66" cm="1" t="str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cm="1" t="str">
        <f t="array" ref="F196">IF(AG196="","",I196-H196)</f>
        <v/>
      </c>
      <c r="G196" s="67"/>
      <c r="H196" s="65"/>
      <c r="I196" s="66" cm="1" t="str">
        <f t="array" ref="I196">IF(AG196="","",P196-K196)</f>
        <v/>
      </c>
      <c r="J196" s="67"/>
      <c r="K196" s="65"/>
      <c r="L196" s="68"/>
      <c r="M196" s="68"/>
      <c r="N196" s="68"/>
      <c r="O196" s="68"/>
      <c r="P196" s="66" cm="1" t="str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cm="1" t="str">
        <f t="array" ref="F197">IF(AG197="","",I197-H197)</f>
        <v/>
      </c>
      <c r="G197" s="67"/>
      <c r="H197" s="65"/>
      <c r="I197" s="66" cm="1" t="str">
        <f t="array" ref="I197">IF(AG197="","",P197-K197)</f>
        <v/>
      </c>
      <c r="J197" s="67"/>
      <c r="K197" s="65"/>
      <c r="L197" s="68"/>
      <c r="M197" s="68"/>
      <c r="N197" s="68"/>
      <c r="O197" s="68"/>
      <c r="P197" s="66" cm="1" t="str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cm="1" t="str">
        <f t="array" ref="F198">IF(AG198="","",I198-H198)</f>
        <v/>
      </c>
      <c r="G198" s="67"/>
      <c r="H198" s="65"/>
      <c r="I198" s="66" cm="1" t="str">
        <f t="array" ref="I198">IF(AG198="","",P198-K198)</f>
        <v/>
      </c>
      <c r="J198" s="67"/>
      <c r="K198" s="65"/>
      <c r="L198" s="68"/>
      <c r="M198" s="68"/>
      <c r="N198" s="68"/>
      <c r="O198" s="68"/>
      <c r="P198" s="66" cm="1" t="str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cm="1" t="str">
        <f t="array" ref="F199">IF(AG199="","",I199-H199)</f>
        <v/>
      </c>
      <c r="G199" s="67"/>
      <c r="H199" s="65"/>
      <c r="I199" s="66" cm="1" t="str">
        <f t="array" ref="I199">IF(AG199="","",P199-K199)</f>
        <v/>
      </c>
      <c r="J199" s="67"/>
      <c r="K199" s="65"/>
      <c r="L199" s="68"/>
      <c r="M199" s="68"/>
      <c r="N199" s="68"/>
      <c r="O199" s="68"/>
      <c r="P199" s="66" cm="1" t="str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cm="1" t="str">
        <f t="array" ref="F200">IF(AG200="","",I200-H200)</f>
        <v/>
      </c>
      <c r="G200" s="67"/>
      <c r="H200" s="65"/>
      <c r="I200" s="66" cm="1" t="str">
        <f t="array" ref="I200">IF(AG200="","",P200-K200)</f>
        <v/>
      </c>
      <c r="J200" s="67"/>
      <c r="K200" s="65"/>
      <c r="L200" s="68"/>
      <c r="M200" s="68"/>
      <c r="N200" s="68"/>
      <c r="O200" s="68"/>
      <c r="P200" s="66" cm="1" t="str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cm="1" t="str">
        <f t="array" ref="F201">IF(AG201="","",I201-H201)</f>
        <v/>
      </c>
      <c r="G201" s="67"/>
      <c r="H201" s="65"/>
      <c r="I201" s="66" cm="1" t="str">
        <f t="array" ref="I201">IF(AG201="","",P201-K201)</f>
        <v/>
      </c>
      <c r="J201" s="67"/>
      <c r="K201" s="65"/>
      <c r="L201" s="68"/>
      <c r="M201" s="68"/>
      <c r="N201" s="68"/>
      <c r="O201" s="68"/>
      <c r="P201" s="66" cm="1" t="str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cm="1" t="str">
        <f t="array" ref="F202">IF(AG202="","",I202-H202)</f>
        <v/>
      </c>
      <c r="G202" s="67"/>
      <c r="H202" s="65"/>
      <c r="I202" s="66" cm="1" t="str">
        <f t="array" ref="I202">IF(AG202="","",P202-K202)</f>
        <v/>
      </c>
      <c r="J202" s="67"/>
      <c r="K202" s="65"/>
      <c r="L202" s="68"/>
      <c r="M202" s="68"/>
      <c r="N202" s="68"/>
      <c r="O202" s="68"/>
      <c r="P202" s="66" cm="1" t="str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cm="1" t="str">
        <f t="array" ref="F203">IF(AG203="","",I203-H203)</f>
        <v/>
      </c>
      <c r="G203" s="67"/>
      <c r="H203" s="65"/>
      <c r="I203" s="66" cm="1" t="str">
        <f t="array" ref="I203">IF(AG203="","",P203-K203)</f>
        <v/>
      </c>
      <c r="J203" s="67"/>
      <c r="K203" s="65"/>
      <c r="L203" s="68"/>
      <c r="M203" s="68"/>
      <c r="N203" s="68"/>
      <c r="O203" s="68"/>
      <c r="P203" s="66" cm="1" t="str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cm="1" t="str">
        <f t="array" ref="F204">IF(AG204="","",I204-H204)</f>
        <v/>
      </c>
      <c r="G204" s="67"/>
      <c r="H204" s="65"/>
      <c r="I204" s="66" cm="1" t="str">
        <f t="array" ref="I204">IF(AG204="","",P204-K204)</f>
        <v/>
      </c>
      <c r="J204" s="67"/>
      <c r="K204" s="65"/>
      <c r="L204" s="68"/>
      <c r="M204" s="68"/>
      <c r="N204" s="68"/>
      <c r="O204" s="68"/>
      <c r="P204" s="66" cm="1" t="str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cm="1" t="str">
        <f t="array" ref="F205">IF(AG205="","",I205-H205)</f>
        <v/>
      </c>
      <c r="G205" s="67"/>
      <c r="H205" s="65"/>
      <c r="I205" s="66" cm="1" t="str">
        <f t="array" ref="I205">IF(AG205="","",P205-K205)</f>
        <v/>
      </c>
      <c r="J205" s="67"/>
      <c r="K205" s="65"/>
      <c r="L205" s="68"/>
      <c r="M205" s="68"/>
      <c r="N205" s="68"/>
      <c r="O205" s="68"/>
      <c r="P205" s="66" cm="1" t="str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cm="1" t="str">
        <f t="array" ref="F206">IF(AG206="","",I206-H206)</f>
        <v/>
      </c>
      <c r="G206" s="67"/>
      <c r="H206" s="65"/>
      <c r="I206" s="66" cm="1" t="str">
        <f t="array" ref="I206">IF(AG206="","",P206-K206)</f>
        <v/>
      </c>
      <c r="J206" s="67"/>
      <c r="K206" s="65"/>
      <c r="L206" s="68"/>
      <c r="M206" s="68"/>
      <c r="N206" s="68"/>
      <c r="O206" s="68"/>
      <c r="P206" s="66" cm="1" t="str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cm="1" t="str">
        <f t="array" ref="F207">IF(AG207="","",I207-H207)</f>
        <v/>
      </c>
      <c r="G207" s="67"/>
      <c r="H207" s="65"/>
      <c r="I207" s="66" cm="1" t="str">
        <f t="array" ref="I207">IF(AG207="","",P207-K207)</f>
        <v/>
      </c>
      <c r="J207" s="67"/>
      <c r="K207" s="65"/>
      <c r="L207" s="68"/>
      <c r="M207" s="68"/>
      <c r="N207" s="68"/>
      <c r="O207" s="68"/>
      <c r="P207" s="66" cm="1" t="str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cm="1" t="str">
        <f t="array" ref="F208">IF(AG208="","",I208-H208)</f>
        <v/>
      </c>
      <c r="G208" s="67"/>
      <c r="H208" s="65"/>
      <c r="I208" s="66" cm="1" t="str">
        <f t="array" ref="I208">IF(AG208="","",P208-K208)</f>
        <v/>
      </c>
      <c r="J208" s="67"/>
      <c r="K208" s="65"/>
      <c r="L208" s="68"/>
      <c r="M208" s="68"/>
      <c r="N208" s="68"/>
      <c r="O208" s="68"/>
      <c r="P208" s="66" cm="1" t="str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cm="1" t="str">
        <f t="array" ref="F209">IF(AG209="","",I209-H209)</f>
        <v/>
      </c>
      <c r="G209" s="67"/>
      <c r="H209" s="65"/>
      <c r="I209" s="66" cm="1" t="str">
        <f t="array" ref="I209">IF(AG209="","",P209-K209)</f>
        <v/>
      </c>
      <c r="J209" s="67"/>
      <c r="K209" s="65"/>
      <c r="L209" s="68"/>
      <c r="M209" s="68"/>
      <c r="N209" s="68"/>
      <c r="O209" s="68"/>
      <c r="P209" s="66" cm="1" t="str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cm="1" t="str">
        <f t="array" ref="F210">IF(AG210="","",I210-H210)</f>
        <v/>
      </c>
      <c r="G210" s="67"/>
      <c r="H210" s="65"/>
      <c r="I210" s="66" cm="1" t="str">
        <f t="array" ref="I210">IF(AG210="","",P210-K210)</f>
        <v/>
      </c>
      <c r="J210" s="67"/>
      <c r="K210" s="65"/>
      <c r="L210" s="68"/>
      <c r="M210" s="68"/>
      <c r="N210" s="68"/>
      <c r="O210" s="68"/>
      <c r="P210" s="66" cm="1" t="str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/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