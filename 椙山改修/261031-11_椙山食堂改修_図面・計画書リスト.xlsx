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<sst xmlns="http://schemas.openxmlformats.org/spreadsheetml/2006/main" count="416" uniqueCount="286">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</sst>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0.257142857142857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210</v>
      </c>
      <c r="BI3" s="40" cm="1">
        <f t="array" ref="BI3">COUNTA($G$10:$G$210)+COUNTA($J$10:$J$210)+COUNTA($L$10:$L$210)+COUNTA($M$10:$M$210)+COUNTA($S$10:$S$210)+COUNTA($T$10:$T$210)</f>
        <v>54</v>
      </c>
      <c r="BJ3" s="30" t="s">
        <v>23</v>
      </c>
      <c r="BK3" s="32" cm="1">
        <f t="array" ref="BK3">1-BK2</f>
        <v>0.742857142857143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11</v>
      </c>
      <c r="BL4" s="28" cm="1" t="str">
        <f t="array" aca="1" ref="BL4" ca="1">BJ4&amp;": "&amp;BK4&amp;"個"</f>
        <v>赤色: 11個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7</v>
      </c>
      <c r="BL5" s="28" cm="1" t="str">
        <f t="array" aca="1" ref="BL5" ca="1">BJ5&amp;": "&amp;BK5&amp;"個"</f>
        <v>黄色: 7個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>
        <f>IF(AG11="","",WORKDAY(I11-H11+1,-1,{46329,46349,46384,46385,46386,46387,46388,46391,46398,46429,46441,46468}))</f>
        <v/>
      </c>
      <c r="G11" s="67"/>
      <c r="H11" s="65"/>
      <c r="I11" s="66" t="str">
        <f>IF(AG11="","",WORKDAY(P11-K11+1,-1,{46329,46349,46384,46385,46386,46387,46388,46391,46398,46429,46441,46468}))</f>
        <v/>
      </c>
      <c r="J11" s="67"/>
      <c r="K11" s="65"/>
      <c r="L11" s="68"/>
      <c r="M11" s="68"/>
      <c r="N11" s="68"/>
      <c r="O11" s="68"/>
      <c r="P11" s="66" t="str">
        <f>IF(AG11="","",WORKDAY(AC11-R11-Q11+1,-1,{46329,46349,46384,46385,46386,46387,46388,46391,46398,46429,46441,46468}))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>IF(AG12="","",WORKDAY(I12-H12+1,-1,{46329,46349,46384,46385,46386,46387,46388,46391,46398,46429,46441,46468}))</f>
        <v>46357</v>
      </c>
      <c r="G12" s="67">
        <v>46301</v>
      </c>
      <c r="H12" s="65">
        <v>7</v>
      </c>
      <c r="I12" s="68">
        <f>IF(AG12="","",WORKDAY(P12-K12+1,-1,{46329,46349,46384,46385,46386,46387,46388,46391,46398,46429,46441,46468}))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>IF(AG12="","",WORKDAY(AC12-R12-Q12+1,-1,{46329,46349,46384,46385,46386,46387,46388,46391,46398,46429,46441,46468}))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>IF(AG13="","",WORKDAY(I13-H13+1,-1,{46329,46349,46384,46385,46386,46387,46388,46391,46398,46429,46441,46468}))</f>
        <v>46367</v>
      </c>
      <c r="G13" s="67">
        <v>46310</v>
      </c>
      <c r="H13" s="65">
        <v>7</v>
      </c>
      <c r="I13" s="68">
        <f>IF(AG13="","",WORKDAY(P13-K13+1,-1,{46329,46349,46384,46385,46386,46387,46388,46391,46398,46429,46441,46468}))</f>
        <v>46374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>IF(AG13="","",WORKDAY(AC13-R13-Q13+1,-1,{46329,46349,46384,46385,46386,46387,46388,46391,46398,46429,46441,46468}))</f>
        <v>46381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>IF(AG14="","",WORKDAY(I14-H14+1,-1,{46329,46349,46384,46385,46386,46387,46388,46391,46398,46429,46441,46468}))</f>
        <v>46325</v>
      </c>
      <c r="G14" s="67"/>
      <c r="H14" s="65">
        <v>7</v>
      </c>
      <c r="I14" s="68">
        <f>IF(AG14="","",WORKDAY(P14-K14+1,-1,{46329,46349,46384,46385,46386,46387,46388,46391,46398,46429,46441,46468}))</f>
        <v>46332</v>
      </c>
      <c r="J14" s="67"/>
      <c r="K14" s="65">
        <v>7</v>
      </c>
      <c r="L14" s="68"/>
      <c r="M14" s="68"/>
      <c r="N14" s="68"/>
      <c r="O14" s="68"/>
      <c r="P14" s="68">
        <f>IF(AG14="","",WORKDAY(AC14-R14-Q14+1,-1,{46329,46349,46384,46385,46386,46387,46388,46391,46398,46429,46441,46468}))</f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>IF(AG15="","",WORKDAY(I15-H15+1,-1,{46329,46349,46384,46385,46386,46387,46388,46391,46398,46429,46441,46468}))</f>
        <v>46325</v>
      </c>
      <c r="G15" s="67">
        <v>46301</v>
      </c>
      <c r="H15" s="65">
        <v>7</v>
      </c>
      <c r="I15" s="68">
        <f>IF(AG15="","",WORKDAY(P15-K15+1,-1,{46329,46349,46384,46385,46386,46387,46388,46391,46398,46429,46441,46468}))</f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>IF(AG15="","",WORKDAY(AC15-R15-Q15+1,-1,{46329,46349,46384,46385,46386,46387,46388,46391,46398,46429,46441,46468}))</f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>IF(AG16="","",WORKDAY(I16-H16+1,-1,{46329,46349,46384,46385,46386,46387,46388,46391,46398,46429,46441,46468}))</f>
        <v>46325</v>
      </c>
      <c r="G16" s="67"/>
      <c r="H16" s="65">
        <v>7</v>
      </c>
      <c r="I16" s="68">
        <f>IF(AG16="","",WORKDAY(P16-K16+1,-1,{46329,46349,46384,46385,46386,46387,46388,46391,46398,46429,46441,46468}))</f>
        <v>46332</v>
      </c>
      <c r="J16" s="67"/>
      <c r="K16" s="65">
        <v>7</v>
      </c>
      <c r="L16" s="68"/>
      <c r="M16" s="68"/>
      <c r="N16" s="68"/>
      <c r="O16" s="68"/>
      <c r="P16" s="68">
        <f>IF(AG16="","",WORKDAY(AC16-R16-Q16+1,-1,{46329,46349,46384,46385,46386,46387,46388,46391,46398,46429,46441,46468}))</f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>IF(AG17="","",WORKDAY(I17-H17+1,-1,{46329,46349,46384,46385,46386,46387,46388,46391,46398,46429,46441,46468}))</f>
        <v>46336</v>
      </c>
      <c r="G17" s="67">
        <v>46304</v>
      </c>
      <c r="H17" s="65">
        <v>7</v>
      </c>
      <c r="I17" s="68">
        <f>IF(AG17="","",WORKDAY(P17-K17+1,-1,{46329,46349,46384,46385,46386,46387,46388,46391,46398,46429,46441,46468}))</f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>IF(AG17="","",WORKDAY(AC17-R17-Q17+1,-1,{46329,46349,46384,46385,46386,46387,46388,46391,46398,46429,46441,46468}))</f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>IF(AG18="","",WORKDAY(I18-H18+1,-1,{46329,46349,46384,46385,46386,46387,46388,46391,46398,46429,46441,46468}))</f>
        <v>46346</v>
      </c>
      <c r="G18" s="67"/>
      <c r="H18" s="65">
        <v>7</v>
      </c>
      <c r="I18" s="68">
        <f>IF(AG18="","",WORKDAY(P18-K18+1,-1,{46329,46349,46384,46385,46386,46387,46388,46391,46398,46429,46441,46468}))</f>
        <v>46353</v>
      </c>
      <c r="J18" s="67"/>
      <c r="K18" s="65">
        <v>7</v>
      </c>
      <c r="L18" s="68"/>
      <c r="M18" s="68"/>
      <c r="N18" s="68"/>
      <c r="O18" s="68"/>
      <c r="P18" s="68">
        <f>IF(AG18="","",WORKDAY(AC18-R18-Q18+1,-1,{46329,46349,46384,46385,46386,46387,46388,46391,46398,46429,46441,46468}))</f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>IF(AG19="","",WORKDAY(I19-H19+1,-1,{46329,46349,46384,46385,46386,46387,46388,46391,46398,46429,46441,46468}))</f>
        <v>46343</v>
      </c>
      <c r="G19" s="67"/>
      <c r="H19" s="65">
        <v>7</v>
      </c>
      <c r="I19" s="68">
        <f>IF(AG19="","",WORKDAY(P19-K19+1,-1,{46329,46349,46384,46385,46386,46387,46388,46391,46398,46429,46441,46468}))</f>
        <v>46350</v>
      </c>
      <c r="J19" s="67"/>
      <c r="K19" s="65">
        <v>7</v>
      </c>
      <c r="L19" s="68"/>
      <c r="M19" s="68"/>
      <c r="N19" s="68"/>
      <c r="O19" s="68"/>
      <c r="P19" s="68">
        <f>IF(AG19="","",WORKDAY(AC19-R19-Q19+1,-1,{46329,46349,46384,46385,46386,46387,46388,46391,46398,46429,46441,46468}))</f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>IF(AG20="","",WORKDAY(I20-H20+1,-1,{46329,46349,46384,46385,46386,46387,46388,46391,46398,46429,46441,46468}))</f>
        <v>46367</v>
      </c>
      <c r="G20" s="67">
        <v>46310</v>
      </c>
      <c r="H20" s="65">
        <v>7</v>
      </c>
      <c r="I20" s="68">
        <f>IF(AG20="","",WORKDAY(P20-K20+1,-1,{46329,46349,46384,46385,46386,46387,46388,46391,46398,46429,46441,46468}))</f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>IF(AG20="","",WORKDAY(AC20-R20-Q20+1,-1,{46329,46349,46384,46385,46386,46387,46388,46391,46398,46429,46441,46468}))</f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>IF(AG21="","",WORKDAY(I21-H21+1,-1,{46329,46349,46384,46385,46386,46387,46388,46391,46398,46429,46441,46468}))</f>
        <v>46275</v>
      </c>
      <c r="G21" s="67">
        <v>46301</v>
      </c>
      <c r="H21" s="65">
        <v>7</v>
      </c>
      <c r="I21" s="68">
        <f>IF(AG21="","",WORKDAY(P21-K21+1,-1,{46329,46349,46384,46385,46386,46387,46388,46391,46398,46429,46441,46468}))</f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>IF(AG21="","",WORKDAY(AC21-R21-Q21+1,-1,{46329,46349,46384,46385,46386,46387,46388,46391,46398,46429,46441,46468}))</f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>IF(AG22="","",WORKDAY(I22-H22+1,-1,{46329,46349,46384,46385,46386,46387,46388,46391,46398,46429,46441,46468}))</f>
        <v>46328</v>
      </c>
      <c r="G22" s="67"/>
      <c r="H22" s="65">
        <v>7</v>
      </c>
      <c r="I22" s="68">
        <f>IF(AG22="","",WORKDAY(P22-K22+1,-1,{46329,46349,46384,46385,46386,46387,46388,46391,46398,46429,46441,46468}))</f>
        <v>46335</v>
      </c>
      <c r="J22" s="67"/>
      <c r="K22" s="65">
        <v>7</v>
      </c>
      <c r="L22" s="68"/>
      <c r="M22" s="68"/>
      <c r="N22" s="68"/>
      <c r="O22" s="68"/>
      <c r="P22" s="68">
        <f>IF(AG22="","",WORKDAY(AC22-R22-Q22+1,-1,{46329,46349,46384,46385,46386,46387,46388,46391,46398,46429,46441,46468}))</f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>IF(AG23="","",WORKDAY(I23-H23+1,-1,{46329,46349,46384,46385,46386,46387,46388,46391,46398,46429,46441,46468}))</f>
        <v>46346</v>
      </c>
      <c r="G23" s="67"/>
      <c r="H23" s="65">
        <v>7</v>
      </c>
      <c r="I23" s="68">
        <f>IF(AG23="","",WORKDAY(P23-K23+1,-1,{46329,46349,46384,46385,46386,46387,46388,46391,46398,46429,46441,46468}))</f>
        <v>46353</v>
      </c>
      <c r="J23" s="67"/>
      <c r="K23" s="65">
        <v>7</v>
      </c>
      <c r="L23" s="68"/>
      <c r="M23" s="68"/>
      <c r="N23" s="68"/>
      <c r="O23" s="68"/>
      <c r="P23" s="68">
        <f>IF(AG23="","",WORKDAY(AC23-R23-Q23+1,-1,{46329,46349,46384,46385,46386,46387,46388,46391,46398,46429,46441,46468}))</f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>IF(AG24="","",WORKDAY(I24-H24+1,-1,{46329,46349,46384,46385,46386,46387,46388,46391,46398,46429,46441,46468}))</f>
        <v>46367</v>
      </c>
      <c r="G24" s="67"/>
      <c r="H24" s="65">
        <v>7</v>
      </c>
      <c r="I24" s="68">
        <f>IF(AG24="","",WORKDAY(P24-K24+1,-1,{46329,46349,46384,46385,46386,46387,46388,46391,46398,46429,46441,46468}))</f>
        <v>46374</v>
      </c>
      <c r="J24" s="67"/>
      <c r="K24" s="65">
        <v>7</v>
      </c>
      <c r="L24" s="68"/>
      <c r="M24" s="68"/>
      <c r="N24" s="68"/>
      <c r="O24" s="68"/>
      <c r="P24" s="68">
        <f>IF(AG24="","",WORKDAY(AC24-R24-Q24+1,-1,{46329,46349,46384,46385,46386,46387,46388,46391,46398,46429,46441,46468}))</f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>IF(AG25="","",WORKDAY(I25-H25+1,-1,{46329,46349,46384,46385,46386,46387,46388,46391,46398,46429,46441,46468}))</f>
        <v>46323</v>
      </c>
      <c r="G25" s="67"/>
      <c r="H25" s="65">
        <v>7</v>
      </c>
      <c r="I25" s="68">
        <f>IF(AG25="","",WORKDAY(P25-K25+1,-1,{46329,46349,46384,46385,46386,46387,46388,46391,46398,46429,46441,46468}))</f>
        <v>46330</v>
      </c>
      <c r="J25" s="67"/>
      <c r="K25" s="65">
        <v>7</v>
      </c>
      <c r="L25" s="68"/>
      <c r="M25" s="68"/>
      <c r="N25" s="68"/>
      <c r="O25" s="68"/>
      <c r="P25" s="68">
        <f>IF(AG25="","",WORKDAY(AC25-R25-Q25+1,-1,{46329,46349,46384,46385,46386,46387,46388,46391,46398,46429,46441,46468}))</f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>IF(AG26="","",WORKDAY(I26-H26+1,-1,{46329,46349,46384,46385,46386,46387,46388,46391,46398,46429,46441,46468}))</f>
        <v>46330</v>
      </c>
      <c r="G26" s="67"/>
      <c r="H26" s="65">
        <v>7</v>
      </c>
      <c r="I26" s="68">
        <f>IF(AG26="","",WORKDAY(P26-K26+1,-1,{46329,46349,46384,46385,46386,46387,46388,46391,46398,46429,46441,46468}))</f>
        <v>46337</v>
      </c>
      <c r="J26" s="67"/>
      <c r="K26" s="65">
        <v>7</v>
      </c>
      <c r="L26" s="68"/>
      <c r="M26" s="68"/>
      <c r="N26" s="68"/>
      <c r="O26" s="68"/>
      <c r="P26" s="68">
        <f>IF(AG26="","",WORKDAY(AC26-R26-Q26+1,-1,{46329,46349,46384,46385,46386,46387,46388,46391,46398,46429,46441,46468}))</f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IF(AG27="","",WORKDAY(I27-H27+1,-1,{46329,46349,46384,46385,46386,46387,46388,46391,46398,46429,46441,46468}))</f>
        <v>46328</v>
      </c>
      <c r="G27" s="67">
        <v>46322</v>
      </c>
      <c r="H27" s="65">
        <v>7</v>
      </c>
      <c r="I27" s="68">
        <f>IF(AG27="","",WORKDAY(P27-K27+1,-1,{46329,46349,46384,46385,46386,46387,46388,46391,46398,46429,46441,46468}))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IF(AG27="","",WORKDAY(AC27-R27-Q27+1,-1,{46329,46349,46384,46385,46386,46387,46388,46391,46398,46429,46441,46468}))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>
        <f>A27+1</f>
        <v>17</v>
      </c>
      <c r="B28" s="11" t="inlineStr">
        <is>
          <t>三友-25</t>
        </is>
      </c>
      <c r="C28" s="18" t="inlineStr">
        <is>
          <t>東側　デッキ下鉄骨架台（追加）</t>
        </is>
      </c>
      <c r="D28" s="72"/>
      <c r="E28" s="71"/>
      <c r="F28" s="70">
        <f>IF(AG28="","",WORKDAY(I28-H28+1,-1,{46329,46349,46384,46385,46386,46387,46388,46391,46398,46429,46441,46468}))</f>
        <v>46336</v>
      </c>
      <c r="G28" s="67"/>
      <c r="H28" s="65">
        <v>7</v>
      </c>
      <c r="I28" s="68">
        <f>IF(AG28="","",WORKDAY(P28-K28+1,-1,{46329,46349,46384,46385,46386,46387,46388,46391,46398,46429,46441,46468}))</f>
        <v>46343</v>
      </c>
      <c r="J28" s="67"/>
      <c r="K28" s="65">
        <v>7</v>
      </c>
      <c r="L28" s="68"/>
      <c r="M28" s="68"/>
      <c r="N28" s="68"/>
      <c r="O28" s="68"/>
      <c r="P28" s="68">
        <f>IF(AG28="","",WORKDAY(AC28-R28-Q28+1,-1,{46329,46349,46384,46385,46386,46387,46388,46391,46398,46429,46441,46468}))</f>
        <v>46350</v>
      </c>
      <c r="Q28" s="69">
        <v>7</v>
      </c>
      <c r="R28" s="69">
        <v>14</v>
      </c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>
        <f>IF(AG28="","",WORKDAY(AG28-AF28+1,-1,{46329,46349,46384,46385,46386,46387,46388,46391,46398,46429,46441,46468}))</f>
        <v>46371</v>
      </c>
      <c r="AD28" s="68">
        <f>IF(AG28="","",$AG28-$AF28)</f>
        <v>46371</v>
      </c>
      <c r="AE28" s="67"/>
      <c r="AF28" s="83">
        <v>21</v>
      </c>
      <c r="AG28" s="72">
        <v>46392</v>
      </c>
      <c r="AH28" s="71"/>
      <c r="AI28" s="70"/>
      <c r="AJ28" s="68"/>
      <c r="AK28" s="68"/>
      <c r="AL28" s="67"/>
      <c r="AM28" s="72"/>
      <c r="AN28" s="75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9"/>
      <c r="D29" s="72"/>
      <c r="E29" s="71"/>
      <c r="F29" s="82" t="str">
        <f>IF(AG29="","",WORKDAY(I29-H29+1,-1,{46329,46349,46384,46385,46386,46387,46388,46391,46398,46429,46441,46468}))</f>
        <v/>
      </c>
      <c r="G29" s="67"/>
      <c r="H29" s="65"/>
      <c r="I29" s="66" t="str">
        <f>IF(AG29="","",WORKDAY(P29-K29+1,-1,{46329,46349,46384,46385,46386,46387,46388,46391,46398,46429,46441,46468}))</f>
        <v/>
      </c>
      <c r="J29" s="67"/>
      <c r="K29" s="65"/>
      <c r="L29" s="68"/>
      <c r="M29" s="68"/>
      <c r="N29" s="68"/>
      <c r="O29" s="68"/>
      <c r="P29" s="66" t="str">
        <f>IF(AG29="","",WORKDAY(AC29-R29-Q29+1,-1,{46329,46349,46384,46385,46386,46387,46388,46391,46398,46429,46441,46468}))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9"/>
      <c r="C30" s="18" t="s">
        <v>96</v>
      </c>
      <c r="D30" s="72"/>
      <c r="E30" s="71"/>
      <c r="F30" s="82" t="str">
        <f>IF(AG30="","",WORKDAY(I30-H30+1,-1,{46329,46349,46384,46385,46386,46387,46388,46391,46398,46429,46441,46468}))</f>
        <v/>
      </c>
      <c r="G30" s="67"/>
      <c r="H30" s="65"/>
      <c r="I30" s="66" t="str">
        <f>IF(AG30="","",WORKDAY(P30-K30+1,-1,{46329,46349,46384,46385,46386,46387,46388,46391,46398,46429,46441,46468}))</f>
        <v/>
      </c>
      <c r="J30" s="67"/>
      <c r="K30" s="65"/>
      <c r="L30" s="68"/>
      <c r="M30" s="68"/>
      <c r="N30" s="68"/>
      <c r="O30" s="68"/>
      <c r="P30" s="66" t="str">
        <f>IF(AG30="","",WORKDAY(AC30-R30-Q30+1,-1,{46329,46349,46384,46385,46386,46387,46388,46391,46398,46429,46441,46468}))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 t="str">
        <f>IF(AG30="","",WORKDAY(AG30-AF30+1,-1,{46329,46349,46384,46385,46386,46387,46388,46391,46398,46429,46441,46468}))</f>
        <v/>
      </c>
      <c r="AD30" s="66" cm="1" t="str">
        <f t="array" ref="AD30">IF(AG30="","",$AG30-$AF30)</f>
        <v/>
      </c>
      <c r="AE30" s="67"/>
      <c r="AF30" s="83"/>
      <c r="AG30" s="72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97</v>
      </c>
      <c r="C31" s="18" t="s">
        <v>98</v>
      </c>
      <c r="D31" s="72"/>
      <c r="E31" s="71"/>
      <c r="F31" s="70">
        <f>IF(AG31="","",WORKDAY(I31-H31+1,-1,{46329,46349,46384,46385,46386,46387,46388,46391,46398,46429,46441,46468}))</f>
        <v>46297</v>
      </c>
      <c r="G31" s="67">
        <v>46301</v>
      </c>
      <c r="H31" s="65">
        <v>7</v>
      </c>
      <c r="I31" s="68">
        <f>IF(AG31="","",WORKDAY(P31-K31+1,-1,{46329,46349,46384,46385,46386,46387,46388,46391,46398,46429,46441,46468}))</f>
        <v>46304</v>
      </c>
      <c r="J31" s="67">
        <v>46302</v>
      </c>
      <c r="K31" s="65">
        <v>7</v>
      </c>
      <c r="L31" s="68">
        <v>46302</v>
      </c>
      <c r="M31" s="68">
        <v>46314</v>
      </c>
      <c r="N31" s="68"/>
      <c r="O31" s="68"/>
      <c r="P31" s="68">
        <f>IF(AG31="","",WORKDAY(AC31-R31-Q31+1,-1,{46329,46349,46384,46385,46386,46387,46388,46391,46398,46429,46441,46468}))</f>
        <v>46311</v>
      </c>
      <c r="Q31" s="69">
        <v>7</v>
      </c>
      <c r="R31" s="69">
        <v>14</v>
      </c>
      <c r="S31" s="68">
        <v>46325</v>
      </c>
      <c r="T31" s="68"/>
      <c r="U31" s="68"/>
      <c r="V31" s="68"/>
      <c r="W31" s="68"/>
      <c r="X31" s="68"/>
      <c r="Y31" s="68"/>
      <c r="Z31" s="68"/>
      <c r="AA31" s="68"/>
      <c r="AB31" s="67"/>
      <c r="AC31" s="70">
        <f>IF(AG31="","",WORKDAY(AG31-AF31+1,-1,{46329,46349,46384,46385,46386,46387,46388,46391,46398,46429,46441,46468}))</f>
        <v>46332</v>
      </c>
      <c r="AD31" s="68" cm="1">
        <f t="array" ref="AD31">IF(AG31="","",$AG31-$AF31)</f>
        <v>46332</v>
      </c>
      <c r="AE31" s="67"/>
      <c r="AF31" s="83">
        <v>60</v>
      </c>
      <c r="AG31" s="72">
        <v>46392</v>
      </c>
      <c r="AH31" s="71"/>
      <c r="AI31" s="70"/>
      <c r="AJ31" s="68"/>
      <c r="AK31" s="68"/>
      <c r="AL31" s="67"/>
      <c r="AM31" s="72"/>
      <c r="AN31" s="84" t="s">
        <v>99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100</v>
      </c>
      <c r="C32" s="24" t="s">
        <v>101</v>
      </c>
      <c r="D32" s="72"/>
      <c r="E32" s="71"/>
      <c r="F32" s="82" t="str">
        <f>IF(AG32="","",WORKDAY(I32-H32+1,-1,{46329,46349,46384,46385,46386,46387,46388,46391,46398,46429,46441,46468}))</f>
        <v/>
      </c>
      <c r="G32" s="67"/>
      <c r="H32" s="65"/>
      <c r="I32" s="66" t="str">
        <f>IF(AG32="","",WORKDAY(P32-K32+1,-1,{46329,46349,46384,46385,46386,46387,46388,46391,46398,46429,46441,46468}))</f>
        <v/>
      </c>
      <c r="J32" s="67"/>
      <c r="K32" s="65"/>
      <c r="L32" s="68"/>
      <c r="M32" s="68"/>
      <c r="N32" s="68"/>
      <c r="O32" s="68"/>
      <c r="P32" s="66" t="str">
        <f>IF(AG32="","",WORKDAY(AC32-R32-Q32+1,-1,{46329,46349,46384,46385,46386,46387,46388,46391,46398,46429,46441,46468}))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 t="str">
        <f>IF(AG32="","",WORKDAY(AG32-AF32+1,-1,{46329,46349,46384,46385,46386,46387,46388,46391,46398,46429,46441,46468}))</f>
        <v/>
      </c>
      <c r="AD32" s="66" cm="1" t="str">
        <f t="array" ref="AD32">IF(AG32="","",$AG32-$AF32)</f>
        <v/>
      </c>
      <c r="AE32" s="67"/>
      <c r="AF32" s="83"/>
      <c r="AG32" s="72"/>
      <c r="AH32" s="71"/>
      <c r="AI32" s="70"/>
      <c r="AJ32" s="68"/>
      <c r="AK32" s="68"/>
      <c r="AL32" s="67"/>
      <c r="AM32" s="72"/>
      <c r="AN32" s="84" t="s">
        <v>102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103</v>
      </c>
      <c r="C33" s="24" t="s">
        <v>104</v>
      </c>
      <c r="D33" s="72"/>
      <c r="E33" s="71"/>
      <c r="F33" s="70">
        <f>IF(AG33="","",WORKDAY(I33-H33+1,-1,{46329,46349,46384,46385,46386,46387,46388,46391,46398,46429,46441,46468}))</f>
        <v>46297</v>
      </c>
      <c r="G33" s="67">
        <v>46290</v>
      </c>
      <c r="H33" s="65">
        <v>7</v>
      </c>
      <c r="I33" s="68">
        <f>IF(AG33="","",WORKDAY(P33-K33+1,-1,{46329,46349,46384,46385,46386,46387,46388,46391,46398,46429,46441,46468}))</f>
        <v>46304</v>
      </c>
      <c r="J33" s="67">
        <v>46290</v>
      </c>
      <c r="K33" s="65">
        <v>7</v>
      </c>
      <c r="L33" s="68">
        <v>46293</v>
      </c>
      <c r="M33" s="68">
        <v>46297</v>
      </c>
      <c r="N33" s="68">
        <v>46302</v>
      </c>
      <c r="O33" s="68">
        <v>46314</v>
      </c>
      <c r="P33" s="68">
        <f>IF(AG33="","",WORKDAY(AC33-R33-Q33+1,-1,{46329,46349,46384,46385,46386,46387,46388,46391,46398,46429,46441,46468}))</f>
        <v>46311</v>
      </c>
      <c r="Q33" s="69">
        <v>7</v>
      </c>
      <c r="R33" s="69">
        <v>14</v>
      </c>
      <c r="S33" s="68">
        <v>46317</v>
      </c>
      <c r="T33" s="68"/>
      <c r="U33" s="68"/>
      <c r="V33" s="68"/>
      <c r="W33" s="68"/>
      <c r="X33" s="68"/>
      <c r="Y33" s="68"/>
      <c r="Z33" s="68"/>
      <c r="AA33" s="68"/>
      <c r="AB33" s="67"/>
      <c r="AC33" s="70">
        <f>IF(AG33="","",WORKDAY(AG33-AF33+1,-1,{46329,46349,46384,46385,46386,46387,46388,46391,46398,46429,46441,46468}))</f>
        <v>46332</v>
      </c>
      <c r="AD33" s="68" cm="1">
        <f t="array" ref="AD33">IF(AG33="","",$AG33-$AF33)</f>
        <v>46334</v>
      </c>
      <c r="AE33" s="67"/>
      <c r="AF33" s="83">
        <v>60</v>
      </c>
      <c r="AG33" s="72">
        <v>46394</v>
      </c>
      <c r="AH33" s="71"/>
      <c r="AI33" s="70"/>
      <c r="AJ33" s="68"/>
      <c r="AK33" s="68"/>
      <c r="AL33" s="67"/>
      <c r="AM33" s="72"/>
      <c r="AN33" s="84" t="s">
        <v>105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11" t="s">
        <v>106</v>
      </c>
      <c r="C34" s="20" t="s">
        <v>107</v>
      </c>
      <c r="D34" s="72"/>
      <c r="E34" s="71"/>
      <c r="F34" s="82" t="str">
        <f>IF(AG34="","",WORKDAY(I34-H34+1,-1,{46329,46349,46384,46385,46386,46387,46388,46391,46398,46429,46441,46468}))</f>
        <v/>
      </c>
      <c r="G34" s="67"/>
      <c r="H34" s="65"/>
      <c r="I34" s="66" t="str">
        <f>IF(AG34="","",WORKDAY(P34-K34+1,-1,{46329,46349,46384,46385,46386,46387,46388,46391,46398,46429,46441,46468}))</f>
        <v/>
      </c>
      <c r="J34" s="67"/>
      <c r="K34" s="65"/>
      <c r="L34" s="68"/>
      <c r="M34" s="68"/>
      <c r="N34" s="68"/>
      <c r="O34" s="68"/>
      <c r="P34" s="66" t="str">
        <f>IF(AG34="","",WORKDAY(AC34-R34-Q34+1,-1,{46329,46349,46384,46385,46386,46387,46388,46391,46398,46429,46441,46468}))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cm="1" t="str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5" t="s">
        <v>108</v>
      </c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>
        <f>A34+1</f>
        <v>24</v>
      </c>
      <c r="B35" s="11" t="inlineStr">
        <is>
          <t>三和-5</t>
        </is>
      </c>
      <c r="C35" s="18" t="inlineStr">
        <is>
          <t>SD点検口</t>
        </is>
      </c>
      <c r="D35" s="72"/>
      <c r="E35" s="71"/>
      <c r="F35" s="70">
        <f>IF(AG35="","",WORKDAY(I35-H35+1,-1,{46329,46349,46384,46385,46386,46387,46388,46391,46398,46429,46441,46468}))</f>
        <v>46310</v>
      </c>
      <c r="G35" s="67">
        <v>46316</v>
      </c>
      <c r="H35" s="65">
        <v>7</v>
      </c>
      <c r="I35" s="68">
        <f>IF(AG35="","",WORKDAY(P35-K35+1,-1,{46329,46349,46384,46385,46386,46387,46388,46391,46398,46429,46441,46468}))</f>
        <v>46317</v>
      </c>
      <c r="J35" s="67">
        <v>46317</v>
      </c>
      <c r="K35" s="65">
        <v>7</v>
      </c>
      <c r="L35" s="68">
        <v>46318</v>
      </c>
      <c r="M35" s="68"/>
      <c r="N35" s="68"/>
      <c r="O35" s="68"/>
      <c r="P35" s="68">
        <f>IF(AG35="","",WORKDAY(AC35-R35-Q35+1,-1,{46329,46349,46384,46385,46386,46387,46388,46391,46398,46429,46441,46468}))</f>
        <v>46324</v>
      </c>
      <c r="Q35" s="69">
        <v>7</v>
      </c>
      <c r="R35" s="69">
        <v>14</v>
      </c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>
        <f>IF(AG35="","",WORKDAY(AG35-AF35+1,-1,{46329,46349,46384,46385,46386,46387,46388,46391,46398,46429,46441,46468}))</f>
        <v>46345</v>
      </c>
      <c r="AD35" s="68">
        <f>IF(AG35="","",$AG35-$AF35)</f>
        <v>46345</v>
      </c>
      <c r="AE35" s="67"/>
      <c r="AF35" s="83">
        <v>60</v>
      </c>
      <c r="AG35" s="72">
        <v>46405</v>
      </c>
      <c r="AH35" s="71"/>
      <c r="AI35" s="70"/>
      <c r="AJ35" s="68"/>
      <c r="AK35" s="68"/>
      <c r="AL35" s="67"/>
      <c r="AM35" s="72"/>
      <c r="AN35" s="84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>
        <f>A35+1</f>
        <v>25</v>
      </c>
      <c r="B36" s="11" t="inlineStr">
        <is>
          <t>三和-6</t>
        </is>
      </c>
      <c r="C36" s="18" t="inlineStr">
        <is>
          <t>ガラリ</t>
        </is>
      </c>
      <c r="D36" s="72"/>
      <c r="E36" s="71"/>
      <c r="F36" s="70">
        <f>IF(AG36="","",WORKDAY(I36-H36+1,-1,{46329,46349,46384,46385,46386,46387,46388,46391,46398,46429,46441,46468}))</f>
        <v>46310</v>
      </c>
      <c r="G36" s="67"/>
      <c r="H36" s="65">
        <v>7</v>
      </c>
      <c r="I36" s="68">
        <f>IF(AG36="","",WORKDAY(P36-K36+1,-1,{46329,46349,46384,46385,46386,46387,46388,46391,46398,46429,46441,46468}))</f>
        <v>46317</v>
      </c>
      <c r="J36" s="67"/>
      <c r="K36" s="65">
        <v>7</v>
      </c>
      <c r="L36" s="68"/>
      <c r="M36" s="68"/>
      <c r="N36" s="68"/>
      <c r="O36" s="68"/>
      <c r="P36" s="68">
        <f>IF(AG36="","",WORKDAY(AC36-R36-Q36+1,-1,{46329,46349,46384,46385,46386,46387,46388,46391,46398,46429,46441,46468}))</f>
        <v>46324</v>
      </c>
      <c r="Q36" s="69">
        <v>7</v>
      </c>
      <c r="R36" s="69">
        <v>14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46345</v>
      </c>
      <c r="AD36" s="68">
        <f>IF(AG36="","",$AG36-$AF36)</f>
        <v>46345</v>
      </c>
      <c r="AE36" s="67"/>
      <c r="AF36" s="83">
        <v>60</v>
      </c>
      <c r="AG36" s="72">
        <v>46405</v>
      </c>
      <c r="AH36" s="71"/>
      <c r="AI36" s="70"/>
      <c r="AJ36" s="68"/>
      <c r="AK36" s="68"/>
      <c r="AL36" s="67"/>
      <c r="AM36" s="72"/>
      <c r="AN36" s="84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>
        <f>IF(AG37="","",WORKDAY(I37-H37+1,-1,{46329,46349,46384,46385,46386,46387,46388,46391,46398,46429,46441,46468}))</f>
        <v/>
      </c>
      <c r="G37" s="67"/>
      <c r="H37" s="65"/>
      <c r="I37" s="66" t="str">
        <f>IF(AG37="","",WORKDAY(P37-K37+1,-1,{46329,46349,46384,46385,46386,46387,46388,46391,46398,46429,46441,46468}))</f>
        <v/>
      </c>
      <c r="J37" s="67"/>
      <c r="K37" s="65"/>
      <c r="L37" s="68"/>
      <c r="M37" s="68"/>
      <c r="N37" s="68"/>
      <c r="O37" s="68"/>
      <c r="P37" s="66" t="str">
        <f>IF(AG37="","",WORKDAY(AC37-R37-Q37+1,-1,{46329,46349,46384,46385,46386,46387,46388,46391,46398,46429,46441,46468}))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cm="1" t="str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109</v>
      </c>
      <c r="D38" s="72"/>
      <c r="E38" s="71"/>
      <c r="F38" s="82" t="str">
        <f>IF(AG38="","",WORKDAY(I38-H38+1,-1,{46329,46349,46384,46385,46386,46387,46388,46391,46398,46429,46441,46468}))</f>
        <v/>
      </c>
      <c r="G38" s="67"/>
      <c r="H38" s="65"/>
      <c r="I38" s="66" t="str">
        <f>IF(AG38="","",WORKDAY(P38-K38+1,-1,{46329,46349,46384,46385,46386,46387,46388,46391,46398,46429,46441,46468}))</f>
        <v/>
      </c>
      <c r="J38" s="67"/>
      <c r="K38" s="65"/>
      <c r="L38" s="68"/>
      <c r="M38" s="68"/>
      <c r="N38" s="68"/>
      <c r="O38" s="68"/>
      <c r="P38" s="66" t="str">
        <f>IF(AG38="","",WORKDAY(AC38-R38-Q38+1,-1,{46329,46349,46384,46385,46386,46387,46388,46391,46398,46429,46441,46468}))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110</v>
      </c>
      <c r="C39" s="24" t="s">
        <v>111</v>
      </c>
      <c r="D39" s="72"/>
      <c r="E39" s="71"/>
      <c r="F39" s="70">
        <f>IF(AG39="","",WORKDAY(I39-H39+1,-1,{46329,46349,46384,46385,46386,46387,46388,46391,46398,46429,46441,46468}))</f>
        <v>46286</v>
      </c>
      <c r="G39" s="67">
        <v>46282</v>
      </c>
      <c r="H39" s="65">
        <v>7</v>
      </c>
      <c r="I39" s="68">
        <f>IF(AG39="","",WORKDAY(P39-K39+1,-1,{46329,46349,46384,46385,46386,46387,46388,46391,46398,46429,46441,46468}))</f>
        <v>46293</v>
      </c>
      <c r="J39" s="67">
        <v>46289</v>
      </c>
      <c r="K39" s="65">
        <v>7</v>
      </c>
      <c r="L39" s="68">
        <v>46293</v>
      </c>
      <c r="M39" s="68">
        <v>46297</v>
      </c>
      <c r="N39" s="68">
        <v>46302</v>
      </c>
      <c r="O39" s="68">
        <v>46309</v>
      </c>
      <c r="P39" s="68">
        <f>IF(AG39="","",WORKDAY(AC39-R39-Q39+1,-1,{46329,46349,46384,46385,46386,46387,46388,46391,46398,46429,46441,46468}))</f>
        <v>46300</v>
      </c>
      <c r="Q39" s="69">
        <v>7</v>
      </c>
      <c r="R39" s="69">
        <v>7</v>
      </c>
      <c r="S39" s="68">
        <v>46318</v>
      </c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46314</v>
      </c>
      <c r="AD39" s="68" cm="1">
        <f t="array" ref="AD39">IF(AG39="","",$AG39-$AF39)</f>
        <v>46314</v>
      </c>
      <c r="AE39" s="67"/>
      <c r="AF39" s="83">
        <v>80</v>
      </c>
      <c r="AG39" s="72">
        <v>46394</v>
      </c>
      <c r="AH39" s="71"/>
      <c r="AI39" s="70"/>
      <c r="AJ39" s="68"/>
      <c r="AK39" s="68"/>
      <c r="AL39" s="67"/>
      <c r="AM39" s="72"/>
      <c r="AN39" s="84" t="s">
        <v>112</v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9"/>
      <c r="C40" s="19"/>
      <c r="D40" s="72"/>
      <c r="E40" s="71"/>
      <c r="F40" s="82" t="str">
        <f>IF(AG40="","",WORKDAY(I40-H40+1,-1,{46329,46349,46384,46385,46386,46387,46388,46391,46398,46429,46441,46468}))</f>
        <v/>
      </c>
      <c r="G40" s="67"/>
      <c r="H40" s="65"/>
      <c r="I40" s="66" t="str">
        <f>IF(AG40="","",WORKDAY(P40-K40+1,-1,{46329,46349,46384,46385,46386,46387,46388,46391,46398,46429,46441,46468}))</f>
        <v/>
      </c>
      <c r="J40" s="67"/>
      <c r="K40" s="65"/>
      <c r="L40" s="68"/>
      <c r="M40" s="68"/>
      <c r="N40" s="68"/>
      <c r="O40" s="68"/>
      <c r="P40" s="66" t="str">
        <f>IF(AG40="","",WORKDAY(AC40-R40-Q40+1,-1,{46329,46349,46384,46385,46386,46387,46388,46391,46398,46429,46441,46468}))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 t="str">
        <f>IF(AG40="","",WORKDAY(AG40-AF40+1,-1,{46329,46349,46384,46385,46386,46387,46388,46391,46398,46429,46441,46468}))</f>
        <v/>
      </c>
      <c r="AD40" s="66" cm="1" t="str">
        <f t="array" ref="AD40">IF(AG40="","",$AG40-$AF40)</f>
        <v/>
      </c>
      <c r="AE40" s="67"/>
      <c r="AF40" s="83"/>
      <c r="AG40" s="72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9"/>
      <c r="C41" s="18" t="s">
        <v>113</v>
      </c>
      <c r="D41" s="72"/>
      <c r="E41" s="71"/>
      <c r="F41" s="82" t="str">
        <f>IF(AG41="","",WORKDAY(I41-H41+1,-1,{46329,46349,46384,46385,46386,46387,46388,46391,46398,46429,46441,46468}))</f>
        <v/>
      </c>
      <c r="G41" s="67"/>
      <c r="H41" s="65"/>
      <c r="I41" s="66" t="str">
        <f>IF(AG41="","",WORKDAY(P41-K41+1,-1,{46329,46349,46384,46385,46386,46387,46388,46391,46398,46429,46441,46468}))</f>
        <v/>
      </c>
      <c r="J41" s="67"/>
      <c r="K41" s="65"/>
      <c r="L41" s="68"/>
      <c r="M41" s="68"/>
      <c r="N41" s="68"/>
      <c r="O41" s="68"/>
      <c r="P41" s="66" t="str">
        <f>IF(AG41="","",WORKDAY(AC41-R41-Q41+1,-1,{46329,46349,46384,46385,46386,46387,46388,46391,46398,46429,46441,46468}))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 t="str">
        <f>IF(AG41="","",WORKDAY(AG41-AF41+1,-1,{46329,46349,46384,46385,46386,46387,46388,46391,46398,46429,46441,46468}))</f>
        <v/>
      </c>
      <c r="AD41" s="66" cm="1" t="str">
        <f t="array" ref="AD41">IF(AG41="","",$AG41-$AF41)</f>
        <v/>
      </c>
      <c r="AE41" s="67"/>
      <c r="AF41" s="83"/>
      <c r="AG41" s="72"/>
      <c r="AH41" s="71"/>
      <c r="AI41" s="70"/>
      <c r="AJ41" s="68"/>
      <c r="AK41" s="68"/>
      <c r="AL41" s="67"/>
      <c r="AM41" s="72"/>
      <c r="AN41" s="85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inlineStr">
        <is>
          <t>MIDIC-1</t>
        </is>
      </c>
      <c r="C42" s="18" t="inlineStr">
        <is>
          <t>西側　窓際カウンター</t>
        </is>
      </c>
      <c r="D42" s="72"/>
      <c r="E42" s="71"/>
      <c r="F42" s="70">
        <f>IF(AG42="","",WORKDAY(I42-H42+1,-1,{46329,46349,46384,46385,46386,46387,46388,46391,46398,46429,46441,46468}))</f>
        <v>46346</v>
      </c>
      <c r="G42" s="67"/>
      <c r="H42" s="65">
        <v>7</v>
      </c>
      <c r="I42" s="68">
        <f>IF(AG42="","",WORKDAY(P42-K42+1,-1,{46329,46349,46384,46385,46386,46387,46388,46391,46398,46429,46441,46468}))</f>
        <v>46353</v>
      </c>
      <c r="J42" s="67"/>
      <c r="K42" s="65">
        <v>7</v>
      </c>
      <c r="L42" s="68"/>
      <c r="M42" s="68"/>
      <c r="N42" s="68"/>
      <c r="O42" s="68"/>
      <c r="P42" s="68">
        <f>IF(AG42="","",WORKDAY(AC42-R42-Q42+1,-1,{46329,46349,46384,46385,46386,46387,46388,46391,46398,46429,46441,46468}))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46391</v>
      </c>
      <c r="AE42" s="67"/>
      <c r="AF42" s="83">
        <v>14</v>
      </c>
      <c r="AG42" s="72">
        <v>46405</v>
      </c>
      <c r="AH42" s="71"/>
      <c r="AI42" s="70"/>
      <c r="AJ42" s="68"/>
      <c r="AK42" s="68"/>
      <c r="AL42" s="67"/>
      <c r="AM42" s="72"/>
      <c r="AN42" s="75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inlineStr">
        <is>
          <t>MIDIC-2</t>
        </is>
      </c>
      <c r="C43" s="18" t="inlineStr">
        <is>
          <t>西側　ボックス席</t>
        </is>
      </c>
      <c r="D43" s="72"/>
      <c r="E43" s="71"/>
      <c r="F43" s="70">
        <f>IF(AG43="","",WORKDAY(I43-H43+1,-1,{46329,46349,46384,46385,46386,46387,46388,46391,46398,46429,46441,46468}))</f>
        <v>46359</v>
      </c>
      <c r="G43" s="67"/>
      <c r="H43" s="65">
        <v>7</v>
      </c>
      <c r="I43" s="68">
        <f>IF(AG43="","",WORKDAY(P43-K43+1,-1,{46329,46349,46384,46385,46386,46387,46388,46391,46398,46429,46441,46468}))</f>
        <v>46366</v>
      </c>
      <c r="J43" s="67"/>
      <c r="K43" s="65">
        <v>7</v>
      </c>
      <c r="L43" s="68"/>
      <c r="M43" s="68"/>
      <c r="N43" s="68"/>
      <c r="O43" s="68"/>
      <c r="P43" s="68">
        <f>IF(AG43="","",WORKDAY(AC43-R43-Q43+1,-1,{46329,46349,46384,46385,46386,46387,46388,46391,46398,46429,46441,46468}))</f>
        <v>46373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46394</v>
      </c>
      <c r="AD43" s="68" cm="1">
        <f t="array" ref="AD43">IF(AG43="","",$AG43-$AF43)</f>
        <v>46394</v>
      </c>
      <c r="AE43" s="67"/>
      <c r="AF43" s="83">
        <v>28</v>
      </c>
      <c r="AG43" s="72">
        <v>46422</v>
      </c>
      <c r="AH43" s="71"/>
      <c r="AI43" s="70"/>
      <c r="AJ43" s="68"/>
      <c r="AK43" s="68"/>
      <c r="AL43" s="67"/>
      <c r="AM43" s="72"/>
      <c r="AN43" s="75" t="s">
        <v>119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11" t="inlineStr">
        <is>
          <t>MIDIC-3</t>
        </is>
      </c>
      <c r="C44" s="18" t="inlineStr">
        <is>
          <t>西側　ステンレスカウンター</t>
        </is>
      </c>
      <c r="D44" s="72"/>
      <c r="E44" s="71"/>
      <c r="F44" s="70">
        <f>IF(AG44="","",WORKDAY(I44-H44+1,-1,{46329,46349,46384,46385,46386,46387,46388,46391,46398,46429,46441,46468}))</f>
        <v>46366</v>
      </c>
      <c r="G44" s="67"/>
      <c r="H44" s="65">
        <v>7</v>
      </c>
      <c r="I44" s="68">
        <f>IF(AG44="","",WORKDAY(P44-K44+1,-1,{46329,46349,46384,46385,46386,46387,46388,46391,46398,46429,46441,46468}))</f>
        <v>46373</v>
      </c>
      <c r="J44" s="67"/>
      <c r="K44" s="65">
        <v>7</v>
      </c>
      <c r="L44" s="68"/>
      <c r="M44" s="68"/>
      <c r="N44" s="68"/>
      <c r="O44" s="68"/>
      <c r="P44" s="68">
        <f>IF(AG44="","",WORKDAY(AC44-R44-Q44+1,-1,{46329,46349,46384,46385,46386,46387,46388,46391,46398,46429,46441,46468}))</f>
        <v>46380</v>
      </c>
      <c r="Q44" s="69">
        <v>7</v>
      </c>
      <c r="R44" s="69">
        <v>14</v>
      </c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>
        <f>IF(AG44="","",WORKDAY(AG44-AF44+1,-1,{46329,46349,46384,46385,46386,46387,46388,46391,46398,46429,46441,46468}))</f>
        <v>46401</v>
      </c>
      <c r="AD44" s="68" cm="1">
        <f t="array" ref="AD44">IF(AG44="","",$AG44-$AF44)</f>
        <v>46401</v>
      </c>
      <c r="AE44" s="67"/>
      <c r="AF44" s="83">
        <v>14</v>
      </c>
      <c r="AG44" s="72">
        <v>46415</v>
      </c>
      <c r="AH44" s="71"/>
      <c r="AI44" s="70"/>
      <c r="AJ44" s="68"/>
      <c r="AK44" s="68"/>
      <c r="AL44" s="67"/>
      <c r="AM44" s="72"/>
      <c r="AN44" s="75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inlineStr">
        <is>
          <t>MIDIC-4</t>
        </is>
      </c>
      <c r="C45" s="18" t="inlineStr">
        <is>
          <t>西側・正面　木パネル貼り</t>
        </is>
      </c>
      <c r="D45" s="72"/>
      <c r="E45" s="71"/>
      <c r="F45" s="70">
        <f>IF(AG45="","",WORKDAY(I45-H45+1,-1,{46329,46349,46384,46385,46386,46387,46388,46391,46398,46429,46441,46468}))</f>
        <v>46359</v>
      </c>
      <c r="G45" s="67"/>
      <c r="H45" s="65">
        <v>7</v>
      </c>
      <c r="I45" s="68">
        <f>IF(AG45="","",WORKDAY(P45-K45+1,-1,{46329,46349,46384,46385,46386,46387,46388,46391,46398,46429,46441,46468}))</f>
        <v>46366</v>
      </c>
      <c r="J45" s="67"/>
      <c r="K45" s="65">
        <v>7</v>
      </c>
      <c r="L45" s="68"/>
      <c r="M45" s="68"/>
      <c r="N45" s="68"/>
      <c r="O45" s="68"/>
      <c r="P45" s="68">
        <f>IF(AG45="","",WORKDAY(AC45-R45-Q45+1,-1,{46329,46349,46384,46385,46386,46387,46388,46391,46398,46429,46441,46468}))</f>
        <v>46373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46394</v>
      </c>
      <c r="AD45" s="68" cm="1">
        <f t="array" ref="AD45">IF(AG45="","",$AG45-$AF45)</f>
        <v>46394</v>
      </c>
      <c r="AE45" s="67"/>
      <c r="AF45" s="83">
        <v>21</v>
      </c>
      <c r="AG45" s="72">
        <v>46415</v>
      </c>
      <c r="AH45" s="71"/>
      <c r="AI45" s="70"/>
      <c r="AJ45" s="68"/>
      <c r="AK45" s="68"/>
      <c r="AL45" s="67"/>
      <c r="AM45" s="72"/>
      <c r="AN45" s="75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inlineStr">
        <is>
          <t>MIDIC-5</t>
        </is>
      </c>
      <c r="C46" s="18" t="inlineStr">
        <is>
          <t>東側　窓際カウンター</t>
        </is>
      </c>
      <c r="D46" s="72"/>
      <c r="E46" s="71"/>
      <c r="F46" s="70">
        <f>IF(AG46="","",WORKDAY(I46-H46+1,-1,{46329,46349,46384,46385,46386,46387,46388,46391,46398,46429,46441,46468}))</f>
        <v>46393</v>
      </c>
      <c r="G46" s="67"/>
      <c r="H46" s="65">
        <v>7</v>
      </c>
      <c r="I46" s="68">
        <f>IF(AG46="","",WORKDAY(P46-K46+1,-1,{46329,46349,46384,46385,46386,46387,46388,46391,46398,46429,46441,46468}))</f>
        <v>46400</v>
      </c>
      <c r="J46" s="67"/>
      <c r="K46" s="65">
        <v>7</v>
      </c>
      <c r="L46" s="68"/>
      <c r="M46" s="68"/>
      <c r="N46" s="68"/>
      <c r="O46" s="68"/>
      <c r="P46" s="68">
        <f>IF(AG46="","",WORKDAY(AC46-R46-Q46+1,-1,{46329,46349,46384,46385,46386,46387,46388,46391,46398,46429,46441,46468}))</f>
        <v>46407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46428</v>
      </c>
      <c r="AD46" s="68" cm="1">
        <f t="array" ref="AD46">IF(AG46="","",$AG46-$AF46)</f>
        <v>46428</v>
      </c>
      <c r="AE46" s="67"/>
      <c r="AF46" s="83">
        <v>14</v>
      </c>
      <c r="AG46" s="72">
        <v>46442</v>
      </c>
      <c r="AH46" s="71"/>
      <c r="AI46" s="70"/>
      <c r="AJ46" s="68"/>
      <c r="AK46" s="68"/>
      <c r="AL46" s="67"/>
      <c r="AM46" s="72"/>
      <c r="AN46" s="75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11" t="inlineStr">
        <is>
          <t>MIDIC-6</t>
        </is>
      </c>
      <c r="C47" s="18" t="inlineStr">
        <is>
          <t>東側　下膳台</t>
        </is>
      </c>
      <c r="D47" s="72"/>
      <c r="E47" s="71"/>
      <c r="F47" s="70">
        <f>IF(AG47="","",WORKDAY(I47-H47+1,-1,{46329,46349,46384,46385,46386,46387,46388,46391,46398,46429,46441,46468}))</f>
        <v>46393</v>
      </c>
      <c r="G47" s="67"/>
      <c r="H47" s="65">
        <v>7</v>
      </c>
      <c r="I47" s="68">
        <f>IF(AG47="","",WORKDAY(P47-K47+1,-1,{46329,46349,46384,46385,46386,46387,46388,46391,46398,46429,46441,46468}))</f>
        <v>46400</v>
      </c>
      <c r="J47" s="67"/>
      <c r="K47" s="65">
        <v>7</v>
      </c>
      <c r="L47" s="68"/>
      <c r="M47" s="68"/>
      <c r="N47" s="68"/>
      <c r="O47" s="68"/>
      <c r="P47" s="68">
        <f>IF(AG47="","",WORKDAY(AC47-R47-Q47+1,-1,{46329,46349,46384,46385,46386,46387,46388,46391,46398,46429,46441,46468}))</f>
        <v>46407</v>
      </c>
      <c r="Q47" s="69">
        <v>7</v>
      </c>
      <c r="R47" s="69">
        <v>14</v>
      </c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>
        <f>IF(AG47="","",WORKDAY(AG47-AF47+1,-1,{46329,46349,46384,46385,46386,46387,46388,46391,46398,46429,46441,46468}))</f>
        <v>46428</v>
      </c>
      <c r="AD47" s="68" cm="1">
        <f t="array" ref="AD47">IF(AG47="","",$AG47-$AF47)</f>
        <v>46428</v>
      </c>
      <c r="AE47" s="67"/>
      <c r="AF47" s="83">
        <v>14</v>
      </c>
      <c r="AG47" s="72">
        <v>46442</v>
      </c>
      <c r="AH47" s="71"/>
      <c r="AI47" s="70"/>
      <c r="AJ47" s="68"/>
      <c r="AK47" s="68"/>
      <c r="AL47" s="67"/>
      <c r="AM47" s="72"/>
      <c r="AN47" s="75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inlineStr">
        <is>
          <t>MIDIC-7</t>
        </is>
      </c>
      <c r="C48" s="18" t="inlineStr">
        <is>
          <t>東側　腰壁</t>
        </is>
      </c>
      <c r="D48" s="72"/>
      <c r="E48" s="71"/>
      <c r="F48" s="70">
        <f>IF(AG48="","",WORKDAY(I48-H48+1,-1,{46329,46349,46384,46385,46386,46387,46388,46391,46398,46429,46441,46468}))</f>
        <v>46367</v>
      </c>
      <c r="G48" s="67"/>
      <c r="H48" s="65">
        <v>7</v>
      </c>
      <c r="I48" s="68">
        <f>IF(AG48="","",WORKDAY(P48-K48+1,-1,{46329,46349,46384,46385,46386,46387,46388,46391,46398,46429,46441,46468}))</f>
        <v>46374</v>
      </c>
      <c r="J48" s="67"/>
      <c r="K48" s="65">
        <v>7</v>
      </c>
      <c r="L48" s="68"/>
      <c r="M48" s="68"/>
      <c r="N48" s="68"/>
      <c r="O48" s="68"/>
      <c r="P48" s="68">
        <f>IF(AG48="","",WORKDAY(AC48-R48-Q48+1,-1,{46329,46349,46384,46385,46386,46387,46388,46391,46398,46429,46441,46468}))</f>
        <v>46381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46405</v>
      </c>
      <c r="AD48" s="68" cm="1">
        <f t="array" ref="AD48">IF(AG48="","",$AG48-$AF48)</f>
        <v>46405</v>
      </c>
      <c r="AE48" s="67"/>
      <c r="AF48" s="83">
        <v>14</v>
      </c>
      <c r="AG48" s="72">
        <v>46419</v>
      </c>
      <c r="AH48" s="71"/>
      <c r="AI48" s="70"/>
      <c r="AJ48" s="68"/>
      <c r="AK48" s="68"/>
      <c r="AL48" s="67"/>
      <c r="AM48" s="72"/>
      <c r="AN48" s="75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inlineStr">
        <is>
          <t>MIDIC-8</t>
        </is>
      </c>
      <c r="C49" s="18" t="inlineStr">
        <is>
          <t>正面　手洗いカウンター</t>
        </is>
      </c>
      <c r="D49" s="72"/>
      <c r="E49" s="71"/>
      <c r="F49" s="70">
        <f>IF(AG49="","",WORKDAY(I49-H49+1,-1,{46329,46349,46384,46385,46386,46387,46388,46391,46398,46429,46441,46468}))</f>
        <v>46374</v>
      </c>
      <c r="G49" s="67"/>
      <c r="H49" s="65">
        <v>7</v>
      </c>
      <c r="I49" s="68">
        <f>IF(AG49="","",WORKDAY(P49-K49+1,-1,{46329,46349,46384,46385,46386,46387,46388,46391,46398,46429,46441,46468}))</f>
        <v>46381</v>
      </c>
      <c r="J49" s="67"/>
      <c r="K49" s="65">
        <v>7</v>
      </c>
      <c r="L49" s="68"/>
      <c r="M49" s="68"/>
      <c r="N49" s="68"/>
      <c r="O49" s="68"/>
      <c r="P49" s="68">
        <f>IF(AG49="","",WORKDAY(AC49-R49-Q49+1,-1,{46329,46349,46384,46385,46386,46387,46388,46391,46398,46429,46441,46468}))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46419</v>
      </c>
      <c r="AD49" s="68" cm="1">
        <f t="array" ref="AD49">IF(AG49="","",$AG49-$AF49)</f>
        <v>46419</v>
      </c>
      <c r="AE49" s="67"/>
      <c r="AF49" s="83">
        <v>14</v>
      </c>
      <c r="AG49" s="72">
        <v>46433</v>
      </c>
      <c r="AH49" s="71"/>
      <c r="AI49" s="70"/>
      <c r="AJ49" s="68"/>
      <c r="AK49" s="68"/>
      <c r="AL49" s="67"/>
      <c r="AM49" s="72"/>
      <c r="AN49" s="75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11" t="inlineStr">
        <is>
          <t>MIDIC-9</t>
        </is>
      </c>
      <c r="C50" s="18" t="inlineStr">
        <is>
          <t>正面　鏡下地</t>
        </is>
      </c>
      <c r="D50" s="72"/>
      <c r="E50" s="71"/>
      <c r="F50" s="70">
        <f>IF(AG50="","",WORKDAY(I50-H50+1,-1,{46329,46349,46384,46385,46386,46387,46388,46391,46398,46429,46441,46468}))</f>
        <v>46381</v>
      </c>
      <c r="G50" s="67"/>
      <c r="H50" s="65">
        <v>7</v>
      </c>
      <c r="I50" s="68">
        <f>IF(AG50="","",WORKDAY(P50-K50+1,-1,{46329,46349,46384,46385,46386,46387,46388,46391,46398,46429,46441,46468}))</f>
        <v>46395</v>
      </c>
      <c r="J50" s="67"/>
      <c r="K50" s="65">
        <v>7</v>
      </c>
      <c r="L50" s="68"/>
      <c r="M50" s="68"/>
      <c r="N50" s="68"/>
      <c r="O50" s="68"/>
      <c r="P50" s="68">
        <f>IF(AG50="","",WORKDAY(AC50-R50-Q50+1,-1,{46329,46349,46384,46385,46386,46387,46388,46391,46398,46429,46441,46468}))</f>
        <v>46405</v>
      </c>
      <c r="Q50" s="69">
        <v>7</v>
      </c>
      <c r="R50" s="69">
        <v>14</v>
      </c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>
        <f>IF(AG50="","",WORKDAY(AG50-AF50+1,-1,{46329,46349,46384,46385,46386,46387,46388,46391,46398,46429,46441,46468}))</f>
        <v>46426</v>
      </c>
      <c r="AD50" s="68" cm="1">
        <f t="array" ref="AD50">IF(AG50="","",$AG50-$AF50)</f>
        <v>46426</v>
      </c>
      <c r="AE50" s="67"/>
      <c r="AF50" s="83">
        <v>7</v>
      </c>
      <c r="AG50" s="72">
        <v>46433</v>
      </c>
      <c r="AH50" s="71"/>
      <c r="AI50" s="70"/>
      <c r="AJ50" s="68"/>
      <c r="AK50" s="68"/>
      <c r="AL50" s="67"/>
      <c r="AM50" s="72"/>
      <c r="AN50" s="75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inlineStr">
        <is>
          <t>MIDIC-10</t>
        </is>
      </c>
      <c r="C51" s="24" t="inlineStr">
        <is>
          <t>天井・壁　吸音ルーバー（ヒガノ）</t>
        </is>
      </c>
      <c r="D51" s="72"/>
      <c r="E51" s="71"/>
      <c r="F51" s="70">
        <f>IF(AG51="","",WORKDAY(I51-H51+1,-1,{46329,46349,46384,46385,46386,46387,46388,46391,46398,46429,46441,46468}))</f>
        <v>46280</v>
      </c>
      <c r="G51" s="67">
        <v>46300</v>
      </c>
      <c r="H51" s="65">
        <v>7</v>
      </c>
      <c r="I51" s="68">
        <f>IF(AG51="","",WORKDAY(P51-K51+1,-1,{46329,46349,46384,46385,46386,46387,46388,46391,46398,46429,46441,46468}))</f>
        <v>46287</v>
      </c>
      <c r="J51" s="67">
        <v>46302</v>
      </c>
      <c r="K51" s="65">
        <v>7</v>
      </c>
      <c r="L51" s="68">
        <v>46302</v>
      </c>
      <c r="M51" s="68">
        <v>46309</v>
      </c>
      <c r="N51" s="68"/>
      <c r="O51" s="68"/>
      <c r="P51" s="68">
        <f>IF(AG51="","",WORKDAY(AC51-R51-Q51+1,-1,{46329,46349,46384,46385,46386,46387,46388,46391,46398,46429,46441,46468}))</f>
        <v>46294</v>
      </c>
      <c r="Q51" s="69">
        <v>7</v>
      </c>
      <c r="R51" s="69">
        <v>14</v>
      </c>
      <c r="S51" s="68">
        <v>46318</v>
      </c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46315</v>
      </c>
      <c r="AD51" s="68" cm="1">
        <f t="array" ref="AD51">IF(AG51="","",$AG51-$AF51)</f>
        <v>46315</v>
      </c>
      <c r="AE51" s="67"/>
      <c r="AF51" s="83">
        <v>90</v>
      </c>
      <c r="AG51" s="72">
        <v>46405</v>
      </c>
      <c r="AH51" s="71"/>
      <c r="AI51" s="70"/>
      <c r="AJ51" s="68"/>
      <c r="AK51" s="68"/>
      <c r="AL51" s="67"/>
      <c r="AM51" s="72"/>
      <c r="AN51" s="84" t="s">
        <v>116</v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>
        <f>IF(AG52="","",WORKDAY(I52-H52+1,-1,{46329,46349,46384,46385,46386,46387,46388,46391,46398,46429,46441,46468}))</f>
        <v/>
      </c>
      <c r="G52" s="67"/>
      <c r="H52" s="65"/>
      <c r="I52" s="66" t="str">
        <f>IF(AG52="","",WORKDAY(P52-K52+1,-1,{46329,46349,46384,46385,46386,46387,46388,46391,46398,46429,46441,46468}))</f>
        <v/>
      </c>
      <c r="J52" s="67"/>
      <c r="K52" s="65"/>
      <c r="L52" s="68"/>
      <c r="M52" s="68"/>
      <c r="N52" s="68"/>
      <c r="O52" s="68"/>
      <c r="P52" s="66" t="str">
        <f>IF(AG52="","",WORKDAY(AC52-R52-Q52+1,-1,{46329,46349,46384,46385,46386,46387,46388,46391,46398,46429,46441,46468}))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cm="1" t="str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8" t="s">
        <v>124</v>
      </c>
      <c r="D53" s="72"/>
      <c r="E53" s="71"/>
      <c r="F53" s="82" t="str">
        <f>IF(AG53="","",WORKDAY(I53-H53+1,-1,{46329,46349,46384,46385,46386,46387,46388,46391,46398,46429,46441,46468}))</f>
        <v/>
      </c>
      <c r="G53" s="67"/>
      <c r="H53" s="65"/>
      <c r="I53" s="66" t="str">
        <f>IF(AG53="","",WORKDAY(P53-K53+1,-1,{46329,46349,46384,46385,46386,46387,46388,46391,46398,46429,46441,46468}))</f>
        <v/>
      </c>
      <c r="J53" s="67"/>
      <c r="K53" s="65"/>
      <c r="L53" s="68"/>
      <c r="M53" s="68"/>
      <c r="N53" s="68"/>
      <c r="O53" s="68"/>
      <c r="P53" s="66" t="str">
        <f>IF(AG53="","",WORKDAY(AC53-R53-Q53+1,-1,{46329,46349,46384,46385,46386,46387,46388,46391,46398,46429,46441,46468}))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11" t="s">
        <v>125</v>
      </c>
      <c r="C54" s="18" t="s">
        <v>126</v>
      </c>
      <c r="D54" s="72"/>
      <c r="E54" s="71"/>
      <c r="F54" s="70">
        <f>IF(AG54="","",WORKDAY(I54-H54+1,-1,{46329,46349,46384,46385,46386,46387,46388,46391,46398,46429,46441,46468}))</f>
        <v>46345</v>
      </c>
      <c r="G54" s="67">
        <v>46276</v>
      </c>
      <c r="H54" s="65">
        <v>7</v>
      </c>
      <c r="I54" s="68">
        <f>IF(AG54="","",WORKDAY(P54-K54+1,-1,{46329,46349,46384,46385,46386,46387,46388,46391,46398,46429,46441,46468}))</f>
        <v>46352</v>
      </c>
      <c r="J54" s="67">
        <v>46291</v>
      </c>
      <c r="K54" s="65">
        <v>7</v>
      </c>
      <c r="L54" s="68"/>
      <c r="M54" s="68"/>
      <c r="N54" s="68"/>
      <c r="O54" s="68"/>
      <c r="P54" s="68">
        <f>IF(AG54="","",WORKDAY(AC54-R54-Q54+1,-1,{46329,46349,46384,46385,46386,46387,46388,46391,46398,46429,46441,46468}))</f>
        <v>46359</v>
      </c>
      <c r="Q54" s="69">
        <v>7</v>
      </c>
      <c r="R54" s="69">
        <v>14</v>
      </c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>
        <f>IF(AG54="","",WORKDAY(AG54-AF54+1,-1,{46329,46349,46384,46385,46386,46387,46388,46391,46398,46429,46441,46468}))</f>
        <v>46380</v>
      </c>
      <c r="AD54" s="68" cm="1">
        <f t="array" ref="AD54">IF(AG54="","",$AG54-$AF54)</f>
        <v>46380</v>
      </c>
      <c r="AE54" s="67"/>
      <c r="AF54" s="83">
        <v>60</v>
      </c>
      <c r="AG54" s="72">
        <v>46440</v>
      </c>
      <c r="AH54" s="71"/>
      <c r="AI54" s="70"/>
      <c r="AJ54" s="68"/>
      <c r="AK54" s="68"/>
      <c r="AL54" s="67"/>
      <c r="AM54" s="72"/>
      <c r="AN54" s="75" t="s">
        <v>127</v>
      </c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>
        <f>IF(AG55="","",WORKDAY(I55-H55+1,-1,{46329,46349,46384,46385,46386,46387,46388,46391,46398,46429,46441,46468}))</f>
        <v/>
      </c>
      <c r="G55" s="67"/>
      <c r="H55" s="65"/>
      <c r="I55" s="66" t="str">
        <f>IF(AG55="","",WORKDAY(P55-K55+1,-1,{46329,46349,46384,46385,46386,46387,46388,46391,46398,46429,46441,46468}))</f>
        <v/>
      </c>
      <c r="J55" s="67"/>
      <c r="K55" s="65"/>
      <c r="L55" s="68"/>
      <c r="M55" s="68"/>
      <c r="N55" s="68"/>
      <c r="O55" s="68"/>
      <c r="P55" s="66" t="str">
        <f>IF(AG55="","",WORKDAY(AC55-R55-Q55+1,-1,{46329,46349,46384,46385,46386,46387,46388,46391,46398,46429,46441,46468}))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8" t="s">
        <v>128</v>
      </c>
      <c r="D56" s="72"/>
      <c r="E56" s="71"/>
      <c r="F56" s="82" t="str">
        <f>IF(AG56="","",WORKDAY(I56-H56+1,-1,{46329,46349,46384,46385,46386,46387,46388,46391,46398,46429,46441,46468}))</f>
        <v/>
      </c>
      <c r="G56" s="67"/>
      <c r="H56" s="65"/>
      <c r="I56" s="66" t="str">
        <f>IF(AG56="","",WORKDAY(P56-K56+1,-1,{46329,46349,46384,46385,46386,46387,46388,46391,46398,46429,46441,46468}))</f>
        <v/>
      </c>
      <c r="J56" s="67"/>
      <c r="K56" s="65"/>
      <c r="L56" s="68"/>
      <c r="M56" s="68"/>
      <c r="N56" s="68"/>
      <c r="O56" s="68"/>
      <c r="P56" s="66" t="str">
        <f>IF(AG56="","",WORKDAY(AC56-R56-Q56+1,-1,{46329,46349,46384,46385,46386,46387,46388,46391,46398,46429,46441,46468}))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11" t="s">
        <v>129</v>
      </c>
      <c r="C57" s="18" t="s">
        <v>130</v>
      </c>
      <c r="D57" s="72"/>
      <c r="E57" s="71"/>
      <c r="F57" s="70">
        <f>IF(AG57="","",WORKDAY(I57-H57+1,-1,{46329,46349,46384,46385,46386,46387,46388,46391,46398,46429,46441,46468}))</f>
        <v>46374</v>
      </c>
      <c r="G57" s="67">
        <v>46297</v>
      </c>
      <c r="H57" s="65">
        <v>7</v>
      </c>
      <c r="I57" s="68">
        <f>IF(AG57="","",WORKDAY(P57-K57+1,-1,{46329,46349,46384,46385,46386,46387,46388,46391,46398,46429,46441,46468}))</f>
        <v>46381</v>
      </c>
      <c r="J57" s="67">
        <v>46302</v>
      </c>
      <c r="K57" s="65">
        <v>7</v>
      </c>
      <c r="L57" s="68">
        <v>46302</v>
      </c>
      <c r="M57" s="68"/>
      <c r="N57" s="68"/>
      <c r="O57" s="68"/>
      <c r="P57" s="68">
        <f>IF(AG57="","",WORKDAY(AC57-R57-Q57+1,-1,{46329,46349,46384,46385,46386,46387,46388,46391,46398,46429,46441,46468}))</f>
        <v>46395</v>
      </c>
      <c r="Q57" s="69">
        <v>7</v>
      </c>
      <c r="R57" s="69">
        <v>14</v>
      </c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>
        <f>IF(AG57="","",WORKDAY(AG57-AF57+1,-1,{46329,46349,46384,46385,46386,46387,46388,46391,46398,46429,46441,46468}))</f>
        <v>46416</v>
      </c>
      <c r="AD57" s="68" cm="1">
        <f t="array" ref="AD57">IF(AG57="","",$AG57-$AF57)</f>
        <v>46417</v>
      </c>
      <c r="AE57" s="67"/>
      <c r="AF57" s="83">
        <v>30</v>
      </c>
      <c r="AG57" s="72">
        <v>46447</v>
      </c>
      <c r="AH57" s="71"/>
      <c r="AI57" s="70"/>
      <c r="AJ57" s="68"/>
      <c r="AK57" s="68"/>
      <c r="AL57" s="67"/>
      <c r="AM57" s="72"/>
      <c r="AN57" s="75" t="s">
        <v>119</v>
      </c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>
        <f>IF(AG58="","",WORKDAY(I58-H58+1,-1,{46329,46349,46384,46385,46386,46387,46388,46391,46398,46429,46441,46468}))</f>
        <v/>
      </c>
      <c r="G58" s="67"/>
      <c r="H58" s="65"/>
      <c r="I58" s="66" t="str">
        <f>IF(AG58="","",WORKDAY(P58-K58+1,-1,{46329,46349,46384,46385,46386,46387,46388,46391,46398,46429,46441,46468}))</f>
        <v/>
      </c>
      <c r="J58" s="67"/>
      <c r="K58" s="65"/>
      <c r="L58" s="68"/>
      <c r="M58" s="68"/>
      <c r="N58" s="68"/>
      <c r="O58" s="68"/>
      <c r="P58" s="66" t="str">
        <f>IF(AG58="","",WORKDAY(AC58-R58-Q58+1,-1,{46329,46349,46384,46385,46386,46387,46388,46391,46398,46429,46441,46468}))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8" t="s">
        <v>131</v>
      </c>
      <c r="D59" s="72"/>
      <c r="E59" s="71"/>
      <c r="F59" s="82" t="str">
        <f>IF(AG59="","",WORKDAY(I59-H59+1,-1,{46329,46349,46384,46385,46386,46387,46388,46391,46398,46429,46441,46468}))</f>
        <v/>
      </c>
      <c r="G59" s="67"/>
      <c r="H59" s="65"/>
      <c r="I59" s="66" t="str">
        <f>IF(AG59="","",WORKDAY(P59-K59+1,-1,{46329,46349,46384,46385,46386,46387,46388,46391,46398,46429,46441,46468}))</f>
        <v/>
      </c>
      <c r="J59" s="67"/>
      <c r="K59" s="65"/>
      <c r="L59" s="68"/>
      <c r="M59" s="68"/>
      <c r="N59" s="68"/>
      <c r="O59" s="68"/>
      <c r="P59" s="66" t="str">
        <f>IF(AG59="","",WORKDAY(AC59-R59-Q59+1,-1,{46329,46349,46384,46385,46386,46387,46388,46391,46398,46429,46441,46468}))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11" t="s">
        <v>132</v>
      </c>
      <c r="C60" s="18" t="s">
        <v>133</v>
      </c>
      <c r="D60" s="72"/>
      <c r="E60" s="71"/>
      <c r="F60" s="70">
        <f>IF(AG60="","",WORKDAY(I60-H60+1,-1,{46329,46349,46384,46385,46386,46387,46388,46391,46398,46429,46441,46468}))</f>
        <v>46395</v>
      </c>
      <c r="G60" s="67"/>
      <c r="H60" s="65">
        <v>7</v>
      </c>
      <c r="I60" s="68">
        <f>IF(AG60="","",WORKDAY(P60-K60+1,-1,{46329,46349,46384,46385,46386,46387,46388,46391,46398,46429,46441,46468}))</f>
        <v>46402</v>
      </c>
      <c r="J60" s="67"/>
      <c r="K60" s="65">
        <v>7</v>
      </c>
      <c r="L60" s="68"/>
      <c r="M60" s="68"/>
      <c r="N60" s="68"/>
      <c r="O60" s="68"/>
      <c r="P60" s="68">
        <f>IF(AG60="","",WORKDAY(AC60-R60-Q60+1,-1,{46329,46349,46384,46385,46386,46387,46388,46391,46398,46429,46441,46468}))</f>
        <v>46409</v>
      </c>
      <c r="Q60" s="69">
        <v>7</v>
      </c>
      <c r="R60" s="69">
        <v>14</v>
      </c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>
        <f>IF(AG60="","",WORKDAY(AG60-AF60+1,-1,{46329,46349,46384,46385,46386,46387,46388,46391,46398,46429,46441,46468}))</f>
        <v>46430</v>
      </c>
      <c r="AD60" s="68" cm="1">
        <f t="array" ref="AD60">IF(AG60="","",$AG60-$AF60)</f>
        <v>46432</v>
      </c>
      <c r="AE60" s="67"/>
      <c r="AF60" s="83">
        <v>30</v>
      </c>
      <c r="AG60" s="72">
        <v>46462</v>
      </c>
      <c r="AH60" s="71"/>
      <c r="AI60" s="70"/>
      <c r="AJ60" s="68"/>
      <c r="AK60" s="68"/>
      <c r="AL60" s="67"/>
      <c r="AM60" s="72"/>
      <c r="AN60" s="75" t="s">
        <v>134</v>
      </c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>
        <f>IF(AG61="","",WORKDAY(I61-H61+1,-1,{46329,46349,46384,46385,46386,46387,46388,46391,46398,46429,46441,46468}))</f>
        <v/>
      </c>
      <c r="G61" s="67"/>
      <c r="H61" s="65"/>
      <c r="I61" s="66" t="str">
        <f>IF(AG61="","",WORKDAY(P61-K61+1,-1,{46329,46349,46384,46385,46386,46387,46388,46391,46398,46429,46441,46468}))</f>
        <v/>
      </c>
      <c r="J61" s="67"/>
      <c r="K61" s="65"/>
      <c r="L61" s="68"/>
      <c r="M61" s="68"/>
      <c r="N61" s="68"/>
      <c r="O61" s="68"/>
      <c r="P61" s="66" t="str">
        <f>IF(AG61="","",WORKDAY(AC61-R61-Q61+1,-1,{46329,46349,46384,46385,46386,46387,46388,46391,46398,46429,46441,46468}))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>
        <f>IF(AG62="","",WORKDAY(I62-H62+1,-1,{46329,46349,46384,46385,46386,46387,46388,46391,46398,46429,46441,46468}))</f>
        <v/>
      </c>
      <c r="G62" s="67"/>
      <c r="H62" s="65"/>
      <c r="I62" s="66" t="str">
        <f>IF(AG62="","",WORKDAY(P62-K62+1,-1,{46329,46349,46384,46385,46386,46387,46388,46391,46398,46429,46441,46468}))</f>
        <v/>
      </c>
      <c r="J62" s="67"/>
      <c r="K62" s="65"/>
      <c r="L62" s="68"/>
      <c r="M62" s="68"/>
      <c r="N62" s="68"/>
      <c r="O62" s="68"/>
      <c r="P62" s="66" t="str">
        <f>IF(AG62="","",WORKDAY(AC62-R62-Q62+1,-1,{46329,46349,46384,46385,46386,46387,46388,46391,46398,46429,46441,46468}))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>
        <f>IF(AG63="","",WORKDAY(I63-H63+1,-1,{46329,46349,46384,46385,46386,46387,46388,46391,46398,46429,46441,46468}))</f>
        <v/>
      </c>
      <c r="G63" s="67"/>
      <c r="H63" s="65"/>
      <c r="I63" s="66" t="str">
        <f>IF(AG63="","",WORKDAY(P63-K63+1,-1,{46329,46349,46384,46385,46386,46387,46388,46391,46398,46429,46441,46468}))</f>
        <v/>
      </c>
      <c r="J63" s="67"/>
      <c r="K63" s="65"/>
      <c r="L63" s="68"/>
      <c r="M63" s="68"/>
      <c r="N63" s="68"/>
      <c r="O63" s="68"/>
      <c r="P63" s="66" t="str">
        <f>IF(AG63="","",WORKDAY(AC63-R63-Q63+1,-1,{46329,46349,46384,46385,46386,46387,46388,46391,46398,46429,46441,46468}))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>
        <f>IF(AG64="","",WORKDAY(I64-H64+1,-1,{46329,46349,46384,46385,46386,46387,46388,46391,46398,46429,46441,46468}))</f>
        <v/>
      </c>
      <c r="G64" s="67"/>
      <c r="H64" s="65"/>
      <c r="I64" s="66" t="str">
        <f>IF(AG64="","",WORKDAY(P64-K64+1,-1,{46329,46349,46384,46385,46386,46387,46388,46391,46398,46429,46441,46468}))</f>
        <v/>
      </c>
      <c r="J64" s="67"/>
      <c r="K64" s="65"/>
      <c r="L64" s="68"/>
      <c r="M64" s="68"/>
      <c r="N64" s="68"/>
      <c r="O64" s="68"/>
      <c r="P64" s="66" t="str">
        <f>IF(AG64="","",WORKDAY(AC64-R64-Q64+1,-1,{46329,46349,46384,46385,46386,46387,46388,46391,46398,46429,46441,46468}))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>
        <f>IF(AG65="","",WORKDAY(I65-H65+1,-1,{46329,46349,46384,46385,46386,46387,46388,46391,46398,46429,46441,46468}))</f>
        <v/>
      </c>
      <c r="G65" s="67"/>
      <c r="H65" s="65"/>
      <c r="I65" s="66" t="str">
        <f>IF(AG65="","",WORKDAY(P65-K65+1,-1,{46329,46349,46384,46385,46386,46387,46388,46391,46398,46429,46441,46468}))</f>
        <v/>
      </c>
      <c r="J65" s="67"/>
      <c r="K65" s="65"/>
      <c r="L65" s="68"/>
      <c r="M65" s="68"/>
      <c r="N65" s="68"/>
      <c r="O65" s="68"/>
      <c r="P65" s="66" t="str">
        <f>IF(AG65="","",WORKDAY(AC65-R65-Q65+1,-1,{46329,46349,46384,46385,46386,46387,46388,46391,46398,46429,46441,46468}))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>
        <f>IF(AG66="","",WORKDAY(I66-H66+1,-1,{46329,46349,46384,46385,46386,46387,46388,46391,46398,46429,46441,46468}))</f>
        <v/>
      </c>
      <c r="G66" s="67"/>
      <c r="H66" s="65"/>
      <c r="I66" s="66" t="str">
        <f>IF(AG66="","",WORKDAY(P66-K66+1,-1,{46329,46349,46384,46385,46386,46387,46388,46391,46398,46429,46441,46468}))</f>
        <v/>
      </c>
      <c r="J66" s="67"/>
      <c r="K66" s="65"/>
      <c r="L66" s="68"/>
      <c r="M66" s="68"/>
      <c r="N66" s="68"/>
      <c r="O66" s="68"/>
      <c r="P66" s="66" t="str">
        <f>IF(AG66="","",WORKDAY(AC66-R66-Q66+1,-1,{46329,46349,46384,46385,46386,46387,46388,46391,46398,46429,46441,46468}))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>
        <f>IF(AG67="","",WORKDAY(I67-H67+1,-1,{46329,46349,46384,46385,46386,46387,46388,46391,46398,46429,46441,46468}))</f>
        <v/>
      </c>
      <c r="G67" s="67"/>
      <c r="H67" s="65"/>
      <c r="I67" s="66" t="str">
        <f>IF(AG67="","",WORKDAY(P67-K67+1,-1,{46329,46349,46384,46385,46386,46387,46388,46391,46398,46429,46441,46468}))</f>
        <v/>
      </c>
      <c r="J67" s="67"/>
      <c r="K67" s="65"/>
      <c r="L67" s="68"/>
      <c r="M67" s="68"/>
      <c r="N67" s="68"/>
      <c r="O67" s="68"/>
      <c r="P67" s="66" t="str">
        <f>IF(AG67="","",WORKDAY(AC67-R67-Q67+1,-1,{46329,46349,46384,46385,46386,46387,46388,46391,46398,46429,46441,46468}))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>
        <f>IF(AG68="","",WORKDAY(I68-H68+1,-1,{46329,46349,46384,46385,46386,46387,46388,46391,46398,46429,46441,46468}))</f>
        <v/>
      </c>
      <c r="G68" s="67"/>
      <c r="H68" s="65"/>
      <c r="I68" s="66" t="str">
        <f>IF(AG68="","",WORKDAY(P68-K68+1,-1,{46329,46349,46384,46385,46386,46387,46388,46391,46398,46429,46441,46468}))</f>
        <v/>
      </c>
      <c r="J68" s="67"/>
      <c r="K68" s="65"/>
      <c r="L68" s="68"/>
      <c r="M68" s="68"/>
      <c r="N68" s="68"/>
      <c r="O68" s="68"/>
      <c r="P68" s="66" t="str">
        <f>IF(AG68="","",WORKDAY(AC68-R68-Q68+1,-1,{46329,46349,46384,46385,46386,46387,46388,46391,46398,46429,46441,46468}))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>
        <f>IF(AG69="","",WORKDAY(I69-H69+1,-1,{46329,46349,46384,46385,46386,46387,46388,46391,46398,46429,46441,46468}))</f>
        <v/>
      </c>
      <c r="G69" s="67"/>
      <c r="H69" s="65"/>
      <c r="I69" s="66" t="str">
        <f>IF(AG69="","",WORKDAY(P69-K69+1,-1,{46329,46349,46384,46385,46386,46387,46388,46391,46398,46429,46441,46468}))</f>
        <v/>
      </c>
      <c r="J69" s="67"/>
      <c r="K69" s="65"/>
      <c r="L69" s="68"/>
      <c r="M69" s="68"/>
      <c r="N69" s="68"/>
      <c r="O69" s="68"/>
      <c r="P69" s="66" t="str">
        <f>IF(AG69="","",WORKDAY(AC69-R69-Q69+1,-1,{46329,46349,46384,46385,46386,46387,46388,46391,46398,46429,46441,46468}))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>
        <f>IF(AG70="","",WORKDAY(I70-H70+1,-1,{46329,46349,46384,46385,46386,46387,46388,46391,46398,46429,46441,46468}))</f>
        <v/>
      </c>
      <c r="G70" s="67"/>
      <c r="H70" s="65"/>
      <c r="I70" s="66" t="str">
        <f>IF(AG70="","",WORKDAY(P70-K70+1,-1,{46329,46349,46384,46385,46386,46387,46388,46391,46398,46429,46441,46468}))</f>
        <v/>
      </c>
      <c r="J70" s="67"/>
      <c r="K70" s="65"/>
      <c r="L70" s="68"/>
      <c r="M70" s="68"/>
      <c r="N70" s="68"/>
      <c r="O70" s="68"/>
      <c r="P70" s="66" t="str">
        <f>IF(AG70="","",WORKDAY(AC70-R70-Q70+1,-1,{46329,46349,46384,46385,46386,46387,46388,46391,46398,46429,46441,46468}))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>
        <f>IF(AG71="","",WORKDAY(I71-H71+1,-1,{46329,46349,46384,46385,46386,46387,46388,46391,46398,46429,46441,46468}))</f>
        <v/>
      </c>
      <c r="G71" s="67"/>
      <c r="H71" s="65"/>
      <c r="I71" s="66" t="str">
        <f>IF(AG71="","",WORKDAY(P71-K71+1,-1,{46329,46349,46384,46385,46386,46387,46388,46391,46398,46429,46441,46468}))</f>
        <v/>
      </c>
      <c r="J71" s="67"/>
      <c r="K71" s="65"/>
      <c r="L71" s="68"/>
      <c r="M71" s="68"/>
      <c r="N71" s="68"/>
      <c r="O71" s="68"/>
      <c r="P71" s="66" t="str">
        <f>IF(AG71="","",WORKDAY(AC71-R71-Q71+1,-1,{46329,46349,46384,46385,46386,46387,46388,46391,46398,46429,46441,46468}))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>
        <f>IF(AG72="","",WORKDAY(I72-H72+1,-1,{46329,46349,46384,46385,46386,46387,46388,46391,46398,46429,46441,46468}))</f>
        <v/>
      </c>
      <c r="G72" s="67"/>
      <c r="H72" s="65"/>
      <c r="I72" s="66" t="str">
        <f>IF(AG72="","",WORKDAY(P72-K72+1,-1,{46329,46349,46384,46385,46386,46387,46388,46391,46398,46429,46441,46468}))</f>
        <v/>
      </c>
      <c r="J72" s="67"/>
      <c r="K72" s="65"/>
      <c r="L72" s="68"/>
      <c r="M72" s="68"/>
      <c r="N72" s="68"/>
      <c r="O72" s="68"/>
      <c r="P72" s="66" t="str">
        <f>IF(AG72="","",WORKDAY(AC72-R72-Q72+1,-1,{46329,46349,46384,46385,46386,46387,46388,46391,46398,46429,46441,46468}))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>
        <f>IF(AG73="","",WORKDAY(I73-H73+1,-1,{46329,46349,46384,46385,46386,46387,46388,46391,46398,46429,46441,46468}))</f>
        <v/>
      </c>
      <c r="G73" s="67"/>
      <c r="H73" s="65"/>
      <c r="I73" s="66" t="str">
        <f>IF(AG73="","",WORKDAY(P73-K73+1,-1,{46329,46349,46384,46385,46386,46387,46388,46391,46398,46429,46441,46468}))</f>
        <v/>
      </c>
      <c r="J73" s="67"/>
      <c r="K73" s="65"/>
      <c r="L73" s="68"/>
      <c r="M73" s="68"/>
      <c r="N73" s="68"/>
      <c r="O73" s="68"/>
      <c r="P73" s="66" t="str">
        <f>IF(AG73="","",WORKDAY(AC73-R73-Q73+1,-1,{46329,46349,46384,46385,46386,46387,46388,46391,46398,46429,46441,46468}))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>
        <f>IF(AG74="","",WORKDAY(I74-H74+1,-1,{46329,46349,46384,46385,46386,46387,46388,46391,46398,46429,46441,46468}))</f>
        <v/>
      </c>
      <c r="G74" s="67"/>
      <c r="H74" s="65"/>
      <c r="I74" s="66" t="str">
        <f>IF(AG74="","",WORKDAY(P74-K74+1,-1,{46329,46349,46384,46385,46386,46387,46388,46391,46398,46429,46441,46468}))</f>
        <v/>
      </c>
      <c r="J74" s="67"/>
      <c r="K74" s="65"/>
      <c r="L74" s="68"/>
      <c r="M74" s="68"/>
      <c r="N74" s="68"/>
      <c r="O74" s="68"/>
      <c r="P74" s="66" t="str">
        <f>IF(AG74="","",WORKDAY(AC74-R74-Q74+1,-1,{46329,46349,46384,46385,46386,46387,46388,46391,46398,46429,46441,46468}))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>
        <f>IF(AG75="","",WORKDAY(I75-H75+1,-1,{46329,46349,46384,46385,46386,46387,46388,46391,46398,46429,46441,46468}))</f>
        <v/>
      </c>
      <c r="G75" s="67"/>
      <c r="H75" s="65"/>
      <c r="I75" s="66" t="str">
        <f>IF(AG75="","",WORKDAY(P75-K75+1,-1,{46329,46349,46384,46385,46386,46387,46388,46391,46398,46429,46441,46468}))</f>
        <v/>
      </c>
      <c r="J75" s="67"/>
      <c r="K75" s="65"/>
      <c r="L75" s="68"/>
      <c r="M75" s="68"/>
      <c r="N75" s="68"/>
      <c r="O75" s="68"/>
      <c r="P75" s="66" t="str">
        <f>IF(AG75="","",WORKDAY(AC75-R75-Q75+1,-1,{46329,46349,46384,46385,46386,46387,46388,46391,46398,46429,46441,46468}))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>
        <f>IF(AG76="","",WORKDAY(I76-H76+1,-1,{46329,46349,46384,46385,46386,46387,46388,46391,46398,46429,46441,46468}))</f>
        <v/>
      </c>
      <c r="G76" s="67"/>
      <c r="H76" s="65"/>
      <c r="I76" s="66" t="str">
        <f>IF(AG76="","",WORKDAY(P76-K76+1,-1,{46329,46349,46384,46385,46386,46387,46388,46391,46398,46429,46441,46468}))</f>
        <v/>
      </c>
      <c r="J76" s="67"/>
      <c r="K76" s="65"/>
      <c r="L76" s="68"/>
      <c r="M76" s="68"/>
      <c r="N76" s="68"/>
      <c r="O76" s="68"/>
      <c r="P76" s="66" t="str">
        <f>IF(AG76="","",WORKDAY(AC76-R76-Q76+1,-1,{46329,46349,46384,46385,46386,46387,46388,46391,46398,46429,46441,46468}))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>
        <f>IF(AG77="","",WORKDAY(I77-H77+1,-1,{46329,46349,46384,46385,46386,46387,46388,46391,46398,46429,46441,46468}))</f>
        <v/>
      </c>
      <c r="G77" s="67"/>
      <c r="H77" s="65"/>
      <c r="I77" s="66" t="str">
        <f>IF(AG77="","",WORKDAY(P77-K77+1,-1,{46329,46349,46384,46385,46386,46387,46388,46391,46398,46429,46441,46468}))</f>
        <v/>
      </c>
      <c r="J77" s="67"/>
      <c r="K77" s="65"/>
      <c r="L77" s="68"/>
      <c r="M77" s="68"/>
      <c r="N77" s="68"/>
      <c r="O77" s="68"/>
      <c r="P77" s="66" t="str">
        <f>IF(AG77="","",WORKDAY(AC77-R77-Q77+1,-1,{46329,46349,46384,46385,46386,46387,46388,46391,46398,46429,46441,46468}))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>
        <f>IF(AG78="","",WORKDAY(I78-H78+1,-1,{46329,46349,46384,46385,46386,46387,46388,46391,46398,46429,46441,46468}))</f>
        <v/>
      </c>
      <c r="G78" s="67"/>
      <c r="H78" s="65"/>
      <c r="I78" s="66" t="str">
        <f>IF(AG78="","",WORKDAY(P78-K78+1,-1,{46329,46349,46384,46385,46386,46387,46388,46391,46398,46429,46441,46468}))</f>
        <v/>
      </c>
      <c r="J78" s="67"/>
      <c r="K78" s="65"/>
      <c r="L78" s="68"/>
      <c r="M78" s="68"/>
      <c r="N78" s="68"/>
      <c r="O78" s="68"/>
      <c r="P78" s="66" t="str">
        <f>IF(AG78="","",WORKDAY(AC78-R78-Q78+1,-1,{46329,46349,46384,46385,46386,46387,46388,46391,46398,46429,46441,46468}))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>
        <f>IF(AG79="","",WORKDAY(I79-H79+1,-1,{46329,46349,46384,46385,46386,46387,46388,46391,46398,46429,46441,46468}))</f>
        <v/>
      </c>
      <c r="G79" s="67"/>
      <c r="H79" s="65"/>
      <c r="I79" s="66" t="str">
        <f>IF(AG79="","",WORKDAY(P79-K79+1,-1,{46329,46349,46384,46385,46386,46387,46388,46391,46398,46429,46441,46468}))</f>
        <v/>
      </c>
      <c r="J79" s="67"/>
      <c r="K79" s="65"/>
      <c r="L79" s="68"/>
      <c r="M79" s="68"/>
      <c r="N79" s="68"/>
      <c r="O79" s="68"/>
      <c r="P79" s="66" t="str">
        <f>IF(AG79="","",WORKDAY(AC79-R79-Q79+1,-1,{46329,46349,46384,46385,46386,46387,46388,46391,46398,46429,46441,46468}))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>
        <f>IF(AG80="","",WORKDAY(I80-H80+1,-1,{46329,46349,46384,46385,46386,46387,46388,46391,46398,46429,46441,46468}))</f>
        <v/>
      </c>
      <c r="G80" s="67"/>
      <c r="H80" s="65"/>
      <c r="I80" s="66" t="str">
        <f>IF(AG80="","",WORKDAY(P80-K80+1,-1,{46329,46349,46384,46385,46386,46387,46388,46391,46398,46429,46441,46468}))</f>
        <v/>
      </c>
      <c r="J80" s="67"/>
      <c r="K80" s="65"/>
      <c r="L80" s="68"/>
      <c r="M80" s="68"/>
      <c r="N80" s="68"/>
      <c r="O80" s="68"/>
      <c r="P80" s="66" t="str">
        <f>IF(AG80="","",WORKDAY(AC80-R80-Q80+1,-1,{46329,46349,46384,46385,46386,46387,46388,46391,46398,46429,46441,46468}))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>
        <f>IF(AG81="","",WORKDAY(I81-H81+1,-1,{46329,46349,46384,46385,46386,46387,46388,46391,46398,46429,46441,46468}))</f>
        <v/>
      </c>
      <c r="G81" s="67"/>
      <c r="H81" s="65"/>
      <c r="I81" s="66" t="str">
        <f>IF(AG81="","",WORKDAY(P81-K81+1,-1,{46329,46349,46384,46385,46386,46387,46388,46391,46398,46429,46441,46468}))</f>
        <v/>
      </c>
      <c r="J81" s="67"/>
      <c r="K81" s="65"/>
      <c r="L81" s="68"/>
      <c r="M81" s="68"/>
      <c r="N81" s="68"/>
      <c r="O81" s="68"/>
      <c r="P81" s="66" t="str">
        <f>IF(AG81="","",WORKDAY(AC81-R81-Q81+1,-1,{46329,46349,46384,46385,46386,46387,46388,46391,46398,46429,46441,46468}))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>
        <f>IF(AG82="","",WORKDAY(I82-H82+1,-1,{46329,46349,46384,46385,46386,46387,46388,46391,46398,46429,46441,46468}))</f>
        <v/>
      </c>
      <c r="G82" s="67"/>
      <c r="H82" s="65"/>
      <c r="I82" s="66" t="str">
        <f>IF(AG82="","",WORKDAY(P82-K82+1,-1,{46329,46349,46384,46385,46386,46387,46388,46391,46398,46429,46441,46468}))</f>
        <v/>
      </c>
      <c r="J82" s="67"/>
      <c r="K82" s="65"/>
      <c r="L82" s="68"/>
      <c r="M82" s="68"/>
      <c r="N82" s="68"/>
      <c r="O82" s="68"/>
      <c r="P82" s="66" t="str">
        <f>IF(AG82="","",WORKDAY(AC82-R82-Q82+1,-1,{46329,46349,46384,46385,46386,46387,46388,46391,46398,46429,46441,46468}))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>
        <f>IF(AG83="","",WORKDAY(I83-H83+1,-1,{46329,46349,46384,46385,46386,46387,46388,46391,46398,46429,46441,46468}))</f>
        <v/>
      </c>
      <c r="G83" s="67"/>
      <c r="H83" s="65"/>
      <c r="I83" s="66" t="str">
        <f>IF(AG83="","",WORKDAY(P83-K83+1,-1,{46329,46349,46384,46385,46386,46387,46388,46391,46398,46429,46441,46468}))</f>
        <v/>
      </c>
      <c r="J83" s="67"/>
      <c r="K83" s="65"/>
      <c r="L83" s="68"/>
      <c r="M83" s="68"/>
      <c r="N83" s="68"/>
      <c r="O83" s="68"/>
      <c r="P83" s="66" t="str">
        <f>IF(AG83="","",WORKDAY(AC83-R83-Q83+1,-1,{46329,46349,46384,46385,46386,46387,46388,46391,46398,46429,46441,46468}))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>
        <f>IF(AG84="","",WORKDAY(I84-H84+1,-1,{46329,46349,46384,46385,46386,46387,46388,46391,46398,46429,46441,46468}))</f>
        <v/>
      </c>
      <c r="G84" s="67"/>
      <c r="H84" s="65"/>
      <c r="I84" s="66" t="str">
        <f>IF(AG84="","",WORKDAY(P84-K84+1,-1,{46329,46349,46384,46385,46386,46387,46388,46391,46398,46429,46441,46468}))</f>
        <v/>
      </c>
      <c r="J84" s="67"/>
      <c r="K84" s="65"/>
      <c r="L84" s="68"/>
      <c r="M84" s="68"/>
      <c r="N84" s="68"/>
      <c r="O84" s="68"/>
      <c r="P84" s="66" t="str">
        <f>IF(AG84="","",WORKDAY(AC84-R84-Q84+1,-1,{46329,46349,46384,46385,46386,46387,46388,46391,46398,46429,46441,46468}))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>
        <f>IF(AG85="","",WORKDAY(I85-H85+1,-1,{46329,46349,46384,46385,46386,46387,46388,46391,46398,46429,46441,46468}))</f>
        <v/>
      </c>
      <c r="G85" s="67"/>
      <c r="H85" s="65"/>
      <c r="I85" s="66" t="str">
        <f>IF(AG85="","",WORKDAY(P85-K85+1,-1,{46329,46349,46384,46385,46386,46387,46388,46391,46398,46429,46441,46468}))</f>
        <v/>
      </c>
      <c r="J85" s="67"/>
      <c r="K85" s="65"/>
      <c r="L85" s="68"/>
      <c r="M85" s="68"/>
      <c r="N85" s="68"/>
      <c r="O85" s="68"/>
      <c r="P85" s="66" t="str">
        <f>IF(AG85="","",WORKDAY(AC85-R85-Q85+1,-1,{46329,46349,46384,46385,46386,46387,46388,46391,46398,46429,46441,46468}))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>
        <f>IF(AG86="","",WORKDAY(I86-H86+1,-1,{46329,46349,46384,46385,46386,46387,46388,46391,46398,46429,46441,46468}))</f>
        <v/>
      </c>
      <c r="G86" s="67"/>
      <c r="H86" s="65"/>
      <c r="I86" s="66" t="str">
        <f>IF(AG86="","",WORKDAY(P86-K86+1,-1,{46329,46349,46384,46385,46386,46387,46388,46391,46398,46429,46441,46468}))</f>
        <v/>
      </c>
      <c r="J86" s="67"/>
      <c r="K86" s="65"/>
      <c r="L86" s="68"/>
      <c r="M86" s="68"/>
      <c r="N86" s="68"/>
      <c r="O86" s="68"/>
      <c r="P86" s="66" t="str">
        <f>IF(AG86="","",WORKDAY(AC86-R86-Q86+1,-1,{46329,46349,46384,46385,46386,46387,46388,46391,46398,46429,46441,46468}))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>
        <f>IF(AG87="","",WORKDAY(I87-H87+1,-1,{46329,46349,46384,46385,46386,46387,46388,46391,46398,46429,46441,46468}))</f>
        <v/>
      </c>
      <c r="G87" s="67"/>
      <c r="H87" s="65"/>
      <c r="I87" s="66" t="str">
        <f>IF(AG87="","",WORKDAY(P87-K87+1,-1,{46329,46349,46384,46385,46386,46387,46388,46391,46398,46429,46441,46468}))</f>
        <v/>
      </c>
      <c r="J87" s="67"/>
      <c r="K87" s="65"/>
      <c r="L87" s="68"/>
      <c r="M87" s="68"/>
      <c r="N87" s="68"/>
      <c r="O87" s="68"/>
      <c r="P87" s="66" t="str">
        <f>IF(AG87="","",WORKDAY(AC87-R87-Q87+1,-1,{46329,46349,46384,46385,46386,46387,46388,46391,46398,46429,46441,46468}))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>
        <f>IF(AG88="","",WORKDAY(I88-H88+1,-1,{46329,46349,46384,46385,46386,46387,46388,46391,46398,46429,46441,46468}))</f>
        <v/>
      </c>
      <c r="G88" s="67"/>
      <c r="H88" s="65"/>
      <c r="I88" s="66" t="str">
        <f>IF(AG88="","",WORKDAY(P88-K88+1,-1,{46329,46349,46384,46385,46386,46387,46388,46391,46398,46429,46441,46468}))</f>
        <v/>
      </c>
      <c r="J88" s="67"/>
      <c r="K88" s="65"/>
      <c r="L88" s="68"/>
      <c r="M88" s="68"/>
      <c r="N88" s="68"/>
      <c r="O88" s="68"/>
      <c r="P88" s="66" t="str">
        <f>IF(AG88="","",WORKDAY(AC88-R88-Q88+1,-1,{46329,46349,46384,46385,46386,46387,46388,46391,46398,46429,46441,46468}))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>
        <f>IF(AG89="","",WORKDAY(I89-H89+1,-1,{46329,46349,46384,46385,46386,46387,46388,46391,46398,46429,46441,46468}))</f>
        <v/>
      </c>
      <c r="G89" s="67"/>
      <c r="H89" s="65"/>
      <c r="I89" s="66" t="str">
        <f>IF(AG89="","",WORKDAY(P89-K89+1,-1,{46329,46349,46384,46385,46386,46387,46388,46391,46398,46429,46441,46468}))</f>
        <v/>
      </c>
      <c r="J89" s="67"/>
      <c r="K89" s="65"/>
      <c r="L89" s="68"/>
      <c r="M89" s="68"/>
      <c r="N89" s="68"/>
      <c r="O89" s="68"/>
      <c r="P89" s="66" t="str">
        <f>IF(AG89="","",WORKDAY(AC89-R89-Q89+1,-1,{46329,46349,46384,46385,46386,46387,46388,46391,46398,46429,46441,46468}))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>
        <f>IF(AG90="","",WORKDAY(I90-H90+1,-1,{46329,46349,46384,46385,46386,46387,46388,46391,46398,46429,46441,46468}))</f>
        <v/>
      </c>
      <c r="G90" s="67"/>
      <c r="H90" s="65"/>
      <c r="I90" s="66" t="str">
        <f>IF(AG90="","",WORKDAY(P90-K90+1,-1,{46329,46349,46384,46385,46386,46387,46388,46391,46398,46429,46441,46468}))</f>
        <v/>
      </c>
      <c r="J90" s="67"/>
      <c r="K90" s="65"/>
      <c r="L90" s="68"/>
      <c r="M90" s="68"/>
      <c r="N90" s="68"/>
      <c r="O90" s="68"/>
      <c r="P90" s="66" t="str">
        <f>IF(AG90="","",WORKDAY(AC90-R90-Q90+1,-1,{46329,46349,46384,46385,46386,46387,46388,46391,46398,46429,46441,46468}))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>
        <f>IF(AG91="","",WORKDAY(I91-H91+1,-1,{46329,46349,46384,46385,46386,46387,46388,46391,46398,46429,46441,46468}))</f>
        <v/>
      </c>
      <c r="G91" s="67"/>
      <c r="H91" s="65"/>
      <c r="I91" s="66" t="str">
        <f>IF(AG91="","",WORKDAY(P91-K91+1,-1,{46329,46349,46384,46385,46386,46387,46388,46391,46398,46429,46441,46468}))</f>
        <v/>
      </c>
      <c r="J91" s="67"/>
      <c r="K91" s="65"/>
      <c r="L91" s="68"/>
      <c r="M91" s="68"/>
      <c r="N91" s="68"/>
      <c r="O91" s="68"/>
      <c r="P91" s="66" t="str">
        <f>IF(AG91="","",WORKDAY(AC91-R91-Q91+1,-1,{46329,46349,46384,46385,46386,46387,46388,46391,46398,46429,46441,46468}))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>
        <f>IF(AG92="","",WORKDAY(I92-H92+1,-1,{46329,46349,46384,46385,46386,46387,46388,46391,46398,46429,46441,46468}))</f>
        <v/>
      </c>
      <c r="G92" s="67"/>
      <c r="H92" s="65"/>
      <c r="I92" s="66" t="str">
        <f>IF(AG92="","",WORKDAY(P92-K92+1,-1,{46329,46349,46384,46385,46386,46387,46388,46391,46398,46429,46441,46468}))</f>
        <v/>
      </c>
      <c r="J92" s="67"/>
      <c r="K92" s="65"/>
      <c r="L92" s="68"/>
      <c r="M92" s="68"/>
      <c r="N92" s="68"/>
      <c r="O92" s="68"/>
      <c r="P92" s="66" t="str">
        <f>IF(AG92="","",WORKDAY(AC92-R92-Q92+1,-1,{46329,46349,46384,46385,46386,46387,46388,46391,46398,46429,46441,46468}))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>
        <f>IF(AG93="","",WORKDAY(I93-H93+1,-1,{46329,46349,46384,46385,46386,46387,46388,46391,46398,46429,46441,46468}))</f>
        <v/>
      </c>
      <c r="G93" s="67"/>
      <c r="H93" s="65"/>
      <c r="I93" s="66" t="str">
        <f>IF(AG93="","",WORKDAY(P93-K93+1,-1,{46329,46349,46384,46385,46386,46387,46388,46391,46398,46429,46441,46468}))</f>
        <v/>
      </c>
      <c r="J93" s="67"/>
      <c r="K93" s="65"/>
      <c r="L93" s="68"/>
      <c r="M93" s="68"/>
      <c r="N93" s="68"/>
      <c r="O93" s="68"/>
      <c r="P93" s="66" t="str">
        <f>IF(AG93="","",WORKDAY(AC93-R93-Q93+1,-1,{46329,46349,46384,46385,46386,46387,46388,46391,46398,46429,46441,46468}))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>
        <f>IF(AG94="","",WORKDAY(I94-H94+1,-1,{46329,46349,46384,46385,46386,46387,46388,46391,46398,46429,46441,46468}))</f>
        <v/>
      </c>
      <c r="G94" s="67"/>
      <c r="H94" s="65"/>
      <c r="I94" s="66" t="str">
        <f>IF(AG94="","",WORKDAY(P94-K94+1,-1,{46329,46349,46384,46385,46386,46387,46388,46391,46398,46429,46441,46468}))</f>
        <v/>
      </c>
      <c r="J94" s="67"/>
      <c r="K94" s="65"/>
      <c r="L94" s="68"/>
      <c r="M94" s="68"/>
      <c r="N94" s="68"/>
      <c r="O94" s="68"/>
      <c r="P94" s="66" t="str">
        <f>IF(AG94="","",WORKDAY(AC94-R94-Q94+1,-1,{46329,46349,46384,46385,46386,46387,46388,46391,46398,46429,46441,46468}))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>
        <f>IF(AG95="","",WORKDAY(I95-H95+1,-1,{46329,46349,46384,46385,46386,46387,46388,46391,46398,46429,46441,46468}))</f>
        <v/>
      </c>
      <c r="G95" s="67"/>
      <c r="H95" s="65"/>
      <c r="I95" s="66" t="str">
        <f>IF(AG95="","",WORKDAY(P95-K95+1,-1,{46329,46349,46384,46385,46386,46387,46388,46391,46398,46429,46441,46468}))</f>
        <v/>
      </c>
      <c r="J95" s="67"/>
      <c r="K95" s="65"/>
      <c r="L95" s="68"/>
      <c r="M95" s="68"/>
      <c r="N95" s="68"/>
      <c r="O95" s="68"/>
      <c r="P95" s="66" t="str">
        <f>IF(AG95="","",WORKDAY(AC95-R95-Q95+1,-1,{46329,46349,46384,46385,46386,46387,46388,46391,46398,46429,46441,46468}))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>
        <f>IF(AG96="","",WORKDAY(I96-H96+1,-1,{46329,46349,46384,46385,46386,46387,46388,46391,46398,46429,46441,46468}))</f>
        <v/>
      </c>
      <c r="G96" s="67"/>
      <c r="H96" s="65"/>
      <c r="I96" s="66" t="str">
        <f>IF(AG96="","",WORKDAY(P96-K96+1,-1,{46329,46349,46384,46385,46386,46387,46388,46391,46398,46429,46441,46468}))</f>
        <v/>
      </c>
      <c r="J96" s="67"/>
      <c r="K96" s="65"/>
      <c r="L96" s="68"/>
      <c r="M96" s="68"/>
      <c r="N96" s="68"/>
      <c r="O96" s="68"/>
      <c r="P96" s="66" t="str">
        <f>IF(AG96="","",WORKDAY(AC96-R96-Q96+1,-1,{46329,46349,46384,46385,46386,46387,46388,46391,46398,46429,46441,46468}))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>
        <f>IF(AG97="","",WORKDAY(I97-H97+1,-1,{46329,46349,46384,46385,46386,46387,46388,46391,46398,46429,46441,46468}))</f>
        <v/>
      </c>
      <c r="G97" s="67"/>
      <c r="H97" s="65"/>
      <c r="I97" s="66" t="str">
        <f>IF(AG97="","",WORKDAY(P97-K97+1,-1,{46329,46349,46384,46385,46386,46387,46388,46391,46398,46429,46441,46468}))</f>
        <v/>
      </c>
      <c r="J97" s="67"/>
      <c r="K97" s="65"/>
      <c r="L97" s="68"/>
      <c r="M97" s="68"/>
      <c r="N97" s="68"/>
      <c r="O97" s="68"/>
      <c r="P97" s="66" t="str">
        <f>IF(AG97="","",WORKDAY(AC97-R97-Q97+1,-1,{46329,46349,46384,46385,46386,46387,46388,46391,46398,46429,46441,46468}))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>
        <f>IF(AG98="","",WORKDAY(I98-H98+1,-1,{46329,46349,46384,46385,46386,46387,46388,46391,46398,46429,46441,46468}))</f>
        <v/>
      </c>
      <c r="G98" s="67"/>
      <c r="H98" s="65"/>
      <c r="I98" s="66" t="str">
        <f>IF(AG98="","",WORKDAY(P98-K98+1,-1,{46329,46349,46384,46385,46386,46387,46388,46391,46398,46429,46441,46468}))</f>
        <v/>
      </c>
      <c r="J98" s="67"/>
      <c r="K98" s="65"/>
      <c r="L98" s="68"/>
      <c r="M98" s="68"/>
      <c r="N98" s="68"/>
      <c r="O98" s="68"/>
      <c r="P98" s="66" t="str">
        <f>IF(AG98="","",WORKDAY(AC98-R98-Q98+1,-1,{46329,46349,46384,46385,46386,46387,46388,46391,46398,46429,46441,46468}))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>
        <f>IF(AG99="","",WORKDAY(I99-H99+1,-1,{46329,46349,46384,46385,46386,46387,46388,46391,46398,46429,46441,46468}))</f>
        <v/>
      </c>
      <c r="G99" s="67"/>
      <c r="H99" s="65"/>
      <c r="I99" s="66" t="str">
        <f>IF(AG99="","",WORKDAY(P99-K99+1,-1,{46329,46349,46384,46385,46386,46387,46388,46391,46398,46429,46441,46468}))</f>
        <v/>
      </c>
      <c r="J99" s="67"/>
      <c r="K99" s="65"/>
      <c r="L99" s="68"/>
      <c r="M99" s="68"/>
      <c r="N99" s="68"/>
      <c r="O99" s="68"/>
      <c r="P99" s="66" t="str">
        <f>IF(AG99="","",WORKDAY(AC99-R99-Q99+1,-1,{46329,46349,46384,46385,46386,46387,46388,46391,46398,46429,46441,46468}))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>
        <f>IF(AG100="","",WORKDAY(I100-H100+1,-1,{46329,46349,46384,46385,46386,46387,46388,46391,46398,46429,46441,46468}))</f>
        <v/>
      </c>
      <c r="G100" s="67"/>
      <c r="H100" s="65"/>
      <c r="I100" s="66" t="str">
        <f>IF(AG100="","",WORKDAY(P100-K100+1,-1,{46329,46349,46384,46385,46386,46387,46388,46391,46398,46429,46441,46468}))</f>
        <v/>
      </c>
      <c r="J100" s="67"/>
      <c r="K100" s="65"/>
      <c r="L100" s="68"/>
      <c r="M100" s="68"/>
      <c r="N100" s="68"/>
      <c r="O100" s="68"/>
      <c r="P100" s="66" t="str">
        <f>IF(AG100="","",WORKDAY(AC100-R100-Q100+1,-1,{46329,46349,46384,46385,46386,46387,46388,46391,46398,46429,46441,46468}))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>
        <f>IF(AG101="","",WORKDAY(I101-H101+1,-1,{46329,46349,46384,46385,46386,46387,46388,46391,46398,46429,46441,46468}))</f>
        <v/>
      </c>
      <c r="G101" s="67"/>
      <c r="H101" s="65"/>
      <c r="I101" s="66" t="str">
        <f>IF(AG101="","",WORKDAY(P101-K101+1,-1,{46329,46349,46384,46385,46386,46387,46388,46391,46398,46429,46441,46468}))</f>
        <v/>
      </c>
      <c r="J101" s="67"/>
      <c r="K101" s="65"/>
      <c r="L101" s="68"/>
      <c r="M101" s="68"/>
      <c r="N101" s="68"/>
      <c r="O101" s="68"/>
      <c r="P101" s="66" t="str">
        <f>IF(AG101="","",WORKDAY(AC101-R101-Q101+1,-1,{46329,46349,46384,46385,46386,46387,46388,46391,46398,46429,46441,46468}))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>
        <f>IF(AG102="","",WORKDAY(I102-H102+1,-1,{46329,46349,46384,46385,46386,46387,46388,46391,46398,46429,46441,46468}))</f>
        <v/>
      </c>
      <c r="G102" s="67"/>
      <c r="H102" s="65"/>
      <c r="I102" s="66" t="str">
        <f>IF(AG102="","",WORKDAY(P102-K102+1,-1,{46329,46349,46384,46385,46386,46387,46388,46391,46398,46429,46441,46468}))</f>
        <v/>
      </c>
      <c r="J102" s="67"/>
      <c r="K102" s="65"/>
      <c r="L102" s="68"/>
      <c r="M102" s="68"/>
      <c r="N102" s="68"/>
      <c r="O102" s="68"/>
      <c r="P102" s="66" t="str">
        <f>IF(AG102="","",WORKDAY(AC102-R102-Q102+1,-1,{46329,46349,46384,46385,46386,46387,46388,46391,46398,46429,46441,46468}))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>
        <f>IF(AG103="","",WORKDAY(I103-H103+1,-1,{46329,46349,46384,46385,46386,46387,46388,46391,46398,46429,46441,46468}))</f>
        <v/>
      </c>
      <c r="G103" s="67"/>
      <c r="H103" s="65"/>
      <c r="I103" s="66" t="str">
        <f>IF(AG103="","",WORKDAY(P103-K103+1,-1,{46329,46349,46384,46385,46386,46387,46388,46391,46398,46429,46441,46468}))</f>
        <v/>
      </c>
      <c r="J103" s="67"/>
      <c r="K103" s="65"/>
      <c r="L103" s="68"/>
      <c r="M103" s="68"/>
      <c r="N103" s="68"/>
      <c r="O103" s="68"/>
      <c r="P103" s="66" t="str">
        <f>IF(AG103="","",WORKDAY(AC103-R103-Q103+1,-1,{46329,46349,46384,46385,46386,46387,46388,46391,46398,46429,46441,46468}))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>
        <f>IF(AG104="","",WORKDAY(I104-H104+1,-1,{46329,46349,46384,46385,46386,46387,46388,46391,46398,46429,46441,46468}))</f>
        <v/>
      </c>
      <c r="G104" s="67"/>
      <c r="H104" s="65"/>
      <c r="I104" s="66" t="str">
        <f>IF(AG104="","",WORKDAY(P104-K104+1,-1,{46329,46349,46384,46385,46386,46387,46388,46391,46398,46429,46441,46468}))</f>
        <v/>
      </c>
      <c r="J104" s="67"/>
      <c r="K104" s="65"/>
      <c r="L104" s="68"/>
      <c r="M104" s="68"/>
      <c r="N104" s="68"/>
      <c r="O104" s="68"/>
      <c r="P104" s="66" t="str">
        <f>IF(AG104="","",WORKDAY(AC104-R104-Q104+1,-1,{46329,46349,46384,46385,46386,46387,46388,46391,46398,46429,46441,46468}))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>
        <f>IF(AG105="","",WORKDAY(I105-H105+1,-1,{46329,46349,46384,46385,46386,46387,46388,46391,46398,46429,46441,46468}))</f>
        <v/>
      </c>
      <c r="G105" s="67"/>
      <c r="H105" s="65"/>
      <c r="I105" s="66" t="str">
        <f>IF(AG105="","",WORKDAY(P105-K105+1,-1,{46329,46349,46384,46385,46386,46387,46388,46391,46398,46429,46441,46468}))</f>
        <v/>
      </c>
      <c r="J105" s="67"/>
      <c r="K105" s="65"/>
      <c r="L105" s="68"/>
      <c r="M105" s="68"/>
      <c r="N105" s="68"/>
      <c r="O105" s="68"/>
      <c r="P105" s="66" t="str">
        <f>IF(AG105="","",WORKDAY(AC105-R105-Q105+1,-1,{46329,46349,46384,46385,46386,46387,46388,46391,46398,46429,46441,46468}))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>
        <f>IF(AG106="","",WORKDAY(I106-H106+1,-1,{46329,46349,46384,46385,46386,46387,46388,46391,46398,46429,46441,46468}))</f>
        <v/>
      </c>
      <c r="G106" s="67"/>
      <c r="H106" s="65"/>
      <c r="I106" s="66" t="str">
        <f>IF(AG106="","",WORKDAY(P106-K106+1,-1,{46329,46349,46384,46385,46386,46387,46388,46391,46398,46429,46441,46468}))</f>
        <v/>
      </c>
      <c r="J106" s="67"/>
      <c r="K106" s="65"/>
      <c r="L106" s="68"/>
      <c r="M106" s="68"/>
      <c r="N106" s="68"/>
      <c r="O106" s="68"/>
      <c r="P106" s="66" t="str">
        <f>IF(AG106="","",WORKDAY(AC106-R106-Q106+1,-1,{46329,46349,46384,46385,46386,46387,46388,46391,46398,46429,46441,46468}))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>
        <f>IF(AG107="","",WORKDAY(I107-H107+1,-1,{46329,46349,46384,46385,46386,46387,46388,46391,46398,46429,46441,46468}))</f>
        <v/>
      </c>
      <c r="G107" s="67"/>
      <c r="H107" s="65"/>
      <c r="I107" s="66" t="str">
        <f>IF(AG107="","",WORKDAY(P107-K107+1,-1,{46329,46349,46384,46385,46386,46387,46388,46391,46398,46429,46441,46468}))</f>
        <v/>
      </c>
      <c r="J107" s="67"/>
      <c r="K107" s="65"/>
      <c r="L107" s="68"/>
      <c r="M107" s="68"/>
      <c r="N107" s="68"/>
      <c r="O107" s="68"/>
      <c r="P107" s="66" t="str">
        <f>IF(AG107="","",WORKDAY(AC107-R107-Q107+1,-1,{46329,46349,46384,46385,46386,46387,46388,46391,46398,46429,46441,46468}))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>
        <f>IF(AG108="","",WORKDAY(I108-H108+1,-1,{46329,46349,46384,46385,46386,46387,46388,46391,46398,46429,46441,46468}))</f>
        <v/>
      </c>
      <c r="G108" s="67"/>
      <c r="H108" s="65"/>
      <c r="I108" s="66" t="str">
        <f>IF(AG108="","",WORKDAY(P108-K108+1,-1,{46329,46349,46384,46385,46386,46387,46388,46391,46398,46429,46441,46468}))</f>
        <v/>
      </c>
      <c r="J108" s="67"/>
      <c r="K108" s="65"/>
      <c r="L108" s="68"/>
      <c r="M108" s="68"/>
      <c r="N108" s="68"/>
      <c r="O108" s="68"/>
      <c r="P108" s="66" t="str">
        <f>IF(AG108="","",WORKDAY(AC108-R108-Q108+1,-1,{46329,46349,46384,46385,46386,46387,46388,46391,46398,46429,46441,46468}))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>
        <f>IF(AG109="","",WORKDAY(I109-H109+1,-1,{46329,46349,46384,46385,46386,46387,46388,46391,46398,46429,46441,46468}))</f>
        <v/>
      </c>
      <c r="G109" s="67"/>
      <c r="H109" s="65"/>
      <c r="I109" s="66" t="str">
        <f>IF(AG109="","",WORKDAY(P109-K109+1,-1,{46329,46349,46384,46385,46386,46387,46388,46391,46398,46429,46441,46468}))</f>
        <v/>
      </c>
      <c r="J109" s="67"/>
      <c r="K109" s="65"/>
      <c r="L109" s="68"/>
      <c r="M109" s="68"/>
      <c r="N109" s="68"/>
      <c r="O109" s="68"/>
      <c r="P109" s="66" t="str">
        <f>IF(AG109="","",WORKDAY(AC109-R109-Q109+1,-1,{46329,46349,46384,46385,46386,46387,46388,46391,46398,46429,46441,46468}))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>
        <f>IF(AG110="","",WORKDAY(I110-H110+1,-1,{46329,46349,46384,46385,46386,46387,46388,46391,46398,46429,46441,46468}))</f>
        <v/>
      </c>
      <c r="G110" s="67"/>
      <c r="H110" s="65"/>
      <c r="I110" s="66" t="str">
        <f>IF(AG110="","",WORKDAY(P110-K110+1,-1,{46329,46349,46384,46385,46386,46387,46388,46391,46398,46429,46441,46468}))</f>
        <v/>
      </c>
      <c r="J110" s="67"/>
      <c r="K110" s="65"/>
      <c r="L110" s="68"/>
      <c r="M110" s="68"/>
      <c r="N110" s="68"/>
      <c r="O110" s="68"/>
      <c r="P110" s="66" t="str">
        <f>IF(AG110="","",WORKDAY(AC110-R110-Q110+1,-1,{46329,46349,46384,46385,46386,46387,46388,46391,46398,46429,46441,46468}))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>
        <f>IF(AG111="","",WORKDAY(I111-H111+1,-1,{46329,46349,46384,46385,46386,46387,46388,46391,46398,46429,46441,46468}))</f>
        <v/>
      </c>
      <c r="G111" s="67"/>
      <c r="H111" s="65"/>
      <c r="I111" s="66" t="str">
        <f>IF(AG111="","",WORKDAY(P111-K111+1,-1,{46329,46349,46384,46385,46386,46387,46388,46391,46398,46429,46441,46468}))</f>
        <v/>
      </c>
      <c r="J111" s="67"/>
      <c r="K111" s="65"/>
      <c r="L111" s="68"/>
      <c r="M111" s="68"/>
      <c r="N111" s="68"/>
      <c r="O111" s="68"/>
      <c r="P111" s="66" t="str">
        <f>IF(AG111="","",WORKDAY(AC111-R111-Q111+1,-1,{46329,46349,46384,46385,46386,46387,46388,46391,46398,46429,46441,46468}))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>
        <f>IF(AG112="","",WORKDAY(I112-H112+1,-1,{46329,46349,46384,46385,46386,46387,46388,46391,46398,46429,46441,46468}))</f>
        <v/>
      </c>
      <c r="G112" s="67"/>
      <c r="H112" s="65"/>
      <c r="I112" s="66" t="str">
        <f>IF(AG112="","",WORKDAY(P112-K112+1,-1,{46329,46349,46384,46385,46386,46387,46388,46391,46398,46429,46441,46468}))</f>
        <v/>
      </c>
      <c r="J112" s="67"/>
      <c r="K112" s="65"/>
      <c r="L112" s="68"/>
      <c r="M112" s="68"/>
      <c r="N112" s="68"/>
      <c r="O112" s="68"/>
      <c r="P112" s="66" t="str">
        <f>IF(AG112="","",WORKDAY(AC112-R112-Q112+1,-1,{46329,46349,46384,46385,46386,46387,46388,46391,46398,46429,46441,46468}))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>
        <f>IF(AG113="","",WORKDAY(I113-H113+1,-1,{46329,46349,46384,46385,46386,46387,46388,46391,46398,46429,46441,46468}))</f>
        <v/>
      </c>
      <c r="G113" s="67"/>
      <c r="H113" s="65"/>
      <c r="I113" s="66" t="str">
        <f>IF(AG113="","",WORKDAY(P113-K113+1,-1,{46329,46349,46384,46385,46386,46387,46388,46391,46398,46429,46441,46468}))</f>
        <v/>
      </c>
      <c r="J113" s="67"/>
      <c r="K113" s="65"/>
      <c r="L113" s="68"/>
      <c r="M113" s="68"/>
      <c r="N113" s="68"/>
      <c r="O113" s="68"/>
      <c r="P113" s="66" t="str">
        <f>IF(AG113="","",WORKDAY(AC113-R113-Q113+1,-1,{46329,46349,46384,46385,46386,46387,46388,46391,46398,46429,46441,46468}))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>
        <f>IF(AG114="","",WORKDAY(I114-H114+1,-1,{46329,46349,46384,46385,46386,46387,46388,46391,46398,46429,46441,46468}))</f>
        <v/>
      </c>
      <c r="G114" s="67"/>
      <c r="H114" s="65"/>
      <c r="I114" s="66" t="str">
        <f>IF(AG114="","",WORKDAY(P114-K114+1,-1,{46329,46349,46384,46385,46386,46387,46388,46391,46398,46429,46441,46468}))</f>
        <v/>
      </c>
      <c r="J114" s="67"/>
      <c r="K114" s="65"/>
      <c r="L114" s="68"/>
      <c r="M114" s="68"/>
      <c r="N114" s="68"/>
      <c r="O114" s="68"/>
      <c r="P114" s="66" t="str">
        <f>IF(AG114="","",WORKDAY(AC114-R114-Q114+1,-1,{46329,46349,46384,46385,46386,46387,46388,46391,46398,46429,46441,46468}))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>
        <f>IF(AG115="","",WORKDAY(I115-H115+1,-1,{46329,46349,46384,46385,46386,46387,46388,46391,46398,46429,46441,46468}))</f>
        <v/>
      </c>
      <c r="G115" s="67"/>
      <c r="H115" s="65"/>
      <c r="I115" s="66" t="str">
        <f>IF(AG115="","",WORKDAY(P115-K115+1,-1,{46329,46349,46384,46385,46386,46387,46388,46391,46398,46429,46441,46468}))</f>
        <v/>
      </c>
      <c r="J115" s="67"/>
      <c r="K115" s="65"/>
      <c r="L115" s="68"/>
      <c r="M115" s="68"/>
      <c r="N115" s="68"/>
      <c r="O115" s="68"/>
      <c r="P115" s="66" t="str">
        <f>IF(AG115="","",WORKDAY(AC115-R115-Q115+1,-1,{46329,46349,46384,46385,46386,46387,46388,46391,46398,46429,46441,46468}))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>
        <f>IF(AG116="","",WORKDAY(I116-H116+1,-1,{46329,46349,46384,46385,46386,46387,46388,46391,46398,46429,46441,46468}))</f>
        <v/>
      </c>
      <c r="G116" s="67"/>
      <c r="H116" s="65"/>
      <c r="I116" s="66" t="str">
        <f>IF(AG116="","",WORKDAY(P116-K116+1,-1,{46329,46349,46384,46385,46386,46387,46388,46391,46398,46429,46441,46468}))</f>
        <v/>
      </c>
      <c r="J116" s="67"/>
      <c r="K116" s="65"/>
      <c r="L116" s="68"/>
      <c r="M116" s="68"/>
      <c r="N116" s="68"/>
      <c r="O116" s="68"/>
      <c r="P116" s="66" t="str">
        <f>IF(AG116="","",WORKDAY(AC116-R116-Q116+1,-1,{46329,46349,46384,46385,46386,46387,46388,46391,46398,46429,46441,46468}))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>
        <f>IF(AG117="","",WORKDAY(I117-H117+1,-1,{46329,46349,46384,46385,46386,46387,46388,46391,46398,46429,46441,46468}))</f>
        <v/>
      </c>
      <c r="G117" s="67"/>
      <c r="H117" s="65"/>
      <c r="I117" s="66" t="str">
        <f>IF(AG117="","",WORKDAY(P117-K117+1,-1,{46329,46349,46384,46385,46386,46387,46388,46391,46398,46429,46441,46468}))</f>
        <v/>
      </c>
      <c r="J117" s="67"/>
      <c r="K117" s="65"/>
      <c r="L117" s="68"/>
      <c r="M117" s="68"/>
      <c r="N117" s="68"/>
      <c r="O117" s="68"/>
      <c r="P117" s="66" t="str">
        <f>IF(AG117="","",WORKDAY(AC117-R117-Q117+1,-1,{46329,46349,46384,46385,46386,46387,46388,46391,46398,46429,46441,46468}))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>
        <f>IF(AG118="","",WORKDAY(I118-H118+1,-1,{46329,46349,46384,46385,46386,46387,46388,46391,46398,46429,46441,46468}))</f>
        <v/>
      </c>
      <c r="G118" s="67"/>
      <c r="H118" s="65"/>
      <c r="I118" s="66" t="str">
        <f>IF(AG118="","",WORKDAY(P118-K118+1,-1,{46329,46349,46384,46385,46386,46387,46388,46391,46398,46429,46441,46468}))</f>
        <v/>
      </c>
      <c r="J118" s="67"/>
      <c r="K118" s="65"/>
      <c r="L118" s="68"/>
      <c r="M118" s="68"/>
      <c r="N118" s="68"/>
      <c r="O118" s="68"/>
      <c r="P118" s="66" t="str">
        <f>IF(AG118="","",WORKDAY(AC118-R118-Q118+1,-1,{46329,46349,46384,46385,46386,46387,46388,46391,46398,46429,46441,46468}))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>
        <f>IF(AG119="","",WORKDAY(I119-H119+1,-1,{46329,46349,46384,46385,46386,46387,46388,46391,46398,46429,46441,46468}))</f>
        <v/>
      </c>
      <c r="G119" s="67"/>
      <c r="H119" s="65"/>
      <c r="I119" s="66" t="str">
        <f>IF(AG119="","",WORKDAY(P119-K119+1,-1,{46329,46349,46384,46385,46386,46387,46388,46391,46398,46429,46441,46468}))</f>
        <v/>
      </c>
      <c r="J119" s="67"/>
      <c r="K119" s="65"/>
      <c r="L119" s="68"/>
      <c r="M119" s="68"/>
      <c r="N119" s="68"/>
      <c r="O119" s="68"/>
      <c r="P119" s="66" t="str">
        <f>IF(AG119="","",WORKDAY(AC119-R119-Q119+1,-1,{46329,46349,46384,46385,46386,46387,46388,46391,46398,46429,46441,46468}))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>
        <f>IF(AG120="","",WORKDAY(I120-H120+1,-1,{46329,46349,46384,46385,46386,46387,46388,46391,46398,46429,46441,46468}))</f>
        <v/>
      </c>
      <c r="G120" s="67"/>
      <c r="H120" s="65"/>
      <c r="I120" s="66" t="str">
        <f>IF(AG120="","",WORKDAY(P120-K120+1,-1,{46329,46349,46384,46385,46386,46387,46388,46391,46398,46429,46441,46468}))</f>
        <v/>
      </c>
      <c r="J120" s="67"/>
      <c r="K120" s="65"/>
      <c r="L120" s="68"/>
      <c r="M120" s="68"/>
      <c r="N120" s="68"/>
      <c r="O120" s="68"/>
      <c r="P120" s="66" t="str">
        <f>IF(AG120="","",WORKDAY(AC120-R120-Q120+1,-1,{46329,46349,46384,46385,46386,46387,46388,46391,46398,46429,46441,46468}))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>
        <f>IF(AG121="","",WORKDAY(I121-H121+1,-1,{46329,46349,46384,46385,46386,46387,46388,46391,46398,46429,46441,46468}))</f>
        <v/>
      </c>
      <c r="G121" s="67"/>
      <c r="H121" s="65"/>
      <c r="I121" s="66" t="str">
        <f>IF(AG121="","",WORKDAY(P121-K121+1,-1,{46329,46349,46384,46385,46386,46387,46388,46391,46398,46429,46441,46468}))</f>
        <v/>
      </c>
      <c r="J121" s="67"/>
      <c r="K121" s="65"/>
      <c r="L121" s="68"/>
      <c r="M121" s="68"/>
      <c r="N121" s="68"/>
      <c r="O121" s="68"/>
      <c r="P121" s="66" t="str">
        <f>IF(AG121="","",WORKDAY(AC121-R121-Q121+1,-1,{46329,46349,46384,46385,46386,46387,46388,46391,46398,46429,46441,46468}))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>
        <f>IF(AG122="","",WORKDAY(I122-H122+1,-1,{46329,46349,46384,46385,46386,46387,46388,46391,46398,46429,46441,46468}))</f>
        <v/>
      </c>
      <c r="G122" s="67"/>
      <c r="H122" s="65"/>
      <c r="I122" s="66" t="str">
        <f>IF(AG122="","",WORKDAY(P122-K122+1,-1,{46329,46349,46384,46385,46386,46387,46388,46391,46398,46429,46441,46468}))</f>
        <v/>
      </c>
      <c r="J122" s="67"/>
      <c r="K122" s="65"/>
      <c r="L122" s="68"/>
      <c r="M122" s="68"/>
      <c r="N122" s="68"/>
      <c r="O122" s="68"/>
      <c r="P122" s="66" t="str">
        <f>IF(AG122="","",WORKDAY(AC122-R122-Q122+1,-1,{46329,46349,46384,46385,46386,46387,46388,46391,46398,46429,46441,46468}))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>
        <f>IF(AG123="","",WORKDAY(I123-H123+1,-1,{46329,46349,46384,46385,46386,46387,46388,46391,46398,46429,46441,46468}))</f>
        <v/>
      </c>
      <c r="G123" s="67"/>
      <c r="H123" s="65"/>
      <c r="I123" s="66" t="str">
        <f>IF(AG123="","",WORKDAY(P123-K123+1,-1,{46329,46349,46384,46385,46386,46387,46388,46391,46398,46429,46441,46468}))</f>
        <v/>
      </c>
      <c r="J123" s="67"/>
      <c r="K123" s="65"/>
      <c r="L123" s="68"/>
      <c r="M123" s="68"/>
      <c r="N123" s="68"/>
      <c r="O123" s="68"/>
      <c r="P123" s="66" t="str">
        <f>IF(AG123="","",WORKDAY(AC123-R123-Q123+1,-1,{46329,46349,46384,46385,46386,46387,46388,46391,46398,46429,46441,46468}))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>
        <f>IF(AG124="","",WORKDAY(I124-H124+1,-1,{46329,46349,46384,46385,46386,46387,46388,46391,46398,46429,46441,46468}))</f>
        <v/>
      </c>
      <c r="G124" s="67"/>
      <c r="H124" s="65"/>
      <c r="I124" s="66" t="str">
        <f>IF(AG124="","",WORKDAY(P124-K124+1,-1,{46329,46349,46384,46385,46386,46387,46388,46391,46398,46429,46441,46468}))</f>
        <v/>
      </c>
      <c r="J124" s="67"/>
      <c r="K124" s="65"/>
      <c r="L124" s="68"/>
      <c r="M124" s="68"/>
      <c r="N124" s="68"/>
      <c r="O124" s="68"/>
      <c r="P124" s="66" t="str">
        <f>IF(AG124="","",WORKDAY(AC124-R124-Q124+1,-1,{46329,46349,46384,46385,46386,46387,46388,46391,46398,46429,46441,46468}))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>
        <f>IF(AG125="","",WORKDAY(I125-H125+1,-1,{46329,46349,46384,46385,46386,46387,46388,46391,46398,46429,46441,46468}))</f>
        <v/>
      </c>
      <c r="G125" s="67"/>
      <c r="H125" s="65"/>
      <c r="I125" s="66" t="str">
        <f>IF(AG125="","",WORKDAY(P125-K125+1,-1,{46329,46349,46384,46385,46386,46387,46388,46391,46398,46429,46441,46468}))</f>
        <v/>
      </c>
      <c r="J125" s="67"/>
      <c r="K125" s="65"/>
      <c r="L125" s="68"/>
      <c r="M125" s="68"/>
      <c r="N125" s="68"/>
      <c r="O125" s="68"/>
      <c r="P125" s="66" t="str">
        <f>IF(AG125="","",WORKDAY(AC125-R125-Q125+1,-1,{46329,46349,46384,46385,46386,46387,46388,46391,46398,46429,46441,46468}))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>
        <f>IF(AG126="","",WORKDAY(I126-H126+1,-1,{46329,46349,46384,46385,46386,46387,46388,46391,46398,46429,46441,46468}))</f>
        <v/>
      </c>
      <c r="G126" s="67"/>
      <c r="H126" s="65"/>
      <c r="I126" s="66" t="str">
        <f>IF(AG126="","",WORKDAY(P126-K126+1,-1,{46329,46349,46384,46385,46386,46387,46388,46391,46398,46429,46441,46468}))</f>
        <v/>
      </c>
      <c r="J126" s="67"/>
      <c r="K126" s="65"/>
      <c r="L126" s="68"/>
      <c r="M126" s="68"/>
      <c r="N126" s="68"/>
      <c r="O126" s="68"/>
      <c r="P126" s="66" t="str">
        <f>IF(AG126="","",WORKDAY(AC126-R126-Q126+1,-1,{46329,46349,46384,46385,46386,46387,46388,46391,46398,46429,46441,46468}))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>
        <f>IF(AG127="","",WORKDAY(I127-H127+1,-1,{46329,46349,46384,46385,46386,46387,46388,46391,46398,46429,46441,46468}))</f>
        <v/>
      </c>
      <c r="G127" s="67"/>
      <c r="H127" s="65"/>
      <c r="I127" s="66" t="str">
        <f>IF(AG127="","",WORKDAY(P127-K127+1,-1,{46329,46349,46384,46385,46386,46387,46388,46391,46398,46429,46441,46468}))</f>
        <v/>
      </c>
      <c r="J127" s="67"/>
      <c r="K127" s="65"/>
      <c r="L127" s="68"/>
      <c r="M127" s="68"/>
      <c r="N127" s="68"/>
      <c r="O127" s="68"/>
      <c r="P127" s="66" t="str">
        <f>IF(AG127="","",WORKDAY(AC127-R127-Q127+1,-1,{46329,46349,46384,46385,46386,46387,46388,46391,46398,46429,46441,46468}))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>
        <f>IF(AG128="","",WORKDAY(I128-H128+1,-1,{46329,46349,46384,46385,46386,46387,46388,46391,46398,46429,46441,46468}))</f>
        <v/>
      </c>
      <c r="G128" s="67"/>
      <c r="H128" s="65"/>
      <c r="I128" s="66" t="str">
        <f>IF(AG128="","",WORKDAY(P128-K128+1,-1,{46329,46349,46384,46385,46386,46387,46388,46391,46398,46429,46441,46468}))</f>
        <v/>
      </c>
      <c r="J128" s="67"/>
      <c r="K128" s="65"/>
      <c r="L128" s="68"/>
      <c r="M128" s="68"/>
      <c r="N128" s="68"/>
      <c r="O128" s="68"/>
      <c r="P128" s="66" t="str">
        <f>IF(AG128="","",WORKDAY(AC128-R128-Q128+1,-1,{46329,46349,46384,46385,46386,46387,46388,46391,46398,46429,46441,46468}))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>
        <f>IF(AG129="","",WORKDAY(I129-H129+1,-1,{46329,46349,46384,46385,46386,46387,46388,46391,46398,46429,46441,46468}))</f>
        <v/>
      </c>
      <c r="G129" s="67"/>
      <c r="H129" s="65"/>
      <c r="I129" s="66" t="str">
        <f>IF(AG129="","",WORKDAY(P129-K129+1,-1,{46329,46349,46384,46385,46386,46387,46388,46391,46398,46429,46441,46468}))</f>
        <v/>
      </c>
      <c r="J129" s="67"/>
      <c r="K129" s="65"/>
      <c r="L129" s="68"/>
      <c r="M129" s="68"/>
      <c r="N129" s="68"/>
      <c r="O129" s="68"/>
      <c r="P129" s="66" t="str">
        <f>IF(AG129="","",WORKDAY(AC129-R129-Q129+1,-1,{46329,46349,46384,46385,46386,46387,46388,46391,46398,46429,46441,46468}))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>
        <f>IF(AG130="","",WORKDAY(I130-H130+1,-1,{46329,46349,46384,46385,46386,46387,46388,46391,46398,46429,46441,46468}))</f>
        <v/>
      </c>
      <c r="G130" s="67"/>
      <c r="H130" s="65"/>
      <c r="I130" s="66" t="str">
        <f>IF(AG130="","",WORKDAY(P130-K130+1,-1,{46329,46349,46384,46385,46386,46387,46388,46391,46398,46429,46441,46468}))</f>
        <v/>
      </c>
      <c r="J130" s="67"/>
      <c r="K130" s="65"/>
      <c r="L130" s="68"/>
      <c r="M130" s="68"/>
      <c r="N130" s="68"/>
      <c r="O130" s="68"/>
      <c r="P130" s="66" t="str">
        <f>IF(AG130="","",WORKDAY(AC130-R130-Q130+1,-1,{46329,46349,46384,46385,46386,46387,46388,46391,46398,46429,46441,46468}))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>
        <f>IF(AG131="","",WORKDAY(I131-H131+1,-1,{46329,46349,46384,46385,46386,46387,46388,46391,46398,46429,46441,46468}))</f>
        <v/>
      </c>
      <c r="G131" s="67"/>
      <c r="H131" s="65"/>
      <c r="I131" s="66" t="str">
        <f>IF(AG131="","",WORKDAY(P131-K131+1,-1,{46329,46349,46384,46385,46386,46387,46388,46391,46398,46429,46441,46468}))</f>
        <v/>
      </c>
      <c r="J131" s="67"/>
      <c r="K131" s="65"/>
      <c r="L131" s="68"/>
      <c r="M131" s="68"/>
      <c r="N131" s="68"/>
      <c r="O131" s="68"/>
      <c r="P131" s="66" t="str">
        <f>IF(AG131="","",WORKDAY(AC131-R131-Q131+1,-1,{46329,46349,46384,46385,46386,46387,46388,46391,46398,46429,46441,46468}))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>
        <f>IF(AG132="","",WORKDAY(I132-H132+1,-1,{46329,46349,46384,46385,46386,46387,46388,46391,46398,46429,46441,46468}))</f>
        <v/>
      </c>
      <c r="G132" s="67"/>
      <c r="H132" s="65"/>
      <c r="I132" s="66" t="str">
        <f>IF(AG132="","",WORKDAY(P132-K132+1,-1,{46329,46349,46384,46385,46386,46387,46388,46391,46398,46429,46441,46468}))</f>
        <v/>
      </c>
      <c r="J132" s="67"/>
      <c r="K132" s="65"/>
      <c r="L132" s="68"/>
      <c r="M132" s="68"/>
      <c r="N132" s="68"/>
      <c r="O132" s="68"/>
      <c r="P132" s="66" t="str">
        <f>IF(AG132="","",WORKDAY(AC132-R132-Q132+1,-1,{46329,46349,46384,46385,46386,46387,46388,46391,46398,46429,46441,46468}))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>
        <f>IF(AG133="","",WORKDAY(I133-H133+1,-1,{46329,46349,46384,46385,46386,46387,46388,46391,46398,46429,46441,46468}))</f>
        <v/>
      </c>
      <c r="G133" s="67"/>
      <c r="H133" s="65"/>
      <c r="I133" s="66" t="str">
        <f>IF(AG133="","",WORKDAY(P133-K133+1,-1,{46329,46349,46384,46385,46386,46387,46388,46391,46398,46429,46441,46468}))</f>
        <v/>
      </c>
      <c r="J133" s="67"/>
      <c r="K133" s="65"/>
      <c r="L133" s="68"/>
      <c r="M133" s="68"/>
      <c r="N133" s="68"/>
      <c r="O133" s="68"/>
      <c r="P133" s="66" t="str">
        <f>IF(AG133="","",WORKDAY(AC133-R133-Q133+1,-1,{46329,46349,46384,46385,46386,46387,46388,46391,46398,46429,46441,46468}))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>
        <f>IF(AG134="","",WORKDAY(I134-H134+1,-1,{46329,46349,46384,46385,46386,46387,46388,46391,46398,46429,46441,46468}))</f>
        <v/>
      </c>
      <c r="G134" s="67"/>
      <c r="H134" s="65"/>
      <c r="I134" s="66" t="str">
        <f>IF(AG134="","",WORKDAY(P134-K134+1,-1,{46329,46349,46384,46385,46386,46387,46388,46391,46398,46429,46441,46468}))</f>
        <v/>
      </c>
      <c r="J134" s="67"/>
      <c r="K134" s="65"/>
      <c r="L134" s="68"/>
      <c r="M134" s="68"/>
      <c r="N134" s="68"/>
      <c r="O134" s="68"/>
      <c r="P134" s="66" t="str">
        <f>IF(AG134="","",WORKDAY(AC134-R134-Q134+1,-1,{46329,46349,46384,46385,46386,46387,46388,46391,46398,46429,46441,46468}))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>
        <f>IF(AG135="","",WORKDAY(I135-H135+1,-1,{46329,46349,46384,46385,46386,46387,46388,46391,46398,46429,46441,46468}))</f>
        <v/>
      </c>
      <c r="G135" s="67"/>
      <c r="H135" s="65"/>
      <c r="I135" s="66" t="str">
        <f>IF(AG135="","",WORKDAY(P135-K135+1,-1,{46329,46349,46384,46385,46386,46387,46388,46391,46398,46429,46441,46468}))</f>
        <v/>
      </c>
      <c r="J135" s="67"/>
      <c r="K135" s="65"/>
      <c r="L135" s="68"/>
      <c r="M135" s="68"/>
      <c r="N135" s="68"/>
      <c r="O135" s="68"/>
      <c r="P135" s="66" t="str">
        <f>IF(AG135="","",WORKDAY(AC135-R135-Q135+1,-1,{46329,46349,46384,46385,46386,46387,46388,46391,46398,46429,46441,46468}))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>
        <f>IF(AG136="","",WORKDAY(I136-H136+1,-1,{46329,46349,46384,46385,46386,46387,46388,46391,46398,46429,46441,46468}))</f>
        <v/>
      </c>
      <c r="G136" s="67"/>
      <c r="H136" s="65"/>
      <c r="I136" s="66" t="str">
        <f>IF(AG136="","",WORKDAY(P136-K136+1,-1,{46329,46349,46384,46385,46386,46387,46388,46391,46398,46429,46441,46468}))</f>
        <v/>
      </c>
      <c r="J136" s="67"/>
      <c r="K136" s="65"/>
      <c r="L136" s="68"/>
      <c r="M136" s="68"/>
      <c r="N136" s="68"/>
      <c r="O136" s="68"/>
      <c r="P136" s="66" t="str">
        <f>IF(AG136="","",WORKDAY(AC136-R136-Q136+1,-1,{46329,46349,46384,46385,46386,46387,46388,46391,46398,46429,46441,46468}))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>
        <f>IF(AG137="","",WORKDAY(I137-H137+1,-1,{46329,46349,46384,46385,46386,46387,46388,46391,46398,46429,46441,46468}))</f>
        <v/>
      </c>
      <c r="G137" s="67"/>
      <c r="H137" s="65"/>
      <c r="I137" s="66" t="str">
        <f>IF(AG137="","",WORKDAY(P137-K137+1,-1,{46329,46349,46384,46385,46386,46387,46388,46391,46398,46429,46441,46468}))</f>
        <v/>
      </c>
      <c r="J137" s="67"/>
      <c r="K137" s="65"/>
      <c r="L137" s="68"/>
      <c r="M137" s="68"/>
      <c r="N137" s="68"/>
      <c r="O137" s="68"/>
      <c r="P137" s="66" t="str">
        <f>IF(AG137="","",WORKDAY(AC137-R137-Q137+1,-1,{46329,46349,46384,46385,46386,46387,46388,46391,46398,46429,46441,46468}))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>
        <f>IF(AG138="","",WORKDAY(I138-H138+1,-1,{46329,46349,46384,46385,46386,46387,46388,46391,46398,46429,46441,46468}))</f>
        <v/>
      </c>
      <c r="G138" s="67"/>
      <c r="H138" s="65"/>
      <c r="I138" s="66" t="str">
        <f>IF(AG138="","",WORKDAY(P138-K138+1,-1,{46329,46349,46384,46385,46386,46387,46388,46391,46398,46429,46441,46468}))</f>
        <v/>
      </c>
      <c r="J138" s="67"/>
      <c r="K138" s="65"/>
      <c r="L138" s="68"/>
      <c r="M138" s="68"/>
      <c r="N138" s="68"/>
      <c r="O138" s="68"/>
      <c r="P138" s="66" t="str">
        <f>IF(AG138="","",WORKDAY(AC138-R138-Q138+1,-1,{46329,46349,46384,46385,46386,46387,46388,46391,46398,46429,46441,46468}))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>
        <f>IF(AG139="","",WORKDAY(I139-H139+1,-1,{46329,46349,46384,46385,46386,46387,46388,46391,46398,46429,46441,46468}))</f>
        <v/>
      </c>
      <c r="G139" s="67"/>
      <c r="H139" s="65"/>
      <c r="I139" s="66" t="str">
        <f>IF(AG139="","",WORKDAY(P139-K139+1,-1,{46329,46349,46384,46385,46386,46387,46388,46391,46398,46429,46441,46468}))</f>
        <v/>
      </c>
      <c r="J139" s="67"/>
      <c r="K139" s="65"/>
      <c r="L139" s="68"/>
      <c r="M139" s="68"/>
      <c r="N139" s="68"/>
      <c r="O139" s="68"/>
      <c r="P139" s="66" t="str">
        <f>IF(AG139="","",WORKDAY(AC139-R139-Q139+1,-1,{46329,46349,46384,46385,46386,46387,46388,46391,46398,46429,46441,46468}))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>
        <f>IF(AG140="","",WORKDAY(I140-H140+1,-1,{46329,46349,46384,46385,46386,46387,46388,46391,46398,46429,46441,46468}))</f>
        <v/>
      </c>
      <c r="G140" s="67"/>
      <c r="H140" s="65"/>
      <c r="I140" s="66" t="str">
        <f>IF(AG140="","",WORKDAY(P140-K140+1,-1,{46329,46349,46384,46385,46386,46387,46388,46391,46398,46429,46441,46468}))</f>
        <v/>
      </c>
      <c r="J140" s="67"/>
      <c r="K140" s="65"/>
      <c r="L140" s="68"/>
      <c r="M140" s="68"/>
      <c r="N140" s="68"/>
      <c r="O140" s="68"/>
      <c r="P140" s="66" t="str">
        <f>IF(AG140="","",WORKDAY(AC140-R140-Q140+1,-1,{46329,46349,46384,46385,46386,46387,46388,46391,46398,46429,46441,46468}))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>
        <f>IF(AG141="","",WORKDAY(I141-H141+1,-1,{46329,46349,46384,46385,46386,46387,46388,46391,46398,46429,46441,46468}))</f>
        <v/>
      </c>
      <c r="G141" s="67"/>
      <c r="H141" s="65"/>
      <c r="I141" s="66" t="str">
        <f>IF(AG141="","",WORKDAY(P141-K141+1,-1,{46329,46349,46384,46385,46386,46387,46388,46391,46398,46429,46441,46468}))</f>
        <v/>
      </c>
      <c r="J141" s="67"/>
      <c r="K141" s="65"/>
      <c r="L141" s="68"/>
      <c r="M141" s="68"/>
      <c r="N141" s="68"/>
      <c r="O141" s="68"/>
      <c r="P141" s="66" t="str">
        <f>IF(AG141="","",WORKDAY(AC141-R141-Q141+1,-1,{46329,46349,46384,46385,46386,46387,46388,46391,46398,46429,46441,46468}))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>
        <f>IF(AG142="","",WORKDAY(I142-H142+1,-1,{46329,46349,46384,46385,46386,46387,46388,46391,46398,46429,46441,46468}))</f>
        <v/>
      </c>
      <c r="G142" s="67"/>
      <c r="H142" s="65"/>
      <c r="I142" s="66" t="str">
        <f>IF(AG142="","",WORKDAY(P142-K142+1,-1,{46329,46349,46384,46385,46386,46387,46388,46391,46398,46429,46441,46468}))</f>
        <v/>
      </c>
      <c r="J142" s="67"/>
      <c r="K142" s="65"/>
      <c r="L142" s="68"/>
      <c r="M142" s="68"/>
      <c r="N142" s="68"/>
      <c r="O142" s="68"/>
      <c r="P142" s="66" t="str">
        <f>IF(AG142="","",WORKDAY(AC142-R142-Q142+1,-1,{46329,46349,46384,46385,46386,46387,46388,46391,46398,46429,46441,46468}))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>
        <f>IF(AG143="","",WORKDAY(I143-H143+1,-1,{46329,46349,46384,46385,46386,46387,46388,46391,46398,46429,46441,46468}))</f>
        <v/>
      </c>
      <c r="G143" s="67"/>
      <c r="H143" s="65"/>
      <c r="I143" s="66" t="str">
        <f>IF(AG143="","",WORKDAY(P143-K143+1,-1,{46329,46349,46384,46385,46386,46387,46388,46391,46398,46429,46441,46468}))</f>
        <v/>
      </c>
      <c r="J143" s="67"/>
      <c r="K143" s="65"/>
      <c r="L143" s="68"/>
      <c r="M143" s="68"/>
      <c r="N143" s="68"/>
      <c r="O143" s="68"/>
      <c r="P143" s="66" t="str">
        <f>IF(AG143="","",WORKDAY(AC143-R143-Q143+1,-1,{46329,46349,46384,46385,46386,46387,46388,46391,46398,46429,46441,46468}))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>
        <f>IF(AG144="","",WORKDAY(I144-H144+1,-1,{46329,46349,46384,46385,46386,46387,46388,46391,46398,46429,46441,46468}))</f>
        <v/>
      </c>
      <c r="G144" s="67"/>
      <c r="H144" s="65"/>
      <c r="I144" s="66" t="str">
        <f>IF(AG144="","",WORKDAY(P144-K144+1,-1,{46329,46349,46384,46385,46386,46387,46388,46391,46398,46429,46441,46468}))</f>
        <v/>
      </c>
      <c r="J144" s="67"/>
      <c r="K144" s="65"/>
      <c r="L144" s="68"/>
      <c r="M144" s="68"/>
      <c r="N144" s="68"/>
      <c r="O144" s="68"/>
      <c r="P144" s="66" t="str">
        <f>IF(AG144="","",WORKDAY(AC144-R144-Q144+1,-1,{46329,46349,46384,46385,46386,46387,46388,46391,46398,46429,46441,46468}))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>
        <f>IF(AG145="","",WORKDAY(I145-H145+1,-1,{46329,46349,46384,46385,46386,46387,46388,46391,46398,46429,46441,46468}))</f>
        <v/>
      </c>
      <c r="G145" s="67"/>
      <c r="H145" s="65"/>
      <c r="I145" s="66" t="str">
        <f>IF(AG145="","",WORKDAY(P145-K145+1,-1,{46329,46349,46384,46385,46386,46387,46388,46391,46398,46429,46441,46468}))</f>
        <v/>
      </c>
      <c r="J145" s="67"/>
      <c r="K145" s="65"/>
      <c r="L145" s="68"/>
      <c r="M145" s="68"/>
      <c r="N145" s="68"/>
      <c r="O145" s="68"/>
      <c r="P145" s="66" t="str">
        <f>IF(AG145="","",WORKDAY(AC145-R145-Q145+1,-1,{46329,46349,46384,46385,46386,46387,46388,46391,46398,46429,46441,46468}))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>
        <f>IF(AG146="","",WORKDAY(I146-H146+1,-1,{46329,46349,46384,46385,46386,46387,46388,46391,46398,46429,46441,46468}))</f>
        <v/>
      </c>
      <c r="G146" s="67"/>
      <c r="H146" s="65"/>
      <c r="I146" s="66" t="str">
        <f>IF(AG146="","",WORKDAY(P146-K146+1,-1,{46329,46349,46384,46385,46386,46387,46388,46391,46398,46429,46441,46468}))</f>
        <v/>
      </c>
      <c r="J146" s="67"/>
      <c r="K146" s="65"/>
      <c r="L146" s="68"/>
      <c r="M146" s="68"/>
      <c r="N146" s="68"/>
      <c r="O146" s="68"/>
      <c r="P146" s="66" t="str">
        <f>IF(AG146="","",WORKDAY(AC146-R146-Q146+1,-1,{46329,46349,46384,46385,46386,46387,46388,46391,46398,46429,46441,46468}))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>
        <f>IF(AG147="","",WORKDAY(I147-H147+1,-1,{46329,46349,46384,46385,46386,46387,46388,46391,46398,46429,46441,46468}))</f>
        <v/>
      </c>
      <c r="G147" s="67"/>
      <c r="H147" s="65"/>
      <c r="I147" s="66" t="str">
        <f>IF(AG147="","",WORKDAY(P147-K147+1,-1,{46329,46349,46384,46385,46386,46387,46388,46391,46398,46429,46441,46468}))</f>
        <v/>
      </c>
      <c r="J147" s="67"/>
      <c r="K147" s="65"/>
      <c r="L147" s="68"/>
      <c r="M147" s="68"/>
      <c r="N147" s="68"/>
      <c r="O147" s="68"/>
      <c r="P147" s="66" t="str">
        <f>IF(AG147="","",WORKDAY(AC147-R147-Q147+1,-1,{46329,46349,46384,46385,46386,46387,46388,46391,46398,46429,46441,46468}))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>
        <f>IF(AG148="","",WORKDAY(I148-H148+1,-1,{46329,46349,46384,46385,46386,46387,46388,46391,46398,46429,46441,46468}))</f>
        <v/>
      </c>
      <c r="G148" s="67"/>
      <c r="H148" s="65"/>
      <c r="I148" s="66" t="str">
        <f>IF(AG148="","",WORKDAY(P148-K148+1,-1,{46329,46349,46384,46385,46386,46387,46388,46391,46398,46429,46441,46468}))</f>
        <v/>
      </c>
      <c r="J148" s="67"/>
      <c r="K148" s="65"/>
      <c r="L148" s="68"/>
      <c r="M148" s="68"/>
      <c r="N148" s="68"/>
      <c r="O148" s="68"/>
      <c r="P148" s="66" t="str">
        <f>IF(AG148="","",WORKDAY(AC148-R148-Q148+1,-1,{46329,46349,46384,46385,46386,46387,46388,46391,46398,46429,46441,46468}))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>
        <f>IF(AG149="","",WORKDAY(I149-H149+1,-1,{46329,46349,46384,46385,46386,46387,46388,46391,46398,46429,46441,46468}))</f>
        <v/>
      </c>
      <c r="G149" s="67"/>
      <c r="H149" s="65"/>
      <c r="I149" s="66" t="str">
        <f>IF(AG149="","",WORKDAY(P149-K149+1,-1,{46329,46349,46384,46385,46386,46387,46388,46391,46398,46429,46441,46468}))</f>
        <v/>
      </c>
      <c r="J149" s="67"/>
      <c r="K149" s="65"/>
      <c r="L149" s="68"/>
      <c r="M149" s="68"/>
      <c r="N149" s="68"/>
      <c r="O149" s="68"/>
      <c r="P149" s="66" t="str">
        <f>IF(AG149="","",WORKDAY(AC149-R149-Q149+1,-1,{46329,46349,46384,46385,46386,46387,46388,46391,46398,46429,46441,46468}))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>
        <f>IF(AG150="","",WORKDAY(I150-H150+1,-1,{46329,46349,46384,46385,46386,46387,46388,46391,46398,46429,46441,46468}))</f>
        <v/>
      </c>
      <c r="G150" s="67"/>
      <c r="H150" s="65"/>
      <c r="I150" s="66" t="str">
        <f>IF(AG150="","",WORKDAY(P150-K150+1,-1,{46329,46349,46384,46385,46386,46387,46388,46391,46398,46429,46441,46468}))</f>
        <v/>
      </c>
      <c r="J150" s="67"/>
      <c r="K150" s="65"/>
      <c r="L150" s="68"/>
      <c r="M150" s="68"/>
      <c r="N150" s="68"/>
      <c r="O150" s="68"/>
      <c r="P150" s="66" t="str">
        <f>IF(AG150="","",WORKDAY(AC150-R150-Q150+1,-1,{46329,46349,46384,46385,46386,46387,46388,46391,46398,46429,46441,46468}))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>
        <f>IF(AG151="","",WORKDAY(I151-H151+1,-1,{46329,46349,46384,46385,46386,46387,46388,46391,46398,46429,46441,46468}))</f>
        <v/>
      </c>
      <c r="G151" s="67"/>
      <c r="H151" s="65"/>
      <c r="I151" s="66" t="str">
        <f>IF(AG151="","",WORKDAY(P151-K151+1,-1,{46329,46349,46384,46385,46386,46387,46388,46391,46398,46429,46441,46468}))</f>
        <v/>
      </c>
      <c r="J151" s="67"/>
      <c r="K151" s="65"/>
      <c r="L151" s="68"/>
      <c r="M151" s="68"/>
      <c r="N151" s="68"/>
      <c r="O151" s="68"/>
      <c r="P151" s="66" t="str">
        <f>IF(AG151="","",WORKDAY(AC151-R151-Q151+1,-1,{46329,46349,46384,46385,46386,46387,46388,46391,46398,46429,46441,46468}))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>
        <f>IF(AG152="","",WORKDAY(I152-H152+1,-1,{46329,46349,46384,46385,46386,46387,46388,46391,46398,46429,46441,46468}))</f>
        <v/>
      </c>
      <c r="G152" s="67"/>
      <c r="H152" s="65"/>
      <c r="I152" s="66" t="str">
        <f>IF(AG152="","",WORKDAY(P152-K152+1,-1,{46329,46349,46384,46385,46386,46387,46388,46391,46398,46429,46441,46468}))</f>
        <v/>
      </c>
      <c r="J152" s="67"/>
      <c r="K152" s="65"/>
      <c r="L152" s="68"/>
      <c r="M152" s="68"/>
      <c r="N152" s="68"/>
      <c r="O152" s="68"/>
      <c r="P152" s="66" t="str">
        <f>IF(AG152="","",WORKDAY(AC152-R152-Q152+1,-1,{46329,46349,46384,46385,46386,46387,46388,46391,46398,46429,46441,46468}))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>
        <f>IF(AG153="","",WORKDAY(I153-H153+1,-1,{46329,46349,46384,46385,46386,46387,46388,46391,46398,46429,46441,46468}))</f>
        <v/>
      </c>
      <c r="G153" s="67"/>
      <c r="H153" s="65"/>
      <c r="I153" s="66" t="str">
        <f>IF(AG153="","",WORKDAY(P153-K153+1,-1,{46329,46349,46384,46385,46386,46387,46388,46391,46398,46429,46441,46468}))</f>
        <v/>
      </c>
      <c r="J153" s="67"/>
      <c r="K153" s="65"/>
      <c r="L153" s="68"/>
      <c r="M153" s="68"/>
      <c r="N153" s="68"/>
      <c r="O153" s="68"/>
      <c r="P153" s="66" t="str">
        <f>IF(AG153="","",WORKDAY(AC153-R153-Q153+1,-1,{46329,46349,46384,46385,46386,46387,46388,46391,46398,46429,46441,46468}))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>
        <f>IF(AG154="","",WORKDAY(I154-H154+1,-1,{46329,46349,46384,46385,46386,46387,46388,46391,46398,46429,46441,46468}))</f>
        <v/>
      </c>
      <c r="G154" s="67"/>
      <c r="H154" s="65"/>
      <c r="I154" s="66" t="str">
        <f>IF(AG154="","",WORKDAY(P154-K154+1,-1,{46329,46349,46384,46385,46386,46387,46388,46391,46398,46429,46441,46468}))</f>
        <v/>
      </c>
      <c r="J154" s="67"/>
      <c r="K154" s="65"/>
      <c r="L154" s="68"/>
      <c r="M154" s="68"/>
      <c r="N154" s="68"/>
      <c r="O154" s="68"/>
      <c r="P154" s="66" t="str">
        <f>IF(AG154="","",WORKDAY(AC154-R154-Q154+1,-1,{46329,46349,46384,46385,46386,46387,46388,46391,46398,46429,46441,46468}))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>
        <f>IF(AG155="","",WORKDAY(I155-H155+1,-1,{46329,46349,46384,46385,46386,46387,46388,46391,46398,46429,46441,46468}))</f>
        <v/>
      </c>
      <c r="G155" s="67"/>
      <c r="H155" s="65"/>
      <c r="I155" s="66" t="str">
        <f>IF(AG155="","",WORKDAY(P155-K155+1,-1,{46329,46349,46384,46385,46386,46387,46388,46391,46398,46429,46441,46468}))</f>
        <v/>
      </c>
      <c r="J155" s="67"/>
      <c r="K155" s="65"/>
      <c r="L155" s="68"/>
      <c r="M155" s="68"/>
      <c r="N155" s="68"/>
      <c r="O155" s="68"/>
      <c r="P155" s="66" t="str">
        <f>IF(AG155="","",WORKDAY(AC155-R155-Q155+1,-1,{46329,46349,46384,46385,46386,46387,46388,46391,46398,46429,46441,46468}))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>
        <f>IF(AG156="","",WORKDAY(I156-H156+1,-1,{46329,46349,46384,46385,46386,46387,46388,46391,46398,46429,46441,46468}))</f>
        <v/>
      </c>
      <c r="G156" s="67"/>
      <c r="H156" s="65"/>
      <c r="I156" s="66" t="str">
        <f>IF(AG156="","",WORKDAY(P156-K156+1,-1,{46329,46349,46384,46385,46386,46387,46388,46391,46398,46429,46441,46468}))</f>
        <v/>
      </c>
      <c r="J156" s="67"/>
      <c r="K156" s="65"/>
      <c r="L156" s="68"/>
      <c r="M156" s="68"/>
      <c r="N156" s="68"/>
      <c r="O156" s="68"/>
      <c r="P156" s="66" t="str">
        <f>IF(AG156="","",WORKDAY(AC156-R156-Q156+1,-1,{46329,46349,46384,46385,46386,46387,46388,46391,46398,46429,46441,46468}))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>
        <f>IF(AG157="","",WORKDAY(I157-H157+1,-1,{46329,46349,46384,46385,46386,46387,46388,46391,46398,46429,46441,46468}))</f>
        <v/>
      </c>
      <c r="G157" s="67"/>
      <c r="H157" s="65"/>
      <c r="I157" s="66" t="str">
        <f>IF(AG157="","",WORKDAY(P157-K157+1,-1,{46329,46349,46384,46385,46386,46387,46388,46391,46398,46429,46441,46468}))</f>
        <v/>
      </c>
      <c r="J157" s="67"/>
      <c r="K157" s="65"/>
      <c r="L157" s="68"/>
      <c r="M157" s="68"/>
      <c r="N157" s="68"/>
      <c r="O157" s="68"/>
      <c r="P157" s="66" t="str">
        <f>IF(AG157="","",WORKDAY(AC157-R157-Q157+1,-1,{46329,46349,46384,46385,46386,46387,46388,46391,46398,46429,46441,46468}))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>
        <f>IF(AG158="","",WORKDAY(I158-H158+1,-1,{46329,46349,46384,46385,46386,46387,46388,46391,46398,46429,46441,46468}))</f>
        <v/>
      </c>
      <c r="G158" s="67"/>
      <c r="H158" s="65"/>
      <c r="I158" s="66" t="str">
        <f>IF(AG158="","",WORKDAY(P158-K158+1,-1,{46329,46349,46384,46385,46386,46387,46388,46391,46398,46429,46441,46468}))</f>
        <v/>
      </c>
      <c r="J158" s="67"/>
      <c r="K158" s="65"/>
      <c r="L158" s="68"/>
      <c r="M158" s="68"/>
      <c r="N158" s="68"/>
      <c r="O158" s="68"/>
      <c r="P158" s="66" t="str">
        <f>IF(AG158="","",WORKDAY(AC158-R158-Q158+1,-1,{46329,46349,46384,46385,46386,46387,46388,46391,46398,46429,46441,46468}))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>
        <f>IF(AG159="","",WORKDAY(I159-H159+1,-1,{46329,46349,46384,46385,46386,46387,46388,46391,46398,46429,46441,46468}))</f>
        <v/>
      </c>
      <c r="G159" s="67"/>
      <c r="H159" s="65"/>
      <c r="I159" s="66" t="str">
        <f>IF(AG159="","",WORKDAY(P159-K159+1,-1,{46329,46349,46384,46385,46386,46387,46388,46391,46398,46429,46441,46468}))</f>
        <v/>
      </c>
      <c r="J159" s="67"/>
      <c r="K159" s="65"/>
      <c r="L159" s="68"/>
      <c r="M159" s="68"/>
      <c r="N159" s="68"/>
      <c r="O159" s="68"/>
      <c r="P159" s="66" t="str">
        <f>IF(AG159="","",WORKDAY(AC159-R159-Q159+1,-1,{46329,46349,46384,46385,46386,46387,46388,46391,46398,46429,46441,46468}))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>
        <f>IF(AG160="","",WORKDAY(I160-H160+1,-1,{46329,46349,46384,46385,46386,46387,46388,46391,46398,46429,46441,46468}))</f>
        <v/>
      </c>
      <c r="G160" s="67"/>
      <c r="H160" s="65"/>
      <c r="I160" s="66" t="str">
        <f>IF(AG160="","",WORKDAY(P160-K160+1,-1,{46329,46349,46384,46385,46386,46387,46388,46391,46398,46429,46441,46468}))</f>
        <v/>
      </c>
      <c r="J160" s="67"/>
      <c r="K160" s="65"/>
      <c r="L160" s="68"/>
      <c r="M160" s="68"/>
      <c r="N160" s="68"/>
      <c r="O160" s="68"/>
      <c r="P160" s="66" t="str">
        <f>IF(AG160="","",WORKDAY(AC160-R160-Q160+1,-1,{46329,46349,46384,46385,46386,46387,46388,46391,46398,46429,46441,46468}))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>
        <f>IF(AG161="","",WORKDAY(I161-H161+1,-1,{46329,46349,46384,46385,46386,46387,46388,46391,46398,46429,46441,46468}))</f>
        <v/>
      </c>
      <c r="G161" s="67"/>
      <c r="H161" s="65"/>
      <c r="I161" s="66" t="str">
        <f>IF(AG161="","",WORKDAY(P161-K161+1,-1,{46329,46349,46384,46385,46386,46387,46388,46391,46398,46429,46441,46468}))</f>
        <v/>
      </c>
      <c r="J161" s="67"/>
      <c r="K161" s="65"/>
      <c r="L161" s="68"/>
      <c r="M161" s="68"/>
      <c r="N161" s="68"/>
      <c r="O161" s="68"/>
      <c r="P161" s="66" t="str">
        <f>IF(AG161="","",WORKDAY(AC161-R161-Q161+1,-1,{46329,46349,46384,46385,46386,46387,46388,46391,46398,46429,46441,46468}))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>
        <f>IF(AG162="","",WORKDAY(I162-H162+1,-1,{46329,46349,46384,46385,46386,46387,46388,46391,46398,46429,46441,46468}))</f>
        <v/>
      </c>
      <c r="G162" s="67"/>
      <c r="H162" s="65"/>
      <c r="I162" s="66" t="str">
        <f>IF(AG162="","",WORKDAY(P162-K162+1,-1,{46329,46349,46384,46385,46386,46387,46388,46391,46398,46429,46441,46468}))</f>
        <v/>
      </c>
      <c r="J162" s="67"/>
      <c r="K162" s="65"/>
      <c r="L162" s="68"/>
      <c r="M162" s="68"/>
      <c r="N162" s="68"/>
      <c r="O162" s="68"/>
      <c r="P162" s="66" t="str">
        <f>IF(AG162="","",WORKDAY(AC162-R162-Q162+1,-1,{46329,46349,46384,46385,46386,46387,46388,46391,46398,46429,46441,46468}))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>
        <f>IF(AG163="","",WORKDAY(I163-H163+1,-1,{46329,46349,46384,46385,46386,46387,46388,46391,46398,46429,46441,46468}))</f>
        <v/>
      </c>
      <c r="G163" s="67"/>
      <c r="H163" s="65"/>
      <c r="I163" s="66" t="str">
        <f>IF(AG163="","",WORKDAY(P163-K163+1,-1,{46329,46349,46384,46385,46386,46387,46388,46391,46398,46429,46441,46468}))</f>
        <v/>
      </c>
      <c r="J163" s="67"/>
      <c r="K163" s="65"/>
      <c r="L163" s="68"/>
      <c r="M163" s="68"/>
      <c r="N163" s="68"/>
      <c r="O163" s="68"/>
      <c r="P163" s="66" t="str">
        <f>IF(AG163="","",WORKDAY(AC163-R163-Q163+1,-1,{46329,46349,46384,46385,46386,46387,46388,46391,46398,46429,46441,46468}))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>
        <f>IF(AG164="","",WORKDAY(I164-H164+1,-1,{46329,46349,46384,46385,46386,46387,46388,46391,46398,46429,46441,46468}))</f>
        <v/>
      </c>
      <c r="G164" s="67"/>
      <c r="H164" s="65"/>
      <c r="I164" s="66" t="str">
        <f>IF(AG164="","",WORKDAY(P164-K164+1,-1,{46329,46349,46384,46385,46386,46387,46388,46391,46398,46429,46441,46468}))</f>
        <v/>
      </c>
      <c r="J164" s="67"/>
      <c r="K164" s="65"/>
      <c r="L164" s="68"/>
      <c r="M164" s="68"/>
      <c r="N164" s="68"/>
      <c r="O164" s="68"/>
      <c r="P164" s="66" t="str">
        <f>IF(AG164="","",WORKDAY(AC164-R164-Q164+1,-1,{46329,46349,46384,46385,46386,46387,46388,46391,46398,46429,46441,46468}))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>
        <f>IF(AG165="","",WORKDAY(I165-H165+1,-1,{46329,46349,46384,46385,46386,46387,46388,46391,46398,46429,46441,46468}))</f>
        <v/>
      </c>
      <c r="G165" s="67"/>
      <c r="H165" s="65"/>
      <c r="I165" s="66" t="str">
        <f>IF(AG165="","",WORKDAY(P165-K165+1,-1,{46329,46349,46384,46385,46386,46387,46388,46391,46398,46429,46441,46468}))</f>
        <v/>
      </c>
      <c r="J165" s="67"/>
      <c r="K165" s="65"/>
      <c r="L165" s="68"/>
      <c r="M165" s="68"/>
      <c r="N165" s="68"/>
      <c r="O165" s="68"/>
      <c r="P165" s="66" t="str">
        <f>IF(AG165="","",WORKDAY(AC165-R165-Q165+1,-1,{46329,46349,46384,46385,46386,46387,46388,46391,46398,46429,46441,46468}))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>
        <f>IF(AG166="","",WORKDAY(I166-H166+1,-1,{46329,46349,46384,46385,46386,46387,46388,46391,46398,46429,46441,46468}))</f>
        <v/>
      </c>
      <c r="G166" s="67"/>
      <c r="H166" s="65"/>
      <c r="I166" s="66" t="str">
        <f>IF(AG166="","",WORKDAY(P166-K166+1,-1,{46329,46349,46384,46385,46386,46387,46388,46391,46398,46429,46441,46468}))</f>
        <v/>
      </c>
      <c r="J166" s="67"/>
      <c r="K166" s="65"/>
      <c r="L166" s="68"/>
      <c r="M166" s="68"/>
      <c r="N166" s="68"/>
      <c r="O166" s="68"/>
      <c r="P166" s="66" t="str">
        <f>IF(AG166="","",WORKDAY(AC166-R166-Q166+1,-1,{46329,46349,46384,46385,46386,46387,46388,46391,46398,46429,46441,46468}))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>
        <f>IF(AG167="","",WORKDAY(I167-H167+1,-1,{46329,46349,46384,46385,46386,46387,46388,46391,46398,46429,46441,46468}))</f>
        <v/>
      </c>
      <c r="G167" s="67"/>
      <c r="H167" s="65"/>
      <c r="I167" s="66" t="str">
        <f>IF(AG167="","",WORKDAY(P167-K167+1,-1,{46329,46349,46384,46385,46386,46387,46388,46391,46398,46429,46441,46468}))</f>
        <v/>
      </c>
      <c r="J167" s="67"/>
      <c r="K167" s="65"/>
      <c r="L167" s="68"/>
      <c r="M167" s="68"/>
      <c r="N167" s="68"/>
      <c r="O167" s="68"/>
      <c r="P167" s="66" t="str">
        <f>IF(AG167="","",WORKDAY(AC167-R167-Q167+1,-1,{46329,46349,46384,46385,46386,46387,46388,46391,46398,46429,46441,46468}))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>
        <f>IF(AG168="","",WORKDAY(I168-H168+1,-1,{46329,46349,46384,46385,46386,46387,46388,46391,46398,46429,46441,46468}))</f>
        <v/>
      </c>
      <c r="G168" s="67"/>
      <c r="H168" s="65"/>
      <c r="I168" s="66" t="str">
        <f>IF(AG168="","",WORKDAY(P168-K168+1,-1,{46329,46349,46384,46385,46386,46387,46388,46391,46398,46429,46441,46468}))</f>
        <v/>
      </c>
      <c r="J168" s="67"/>
      <c r="K168" s="65"/>
      <c r="L168" s="68"/>
      <c r="M168" s="68"/>
      <c r="N168" s="68"/>
      <c r="O168" s="68"/>
      <c r="P168" s="66" t="str">
        <f>IF(AG168="","",WORKDAY(AC168-R168-Q168+1,-1,{46329,46349,46384,46385,46386,46387,46388,46391,46398,46429,46441,46468}))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>
        <f>IF(AG169="","",WORKDAY(I169-H169+1,-1,{46329,46349,46384,46385,46386,46387,46388,46391,46398,46429,46441,46468}))</f>
        <v/>
      </c>
      <c r="G169" s="67"/>
      <c r="H169" s="65"/>
      <c r="I169" s="66" t="str">
        <f>IF(AG169="","",WORKDAY(P169-K169+1,-1,{46329,46349,46384,46385,46386,46387,46388,46391,46398,46429,46441,46468}))</f>
        <v/>
      </c>
      <c r="J169" s="67"/>
      <c r="K169" s="65"/>
      <c r="L169" s="68"/>
      <c r="M169" s="68"/>
      <c r="N169" s="68"/>
      <c r="O169" s="68"/>
      <c r="P169" s="66" t="str">
        <f>IF(AG169="","",WORKDAY(AC169-R169-Q169+1,-1,{46329,46349,46384,46385,46386,46387,46388,46391,46398,46429,46441,46468}))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>
        <f>IF(AG170="","",WORKDAY(I170-H170+1,-1,{46329,46349,46384,46385,46386,46387,46388,46391,46398,46429,46441,46468}))</f>
        <v/>
      </c>
      <c r="G170" s="67"/>
      <c r="H170" s="65"/>
      <c r="I170" s="66" t="str">
        <f>IF(AG170="","",WORKDAY(P170-K170+1,-1,{46329,46349,46384,46385,46386,46387,46388,46391,46398,46429,46441,46468}))</f>
        <v/>
      </c>
      <c r="J170" s="67"/>
      <c r="K170" s="65"/>
      <c r="L170" s="68"/>
      <c r="M170" s="68"/>
      <c r="N170" s="68"/>
      <c r="O170" s="68"/>
      <c r="P170" s="66" t="str">
        <f>IF(AG170="","",WORKDAY(AC170-R170-Q170+1,-1,{46329,46349,46384,46385,46386,46387,46388,46391,46398,46429,46441,46468}))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>
        <f>IF(AG171="","",WORKDAY(I171-H171+1,-1,{46329,46349,46384,46385,46386,46387,46388,46391,46398,46429,46441,46468}))</f>
        <v/>
      </c>
      <c r="G171" s="67"/>
      <c r="H171" s="65"/>
      <c r="I171" s="66" t="str">
        <f>IF(AG171="","",WORKDAY(P171-K171+1,-1,{46329,46349,46384,46385,46386,46387,46388,46391,46398,46429,46441,46468}))</f>
        <v/>
      </c>
      <c r="J171" s="67"/>
      <c r="K171" s="65"/>
      <c r="L171" s="68"/>
      <c r="M171" s="68"/>
      <c r="N171" s="68"/>
      <c r="O171" s="68"/>
      <c r="P171" s="66" t="str">
        <f>IF(AG171="","",WORKDAY(AC171-R171-Q171+1,-1,{46329,46349,46384,46385,46386,46387,46388,46391,46398,46429,46441,46468}))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>
        <f>IF(AG172="","",WORKDAY(I172-H172+1,-1,{46329,46349,46384,46385,46386,46387,46388,46391,46398,46429,46441,46468}))</f>
        <v/>
      </c>
      <c r="G172" s="67"/>
      <c r="H172" s="65"/>
      <c r="I172" s="66" t="str">
        <f>IF(AG172="","",WORKDAY(P172-K172+1,-1,{46329,46349,46384,46385,46386,46387,46388,46391,46398,46429,46441,46468}))</f>
        <v/>
      </c>
      <c r="J172" s="67"/>
      <c r="K172" s="65"/>
      <c r="L172" s="68"/>
      <c r="M172" s="68"/>
      <c r="N172" s="68"/>
      <c r="O172" s="68"/>
      <c r="P172" s="66" t="str">
        <f>IF(AG172="","",WORKDAY(AC172-R172-Q172+1,-1,{46329,46349,46384,46385,46386,46387,46388,46391,46398,46429,46441,46468}))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>
        <f>IF(AG173="","",WORKDAY(I173-H173+1,-1,{46329,46349,46384,46385,46386,46387,46388,46391,46398,46429,46441,46468}))</f>
        <v/>
      </c>
      <c r="G173" s="67"/>
      <c r="H173" s="65"/>
      <c r="I173" s="66" t="str">
        <f>IF(AG173="","",WORKDAY(P173-K173+1,-1,{46329,46349,46384,46385,46386,46387,46388,46391,46398,46429,46441,46468}))</f>
        <v/>
      </c>
      <c r="J173" s="67"/>
      <c r="K173" s="65"/>
      <c r="L173" s="68"/>
      <c r="M173" s="68"/>
      <c r="N173" s="68"/>
      <c r="O173" s="68"/>
      <c r="P173" s="66" t="str">
        <f>IF(AG173="","",WORKDAY(AC173-R173-Q173+1,-1,{46329,46349,46384,46385,46386,46387,46388,46391,46398,46429,46441,46468}))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>
        <f>IF(AG174="","",WORKDAY(I174-H174+1,-1,{46329,46349,46384,46385,46386,46387,46388,46391,46398,46429,46441,46468}))</f>
        <v/>
      </c>
      <c r="G174" s="67"/>
      <c r="H174" s="65"/>
      <c r="I174" s="66" t="str">
        <f>IF(AG174="","",WORKDAY(P174-K174+1,-1,{46329,46349,46384,46385,46386,46387,46388,46391,46398,46429,46441,46468}))</f>
        <v/>
      </c>
      <c r="J174" s="67"/>
      <c r="K174" s="65"/>
      <c r="L174" s="68"/>
      <c r="M174" s="68"/>
      <c r="N174" s="68"/>
      <c r="O174" s="68"/>
      <c r="P174" s="66" t="str">
        <f>IF(AG174="","",WORKDAY(AC174-R174-Q174+1,-1,{46329,46349,46384,46385,46386,46387,46388,46391,46398,46429,46441,46468}))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>
        <f>IF(AG175="","",WORKDAY(I175-H175+1,-1,{46329,46349,46384,46385,46386,46387,46388,46391,46398,46429,46441,46468}))</f>
        <v/>
      </c>
      <c r="G175" s="67"/>
      <c r="H175" s="65"/>
      <c r="I175" s="66" t="str">
        <f>IF(AG175="","",WORKDAY(P175-K175+1,-1,{46329,46349,46384,46385,46386,46387,46388,46391,46398,46429,46441,46468}))</f>
        <v/>
      </c>
      <c r="J175" s="67"/>
      <c r="K175" s="65"/>
      <c r="L175" s="68"/>
      <c r="M175" s="68"/>
      <c r="N175" s="68"/>
      <c r="O175" s="68"/>
      <c r="P175" s="66" t="str">
        <f>IF(AG175="","",WORKDAY(AC175-R175-Q175+1,-1,{46329,46349,46384,46385,46386,46387,46388,46391,46398,46429,46441,46468}))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>
        <f>IF(AG176="","",WORKDAY(I176-H176+1,-1,{46329,46349,46384,46385,46386,46387,46388,46391,46398,46429,46441,46468}))</f>
        <v/>
      </c>
      <c r="G176" s="67"/>
      <c r="H176" s="65"/>
      <c r="I176" s="66" t="str">
        <f>IF(AG176="","",WORKDAY(P176-K176+1,-1,{46329,46349,46384,46385,46386,46387,46388,46391,46398,46429,46441,46468}))</f>
        <v/>
      </c>
      <c r="J176" s="67"/>
      <c r="K176" s="65"/>
      <c r="L176" s="68"/>
      <c r="M176" s="68"/>
      <c r="N176" s="68"/>
      <c r="O176" s="68"/>
      <c r="P176" s="66" t="str">
        <f>IF(AG176="","",WORKDAY(AC176-R176-Q176+1,-1,{46329,46349,46384,46385,46386,46387,46388,46391,46398,46429,46441,46468}))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>
        <f>IF(AG177="","",WORKDAY(I177-H177+1,-1,{46329,46349,46384,46385,46386,46387,46388,46391,46398,46429,46441,46468}))</f>
        <v/>
      </c>
      <c r="G177" s="67"/>
      <c r="H177" s="65"/>
      <c r="I177" s="66" t="str">
        <f>IF(AG177="","",WORKDAY(P177-K177+1,-1,{46329,46349,46384,46385,46386,46387,46388,46391,46398,46429,46441,46468}))</f>
        <v/>
      </c>
      <c r="J177" s="67"/>
      <c r="K177" s="65"/>
      <c r="L177" s="68"/>
      <c r="M177" s="68"/>
      <c r="N177" s="68"/>
      <c r="O177" s="68"/>
      <c r="P177" s="66" t="str">
        <f>IF(AG177="","",WORKDAY(AC177-R177-Q177+1,-1,{46329,46349,46384,46385,46386,46387,46388,46391,46398,46429,46441,46468}))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>
        <f>IF(AG178="","",WORKDAY(I178-H178+1,-1,{46329,46349,46384,46385,46386,46387,46388,46391,46398,46429,46441,46468}))</f>
        <v/>
      </c>
      <c r="G178" s="67"/>
      <c r="H178" s="65"/>
      <c r="I178" s="66" t="str">
        <f>IF(AG178="","",WORKDAY(P178-K178+1,-1,{46329,46349,46384,46385,46386,46387,46388,46391,46398,46429,46441,46468}))</f>
        <v/>
      </c>
      <c r="J178" s="67"/>
      <c r="K178" s="65"/>
      <c r="L178" s="68"/>
      <c r="M178" s="68"/>
      <c r="N178" s="68"/>
      <c r="O178" s="68"/>
      <c r="P178" s="66" t="str">
        <f>IF(AG178="","",WORKDAY(AC178-R178-Q178+1,-1,{46329,46349,46384,46385,46386,46387,46388,46391,46398,46429,46441,46468}))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>
        <f>IF(AG179="","",WORKDAY(I179-H179+1,-1,{46329,46349,46384,46385,46386,46387,46388,46391,46398,46429,46441,46468}))</f>
        <v/>
      </c>
      <c r="G179" s="67"/>
      <c r="H179" s="65"/>
      <c r="I179" s="66" t="str">
        <f>IF(AG179="","",WORKDAY(P179-K179+1,-1,{46329,46349,46384,46385,46386,46387,46388,46391,46398,46429,46441,46468}))</f>
        <v/>
      </c>
      <c r="J179" s="67"/>
      <c r="K179" s="65"/>
      <c r="L179" s="68"/>
      <c r="M179" s="68"/>
      <c r="N179" s="68"/>
      <c r="O179" s="68"/>
      <c r="P179" s="66" t="str">
        <f>IF(AG179="","",WORKDAY(AC179-R179-Q179+1,-1,{46329,46349,46384,46385,46386,46387,46388,46391,46398,46429,46441,46468}))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>
        <f>IF(AG180="","",WORKDAY(I180-H180+1,-1,{46329,46349,46384,46385,46386,46387,46388,46391,46398,46429,46441,46468}))</f>
        <v/>
      </c>
      <c r="G180" s="67"/>
      <c r="H180" s="65"/>
      <c r="I180" s="66" t="str">
        <f>IF(AG180="","",WORKDAY(P180-K180+1,-1,{46329,46349,46384,46385,46386,46387,46388,46391,46398,46429,46441,46468}))</f>
        <v/>
      </c>
      <c r="J180" s="67"/>
      <c r="K180" s="65"/>
      <c r="L180" s="68"/>
      <c r="M180" s="68"/>
      <c r="N180" s="68"/>
      <c r="O180" s="68"/>
      <c r="P180" s="66" t="str">
        <f>IF(AG180="","",WORKDAY(AC180-R180-Q180+1,-1,{46329,46349,46384,46385,46386,46387,46388,46391,46398,46429,46441,46468}))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>
        <f>IF(AG181="","",WORKDAY(I181-H181+1,-1,{46329,46349,46384,46385,46386,46387,46388,46391,46398,46429,46441,46468}))</f>
        <v/>
      </c>
      <c r="G181" s="67"/>
      <c r="H181" s="65"/>
      <c r="I181" s="66" t="str">
        <f>IF(AG181="","",WORKDAY(P181-K181+1,-1,{46329,46349,46384,46385,46386,46387,46388,46391,46398,46429,46441,46468}))</f>
        <v/>
      </c>
      <c r="J181" s="67"/>
      <c r="K181" s="65"/>
      <c r="L181" s="68"/>
      <c r="M181" s="68"/>
      <c r="N181" s="68"/>
      <c r="O181" s="68"/>
      <c r="P181" s="66" t="str">
        <f>IF(AG181="","",WORKDAY(AC181-R181-Q181+1,-1,{46329,46349,46384,46385,46386,46387,46388,46391,46398,46429,46441,46468}))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>
        <f>IF(AG182="","",WORKDAY(I182-H182+1,-1,{46329,46349,46384,46385,46386,46387,46388,46391,46398,46429,46441,46468}))</f>
        <v/>
      </c>
      <c r="G182" s="67"/>
      <c r="H182" s="65"/>
      <c r="I182" s="66" t="str">
        <f>IF(AG182="","",WORKDAY(P182-K182+1,-1,{46329,46349,46384,46385,46386,46387,46388,46391,46398,46429,46441,46468}))</f>
        <v/>
      </c>
      <c r="J182" s="67"/>
      <c r="K182" s="65"/>
      <c r="L182" s="68"/>
      <c r="M182" s="68"/>
      <c r="N182" s="68"/>
      <c r="O182" s="68"/>
      <c r="P182" s="66" t="str">
        <f>IF(AG182="","",WORKDAY(AC182-R182-Q182+1,-1,{46329,46349,46384,46385,46386,46387,46388,46391,46398,46429,46441,46468}))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>
        <f>IF(AG183="","",WORKDAY(I183-H183+1,-1,{46329,46349,46384,46385,46386,46387,46388,46391,46398,46429,46441,46468}))</f>
        <v/>
      </c>
      <c r="G183" s="67"/>
      <c r="H183" s="65"/>
      <c r="I183" s="66" t="str">
        <f>IF(AG183="","",WORKDAY(P183-K183+1,-1,{46329,46349,46384,46385,46386,46387,46388,46391,46398,46429,46441,46468}))</f>
        <v/>
      </c>
      <c r="J183" s="67"/>
      <c r="K183" s="65"/>
      <c r="L183" s="68"/>
      <c r="M183" s="68"/>
      <c r="N183" s="68"/>
      <c r="O183" s="68"/>
      <c r="P183" s="66" t="str">
        <f>IF(AG183="","",WORKDAY(AC183-R183-Q183+1,-1,{46329,46349,46384,46385,46386,46387,46388,46391,46398,46429,46441,46468}))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>
        <f>IF(AG184="","",WORKDAY(I184-H184+1,-1,{46329,46349,46384,46385,46386,46387,46388,46391,46398,46429,46441,46468}))</f>
        <v/>
      </c>
      <c r="G184" s="67"/>
      <c r="H184" s="65"/>
      <c r="I184" s="66" t="str">
        <f>IF(AG184="","",WORKDAY(P184-K184+1,-1,{46329,46349,46384,46385,46386,46387,46388,46391,46398,46429,46441,46468}))</f>
        <v/>
      </c>
      <c r="J184" s="67"/>
      <c r="K184" s="65"/>
      <c r="L184" s="68"/>
      <c r="M184" s="68"/>
      <c r="N184" s="68"/>
      <c r="O184" s="68"/>
      <c r="P184" s="66" t="str">
        <f>IF(AG184="","",WORKDAY(AC184-R184-Q184+1,-1,{46329,46349,46384,46385,46386,46387,46388,46391,46398,46429,46441,46468}))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>
        <f>IF(AG185="","",WORKDAY(I185-H185+1,-1,{46329,46349,46384,46385,46386,46387,46388,46391,46398,46429,46441,46468}))</f>
        <v/>
      </c>
      <c r="G185" s="67"/>
      <c r="H185" s="65"/>
      <c r="I185" s="66" t="str">
        <f>IF(AG185="","",WORKDAY(P185-K185+1,-1,{46329,46349,46384,46385,46386,46387,46388,46391,46398,46429,46441,46468}))</f>
        <v/>
      </c>
      <c r="J185" s="67"/>
      <c r="K185" s="65"/>
      <c r="L185" s="68"/>
      <c r="M185" s="68"/>
      <c r="N185" s="68"/>
      <c r="O185" s="68"/>
      <c r="P185" s="66" t="str">
        <f>IF(AG185="","",WORKDAY(AC185-R185-Q185+1,-1,{46329,46349,46384,46385,46386,46387,46388,46391,46398,46429,46441,46468}))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>
        <f>IF(AG186="","",WORKDAY(I186-H186+1,-1,{46329,46349,46384,46385,46386,46387,46388,46391,46398,46429,46441,46468}))</f>
        <v/>
      </c>
      <c r="G186" s="67"/>
      <c r="H186" s="65"/>
      <c r="I186" s="66" t="str">
        <f>IF(AG186="","",WORKDAY(P186-K186+1,-1,{46329,46349,46384,46385,46386,46387,46388,46391,46398,46429,46441,46468}))</f>
        <v/>
      </c>
      <c r="J186" s="67"/>
      <c r="K186" s="65"/>
      <c r="L186" s="68"/>
      <c r="M186" s="68"/>
      <c r="N186" s="68"/>
      <c r="O186" s="68"/>
      <c r="P186" s="66" t="str">
        <f>IF(AG186="","",WORKDAY(AC186-R186-Q186+1,-1,{46329,46349,46384,46385,46386,46387,46388,46391,46398,46429,46441,46468}))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>
        <f>IF(AG187="","",WORKDAY(I187-H187+1,-1,{46329,46349,46384,46385,46386,46387,46388,46391,46398,46429,46441,46468}))</f>
        <v/>
      </c>
      <c r="G187" s="67"/>
      <c r="H187" s="65"/>
      <c r="I187" s="66" t="str">
        <f>IF(AG187="","",WORKDAY(P187-K187+1,-1,{46329,46349,46384,46385,46386,46387,46388,46391,46398,46429,46441,46468}))</f>
        <v/>
      </c>
      <c r="J187" s="67"/>
      <c r="K187" s="65"/>
      <c r="L187" s="68"/>
      <c r="M187" s="68"/>
      <c r="N187" s="68"/>
      <c r="O187" s="68"/>
      <c r="P187" s="66" t="str">
        <f>IF(AG187="","",WORKDAY(AC187-R187-Q187+1,-1,{46329,46349,46384,46385,46386,46387,46388,46391,46398,46429,46441,46468}))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>
        <f>IF(AG188="","",WORKDAY(I188-H188+1,-1,{46329,46349,46384,46385,46386,46387,46388,46391,46398,46429,46441,46468}))</f>
        <v/>
      </c>
      <c r="G188" s="67"/>
      <c r="H188" s="65"/>
      <c r="I188" s="66" t="str">
        <f>IF(AG188="","",WORKDAY(P188-K188+1,-1,{46329,46349,46384,46385,46386,46387,46388,46391,46398,46429,46441,46468}))</f>
        <v/>
      </c>
      <c r="J188" s="67"/>
      <c r="K188" s="65"/>
      <c r="L188" s="68"/>
      <c r="M188" s="68"/>
      <c r="N188" s="68"/>
      <c r="O188" s="68"/>
      <c r="P188" s="66" t="str">
        <f>IF(AG188="","",WORKDAY(AC188-R188-Q188+1,-1,{46329,46349,46384,46385,46386,46387,46388,46391,46398,46429,46441,46468}))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>
        <f>IF(AG189="","",WORKDAY(I189-H189+1,-1,{46329,46349,46384,46385,46386,46387,46388,46391,46398,46429,46441,46468}))</f>
        <v/>
      </c>
      <c r="G189" s="67"/>
      <c r="H189" s="65"/>
      <c r="I189" s="66" t="str">
        <f>IF(AG189="","",WORKDAY(P189-K189+1,-1,{46329,46349,46384,46385,46386,46387,46388,46391,46398,46429,46441,46468}))</f>
        <v/>
      </c>
      <c r="J189" s="67"/>
      <c r="K189" s="65"/>
      <c r="L189" s="68"/>
      <c r="M189" s="68"/>
      <c r="N189" s="68"/>
      <c r="O189" s="68"/>
      <c r="P189" s="66" t="str">
        <f>IF(AG189="","",WORKDAY(AC189-R189-Q189+1,-1,{46329,46349,46384,46385,46386,46387,46388,46391,46398,46429,46441,46468}))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>
        <f>IF(AG190="","",WORKDAY(I190-H190+1,-1,{46329,46349,46384,46385,46386,46387,46388,46391,46398,46429,46441,46468}))</f>
        <v/>
      </c>
      <c r="G190" s="67"/>
      <c r="H190" s="65"/>
      <c r="I190" s="66" t="str">
        <f>IF(AG190="","",WORKDAY(P190-K190+1,-1,{46329,46349,46384,46385,46386,46387,46388,46391,46398,46429,46441,46468}))</f>
        <v/>
      </c>
      <c r="J190" s="67"/>
      <c r="K190" s="65"/>
      <c r="L190" s="68"/>
      <c r="M190" s="68"/>
      <c r="N190" s="68"/>
      <c r="O190" s="68"/>
      <c r="P190" s="66" t="str">
        <f>IF(AG190="","",WORKDAY(AC190-R190-Q190+1,-1,{46329,46349,46384,46385,46386,46387,46388,46391,46398,46429,46441,46468}))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>
        <f>IF(AG191="","",WORKDAY(I191-H191+1,-1,{46329,46349,46384,46385,46386,46387,46388,46391,46398,46429,46441,46468}))</f>
        <v/>
      </c>
      <c r="G191" s="67"/>
      <c r="H191" s="65"/>
      <c r="I191" s="66" t="str">
        <f>IF(AG191="","",WORKDAY(P191-K191+1,-1,{46329,46349,46384,46385,46386,46387,46388,46391,46398,46429,46441,46468}))</f>
        <v/>
      </c>
      <c r="J191" s="67"/>
      <c r="K191" s="65"/>
      <c r="L191" s="68"/>
      <c r="M191" s="68"/>
      <c r="N191" s="68"/>
      <c r="O191" s="68"/>
      <c r="P191" s="66" t="str">
        <f>IF(AG191="","",WORKDAY(AC191-R191-Q191+1,-1,{46329,46349,46384,46385,46386,46387,46388,46391,46398,46429,46441,46468}))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>
        <f>IF(AG192="","",WORKDAY(I192-H192+1,-1,{46329,46349,46384,46385,46386,46387,46388,46391,46398,46429,46441,46468}))</f>
        <v/>
      </c>
      <c r="G192" s="67"/>
      <c r="H192" s="65"/>
      <c r="I192" s="66" t="str">
        <f>IF(AG192="","",WORKDAY(P192-K192+1,-1,{46329,46349,46384,46385,46386,46387,46388,46391,46398,46429,46441,46468}))</f>
        <v/>
      </c>
      <c r="J192" s="67"/>
      <c r="K192" s="65"/>
      <c r="L192" s="68"/>
      <c r="M192" s="68"/>
      <c r="N192" s="68"/>
      <c r="O192" s="68"/>
      <c r="P192" s="66" t="str">
        <f>IF(AG192="","",WORKDAY(AC192-R192-Q192+1,-1,{46329,46349,46384,46385,46386,46387,46388,46391,46398,46429,46441,46468}))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>
        <f>IF(AG193="","",WORKDAY(I193-H193+1,-1,{46329,46349,46384,46385,46386,46387,46388,46391,46398,46429,46441,46468}))</f>
        <v/>
      </c>
      <c r="G193" s="67"/>
      <c r="H193" s="65"/>
      <c r="I193" s="66" t="str">
        <f>IF(AG193="","",WORKDAY(P193-K193+1,-1,{46329,46349,46384,46385,46386,46387,46388,46391,46398,46429,46441,46468}))</f>
        <v/>
      </c>
      <c r="J193" s="67"/>
      <c r="K193" s="65"/>
      <c r="L193" s="68"/>
      <c r="M193" s="68"/>
      <c r="N193" s="68"/>
      <c r="O193" s="68"/>
      <c r="P193" s="66" t="str">
        <f>IF(AG193="","",WORKDAY(AC193-R193-Q193+1,-1,{46329,46349,46384,46385,46386,46387,46388,46391,46398,46429,46441,46468}))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>
        <f>IF(AG194="","",WORKDAY(I194-H194+1,-1,{46329,46349,46384,46385,46386,46387,46388,46391,46398,46429,46441,46468}))</f>
        <v/>
      </c>
      <c r="G194" s="67"/>
      <c r="H194" s="65"/>
      <c r="I194" s="66" t="str">
        <f>IF(AG194="","",WORKDAY(P194-K194+1,-1,{46329,46349,46384,46385,46386,46387,46388,46391,46398,46429,46441,46468}))</f>
        <v/>
      </c>
      <c r="J194" s="67"/>
      <c r="K194" s="65"/>
      <c r="L194" s="68"/>
      <c r="M194" s="68"/>
      <c r="N194" s="68"/>
      <c r="O194" s="68"/>
      <c r="P194" s="66" t="str">
        <f>IF(AG194="","",WORKDAY(AC194-R194-Q194+1,-1,{46329,46349,46384,46385,46386,46387,46388,46391,46398,46429,46441,46468}))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>
        <f>IF(AG195="","",WORKDAY(I195-H195+1,-1,{46329,46349,46384,46385,46386,46387,46388,46391,46398,46429,46441,46468}))</f>
        <v/>
      </c>
      <c r="G195" s="67"/>
      <c r="H195" s="65"/>
      <c r="I195" s="66" t="str">
        <f>IF(AG195="","",WORKDAY(P195-K195+1,-1,{46329,46349,46384,46385,46386,46387,46388,46391,46398,46429,46441,46468}))</f>
        <v/>
      </c>
      <c r="J195" s="67"/>
      <c r="K195" s="65"/>
      <c r="L195" s="68"/>
      <c r="M195" s="68"/>
      <c r="N195" s="68"/>
      <c r="O195" s="68"/>
      <c r="P195" s="66" t="str">
        <f>IF(AG195="","",WORKDAY(AC195-R195-Q195+1,-1,{46329,46349,46384,46385,46386,46387,46388,46391,46398,46429,46441,46468}))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>
        <f>IF(AG196="","",WORKDAY(I196-H196+1,-1,{46329,46349,46384,46385,46386,46387,46388,46391,46398,46429,46441,46468}))</f>
        <v/>
      </c>
      <c r="G196" s="67"/>
      <c r="H196" s="65"/>
      <c r="I196" s="66" t="str">
        <f>IF(AG196="","",WORKDAY(P196-K196+1,-1,{46329,46349,46384,46385,46386,46387,46388,46391,46398,46429,46441,46468}))</f>
        <v/>
      </c>
      <c r="J196" s="67"/>
      <c r="K196" s="65"/>
      <c r="L196" s="68"/>
      <c r="M196" s="68"/>
      <c r="N196" s="68"/>
      <c r="O196" s="68"/>
      <c r="P196" s="66" t="str">
        <f>IF(AG196="","",WORKDAY(AC196-R196-Q196+1,-1,{46329,46349,46384,46385,46386,46387,46388,46391,46398,46429,46441,46468}))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>
        <f>IF(AG197="","",WORKDAY(I197-H197+1,-1,{46329,46349,46384,46385,46386,46387,46388,46391,46398,46429,46441,46468}))</f>
        <v/>
      </c>
      <c r="G197" s="67"/>
      <c r="H197" s="65"/>
      <c r="I197" s="66" t="str">
        <f>IF(AG197="","",WORKDAY(P197-K197+1,-1,{46329,46349,46384,46385,46386,46387,46388,46391,46398,46429,46441,46468}))</f>
        <v/>
      </c>
      <c r="J197" s="67"/>
      <c r="K197" s="65"/>
      <c r="L197" s="68"/>
      <c r="M197" s="68"/>
      <c r="N197" s="68"/>
      <c r="O197" s="68"/>
      <c r="P197" s="66" t="str">
        <f>IF(AG197="","",WORKDAY(AC197-R197-Q197+1,-1,{46329,46349,46384,46385,46386,46387,46388,46391,46398,46429,46441,46468}))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>
        <f>IF(AG198="","",WORKDAY(I198-H198+1,-1,{46329,46349,46384,46385,46386,46387,46388,46391,46398,46429,46441,46468}))</f>
        <v/>
      </c>
      <c r="G198" s="67"/>
      <c r="H198" s="65"/>
      <c r="I198" s="66" t="str">
        <f>IF(AG198="","",WORKDAY(P198-K198+1,-1,{46329,46349,46384,46385,46386,46387,46388,46391,46398,46429,46441,46468}))</f>
        <v/>
      </c>
      <c r="J198" s="67"/>
      <c r="K198" s="65"/>
      <c r="L198" s="68"/>
      <c r="M198" s="68"/>
      <c r="N198" s="68"/>
      <c r="O198" s="68"/>
      <c r="P198" s="66" t="str">
        <f>IF(AG198="","",WORKDAY(AC198-R198-Q198+1,-1,{46329,46349,46384,46385,46386,46387,46388,46391,46398,46429,46441,46468}))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>
        <f>IF(AG199="","",WORKDAY(I199-H199+1,-1,{46329,46349,46384,46385,46386,46387,46388,46391,46398,46429,46441,46468}))</f>
        <v/>
      </c>
      <c r="G199" s="67"/>
      <c r="H199" s="65"/>
      <c r="I199" s="66" t="str">
        <f>IF(AG199="","",WORKDAY(P199-K199+1,-1,{46329,46349,46384,46385,46386,46387,46388,46391,46398,46429,46441,46468}))</f>
        <v/>
      </c>
      <c r="J199" s="67"/>
      <c r="K199" s="65"/>
      <c r="L199" s="68"/>
      <c r="M199" s="68"/>
      <c r="N199" s="68"/>
      <c r="O199" s="68"/>
      <c r="P199" s="66" t="str">
        <f>IF(AG199="","",WORKDAY(AC199-R199-Q199+1,-1,{46329,46349,46384,46385,46386,46387,46388,46391,46398,46429,46441,46468}))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>
        <f>IF(AG200="","",WORKDAY(I200-H200+1,-1,{46329,46349,46384,46385,46386,46387,46388,46391,46398,46429,46441,46468}))</f>
        <v/>
      </c>
      <c r="G200" s="67"/>
      <c r="H200" s="65"/>
      <c r="I200" s="66" t="str">
        <f>IF(AG200="","",WORKDAY(P200-K200+1,-1,{46329,46349,46384,46385,46386,46387,46388,46391,46398,46429,46441,46468}))</f>
        <v/>
      </c>
      <c r="J200" s="67"/>
      <c r="K200" s="65"/>
      <c r="L200" s="68"/>
      <c r="M200" s="68"/>
      <c r="N200" s="68"/>
      <c r="O200" s="68"/>
      <c r="P200" s="66" t="str">
        <f>IF(AG200="","",WORKDAY(AC200-R200-Q200+1,-1,{46329,46349,46384,46385,46386,46387,46388,46391,46398,46429,46441,46468}))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>
        <f>IF(AG201="","",WORKDAY(I201-H201+1,-1,{46329,46349,46384,46385,46386,46387,46388,46391,46398,46429,46441,46468}))</f>
        <v/>
      </c>
      <c r="G201" s="67"/>
      <c r="H201" s="65"/>
      <c r="I201" s="66" t="str">
        <f>IF(AG201="","",WORKDAY(P201-K201+1,-1,{46329,46349,46384,46385,46386,46387,46388,46391,46398,46429,46441,46468}))</f>
        <v/>
      </c>
      <c r="J201" s="67"/>
      <c r="K201" s="65"/>
      <c r="L201" s="68"/>
      <c r="M201" s="68"/>
      <c r="N201" s="68"/>
      <c r="O201" s="68"/>
      <c r="P201" s="66" t="str">
        <f>IF(AG201="","",WORKDAY(AC201-R201-Q201+1,-1,{46329,46349,46384,46385,46386,46387,46388,46391,46398,46429,46441,46468}))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>
        <f>IF(AG202="","",WORKDAY(I202-H202+1,-1,{46329,46349,46384,46385,46386,46387,46388,46391,46398,46429,46441,46468}))</f>
        <v/>
      </c>
      <c r="G202" s="67"/>
      <c r="H202" s="65"/>
      <c r="I202" s="66" t="str">
        <f>IF(AG202="","",WORKDAY(P202-K202+1,-1,{46329,46349,46384,46385,46386,46387,46388,46391,46398,46429,46441,46468}))</f>
        <v/>
      </c>
      <c r="J202" s="67"/>
      <c r="K202" s="65"/>
      <c r="L202" s="68"/>
      <c r="M202" s="68"/>
      <c r="N202" s="68"/>
      <c r="O202" s="68"/>
      <c r="P202" s="66" t="str">
        <f>IF(AG202="","",WORKDAY(AC202-R202-Q202+1,-1,{46329,46349,46384,46385,46386,46387,46388,46391,46398,46429,46441,46468}))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>
        <f>IF(AG203="","",WORKDAY(I203-H203+1,-1,{46329,46349,46384,46385,46386,46387,46388,46391,46398,46429,46441,46468}))</f>
        <v/>
      </c>
      <c r="G203" s="67"/>
      <c r="H203" s="65"/>
      <c r="I203" s="66" t="str">
        <f>IF(AG203="","",WORKDAY(P203-K203+1,-1,{46329,46349,46384,46385,46386,46387,46388,46391,46398,46429,46441,46468}))</f>
        <v/>
      </c>
      <c r="J203" s="67"/>
      <c r="K203" s="65"/>
      <c r="L203" s="68"/>
      <c r="M203" s="68"/>
      <c r="N203" s="68"/>
      <c r="O203" s="68"/>
      <c r="P203" s="66" t="str">
        <f>IF(AG203="","",WORKDAY(AC203-R203-Q203+1,-1,{46329,46349,46384,46385,46386,46387,46388,46391,46398,46429,46441,46468}))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>
        <f>IF(AG204="","",WORKDAY(I204-H204+1,-1,{46329,46349,46384,46385,46386,46387,46388,46391,46398,46429,46441,46468}))</f>
        <v/>
      </c>
      <c r="G204" s="67"/>
      <c r="H204" s="65"/>
      <c r="I204" s="66" t="str">
        <f>IF(AG204="","",WORKDAY(P204-K204+1,-1,{46329,46349,46384,46385,46386,46387,46388,46391,46398,46429,46441,46468}))</f>
        <v/>
      </c>
      <c r="J204" s="67"/>
      <c r="K204" s="65"/>
      <c r="L204" s="68"/>
      <c r="M204" s="68"/>
      <c r="N204" s="68"/>
      <c r="O204" s="68"/>
      <c r="P204" s="66" t="str">
        <f>IF(AG204="","",WORKDAY(AC204-R204-Q204+1,-1,{46329,46349,46384,46385,46386,46387,46388,46391,46398,46429,46441,46468}))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>
        <f>IF(AG205="","",WORKDAY(I205-H205+1,-1,{46329,46349,46384,46385,46386,46387,46388,46391,46398,46429,46441,46468}))</f>
        <v/>
      </c>
      <c r="G205" s="67"/>
      <c r="H205" s="65"/>
      <c r="I205" s="66" t="str">
        <f>IF(AG205="","",WORKDAY(P205-K205+1,-1,{46329,46349,46384,46385,46386,46387,46388,46391,46398,46429,46441,46468}))</f>
        <v/>
      </c>
      <c r="J205" s="67"/>
      <c r="K205" s="65"/>
      <c r="L205" s="68"/>
      <c r="M205" s="68"/>
      <c r="N205" s="68"/>
      <c r="O205" s="68"/>
      <c r="P205" s="66" t="str">
        <f>IF(AG205="","",WORKDAY(AC205-R205-Q205+1,-1,{46329,46349,46384,46385,46386,46387,46388,46391,46398,46429,46441,46468}))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>
        <f>IF(AG206="","",WORKDAY(I206-H206+1,-1,{46329,46349,46384,46385,46386,46387,46388,46391,46398,46429,46441,46468}))</f>
        <v/>
      </c>
      <c r="G206" s="67"/>
      <c r="H206" s="65"/>
      <c r="I206" s="66" t="str">
        <f>IF(AG206="","",WORKDAY(P206-K206+1,-1,{46329,46349,46384,46385,46386,46387,46388,46391,46398,46429,46441,46468}))</f>
        <v/>
      </c>
      <c r="J206" s="67"/>
      <c r="K206" s="65"/>
      <c r="L206" s="68"/>
      <c r="M206" s="68"/>
      <c r="N206" s="68"/>
      <c r="O206" s="68"/>
      <c r="P206" s="66" t="str">
        <f>IF(AG206="","",WORKDAY(AC206-R206-Q206+1,-1,{46329,46349,46384,46385,46386,46387,46388,46391,46398,46429,46441,46468}))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>
        <f>IF(AG207="","",WORKDAY(I207-H207+1,-1,{46329,46349,46384,46385,46386,46387,46388,46391,46398,46429,46441,46468}))</f>
        <v/>
      </c>
      <c r="G207" s="67"/>
      <c r="H207" s="65"/>
      <c r="I207" s="66" t="str">
        <f>IF(AG207="","",WORKDAY(P207-K207+1,-1,{46329,46349,46384,46385,46386,46387,46388,46391,46398,46429,46441,46468}))</f>
        <v/>
      </c>
      <c r="J207" s="67"/>
      <c r="K207" s="65"/>
      <c r="L207" s="68"/>
      <c r="M207" s="68"/>
      <c r="N207" s="68"/>
      <c r="O207" s="68"/>
      <c r="P207" s="66" t="str">
        <f>IF(AG207="","",WORKDAY(AC207-R207-Q207+1,-1,{46329,46349,46384,46385,46386,46387,46388,46391,46398,46429,46441,46468}))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>
        <f>IF(AG208="","",WORKDAY(I208-H208+1,-1,{46329,46349,46384,46385,46386,46387,46388,46391,46398,46429,46441,46468}))</f>
        <v/>
      </c>
      <c r="G208" s="67"/>
      <c r="H208" s="65"/>
      <c r="I208" s="66" t="str">
        <f>IF(AG208="","",WORKDAY(P208-K208+1,-1,{46329,46349,46384,46385,46386,46387,46388,46391,46398,46429,46441,46468}))</f>
        <v/>
      </c>
      <c r="J208" s="67"/>
      <c r="K208" s="65"/>
      <c r="L208" s="68"/>
      <c r="M208" s="68"/>
      <c r="N208" s="68"/>
      <c r="O208" s="68"/>
      <c r="P208" s="66" t="str">
        <f>IF(AG208="","",WORKDAY(AC208-R208-Q208+1,-1,{46329,46349,46384,46385,46386,46387,46388,46391,46398,46429,46441,46468}))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>
        <f>IF(AG209="","",WORKDAY(I209-H209+1,-1,{46329,46349,46384,46385,46386,46387,46388,46391,46398,46429,46441,46468}))</f>
        <v/>
      </c>
      <c r="G209" s="67"/>
      <c r="H209" s="65"/>
      <c r="I209" s="66" t="str">
        <f>IF(AG209="","",WORKDAY(P209-K209+1,-1,{46329,46349,46384,46385,46386,46387,46388,46391,46398,46429,46441,46468}))</f>
        <v/>
      </c>
      <c r="J209" s="67"/>
      <c r="K209" s="65"/>
      <c r="L209" s="68"/>
      <c r="M209" s="68"/>
      <c r="N209" s="68"/>
      <c r="O209" s="68"/>
      <c r="P209" s="66" t="str">
        <f>IF(AG209="","",WORKDAY(AC209-R209-Q209+1,-1,{46329,46349,46384,46385,46386,46387,46388,46391,46398,46429,46441,46468}))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>
        <f>IF(AG210="","",WORKDAY(I210-H210+1,-1,{46329,46349,46384,46385,46386,46387,46388,46391,46398,46429,46441,46468}))</f>
        <v/>
      </c>
      <c r="G210" s="67"/>
      <c r="H210" s="65"/>
      <c r="I210" s="66" t="str">
        <f>IF(AG210="","",WORKDAY(P210-K210+1,-1,{46329,46349,46384,46385,46386,46387,46388,46391,46398,46429,46441,46468}))</f>
        <v/>
      </c>
      <c r="J210" s="67"/>
      <c r="K210" s="65"/>
      <c r="L210" s="68"/>
      <c r="M210" s="68"/>
      <c r="N210" s="68"/>
      <c r="O210" s="68"/>
      <c r="P210" s="66" t="str">
        <f>IF(AG210="","",WORKDAY(AC210-R210-Q210+1,-1,{46329,46349,46384,46385,46386,46387,46388,46391,46398,46429,46441,46468}))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