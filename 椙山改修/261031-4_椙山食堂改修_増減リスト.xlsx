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増減リスト" sheetId="1" state="visible" r:id="rId3"/>
  </sheets>
  <definedNames>
    <definedName function="false" hidden="false" localSheetId="0" name="_xlnm.Print_Titles" vbProcedure="false">増減リスト!$4:$4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<sst xmlns="http://schemas.openxmlformats.org/spreadsheetml/2006/main" count="33" uniqueCount="31">
  <si>
    <t xml:space="preserve">増減リスト</t>
  </si>
  <si>
    <t xml:space="preserve">工事名：椙山女学園 星が丘キャンパス大学会館食堂リニューアル工事（工期 2026/11/9～2027/03/31）</t>
  </si>
  <si>
    <t xml:space="preserve">No.</t>
  </si>
  <si>
    <t xml:space="preserve">項目</t>
  </si>
  <si>
    <t xml:space="preserve">発生元</t>
  </si>
  <si>
    <t xml:space="preserve">発信者</t>
  </si>
  <si>
    <t xml:space="preserve">発生日</t>
  </si>
  <si>
    <t xml:space="preserve">見積提出日</t>
  </si>
  <si>
    <t xml:space="preserve">金額(税抜)</t>
  </si>
  <si>
    <r>
      <rPr>
        <b val="true"/>
        <sz val="9"/>
        <color rgb="FFFF0000"/>
        <rFont val="HG丸ｺﾞｼｯｸM-PRO"/>
        <family val="0"/>
        <charset val="1"/>
      </rPr>
      <t xml:space="preserve">SJ</t>
    </r>
    <r>
      <rPr>
        <b val="true"/>
        <sz val="9"/>
        <color rgb="FFFF0000"/>
        <rFont val="WenQuanYi Zen Hei"/>
        <family val="2"/>
      </rPr>
      <t xml:space="preserve">承認日</t>
    </r>
  </si>
  <si>
    <t xml:space="preserve">状態</t>
  </si>
  <si>
    <t xml:space="preserve">備考</t>
  </si>
  <si>
    <t xml:space="preserve">アスベスト含有建材事前調査（含有建材の対応）</t>
  </si>
  <si>
    <t xml:space="preserve">課題 No.6</t>
  </si>
  <si>
    <t xml:space="preserve">SC</t>
  </si>
  <si>
    <t xml:space="preserve">承認</t>
  </si>
  <si>
    <t xml:space="preserve">・10/8 今回解体範囲の検体採取
・10/16 SCより見積提出
・10/28 SJより社内決裁完了のご連絡有（10/28 承認、小山さん確認）
・内訳書 p7・p8：石綿含有の石膏ボード・がれきの運搬・処分費は契約に含まれる（見積 301,000＋374,000）。石綿の除去作業・含有分析の項目は無し（580,000 は別途）。p3 共通仮設「試験調査」100,000 は内容の記載なし</t>
  </si>
  <si>
    <r>
      <rPr>
        <sz val="9"/>
        <color rgb="FFFF0000"/>
        <rFont val="HG丸ｺﾞｼｯｸM-PRO"/>
        <family val="0"/>
        <charset val="1"/>
      </rPr>
      <t xml:space="preserve">2</t>
    </r>
    <r>
      <rPr>
        <sz val="9"/>
        <color rgb="FFFF0000"/>
        <rFont val="WenQuanYi Zen Hei"/>
        <family val="2"/>
      </rPr>
      <t xml:space="preserve">階プランター撤去</t>
    </r>
  </si>
  <si>
    <t xml:space="preserve">課題 No.13</t>
  </si>
  <si>
    <t xml:space="preserve">不採用</t>
  </si>
  <si>
    <t xml:space="preserve">・10/9 第2回定例 SJより見積を確認してから判断すると回答
・10/31 解決、撤去しない（小山さん確認）
・内訳書 p7：撤去工事「プランターBOX撤去 7か所」50,120 は契約に含まれる（2階プランターと同じものかは要確認）</t>
  </si>
  <si>
    <t xml:space="preserve">既存設備（オペレーター）の対応</t>
  </si>
  <si>
    <t xml:space="preserve">課題 No.19</t>
  </si>
  <si>
    <t xml:space="preserve">見積中</t>
  </si>
  <si>
    <t xml:space="preserve">・課題リストの概算金額：480,000 or 520,000（金額に幅があるため金額欄は空欄。要確認）
・10/30 第7回分科会 復旧費用・複数箇所に分けて動作させる案、撤去案・撤去後の下部設備移設案を説明。費用の内訳・金額は別途確認
・内訳書 p39：金属製建具工事「オペレーター改修」製品代 369,000＋取付運搬費 61,600＝430,600 が契約に含まれる。480,000／520,000 との関係（差額か追加か）は要確認</t>
  </si>
  <si>
    <t xml:space="preserve">承認分　合計（SJ承認済み）</t>
  </si>
  <si>
    <t xml:space="preserve">保留分　合計（見積中・提出済み）</t>
  </si>
  <si>
    <t xml:space="preserve">　うち見積中</t>
  </si>
  <si>
    <t xml:space="preserve">　うち提出済み</t>
  </si>
  <si>
    <t xml:space="preserve">不採用（参考。合計に含まない）</t>
  </si>
  <si>
    <t xml:space="preserve">色分け：緑＝承認、黄＝保留（見積中・提出済み）、グレー＝不採用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</si>
</sst>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/d;@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WenQuanYi Zen Hei"/>
      <family val="2"/>
      <charset val="1"/>
    </font>
    <font>
      <sz val="9"/>
      <color rgb="FFFF0000"/>
      <name val="WenQuanYi Zen Hei"/>
      <family val="2"/>
      <charset val="1"/>
    </font>
    <font>
      <b val="true"/>
      <sz val="9"/>
      <color rgb="FFFF0000"/>
      <name val="HG丸ｺﾞｼｯｸM-PRO"/>
      <family val="0"/>
      <charset val="1"/>
    </font>
    <font>
      <b val="true"/>
      <sz val="9"/>
      <color rgb="FFFF0000"/>
      <name val="WenQuanYi Zen Hei"/>
      <family val="2"/>
      <charset val="1"/>
    </font>
    <font>
      <b val="true"/>
      <sz val="9"/>
      <color rgb="FFFF0000"/>
      <name val="WenQuanYi Zen Hei"/>
      <family val="2"/>
    </font>
    <font>
      <sz val="9"/>
      <color rgb="FFFF0000"/>
      <name val="HG丸ｺﾞｼｯｸM-PRO"/>
      <family val="0"/>
      <charset val="1"/>
    </font>
    <font>
      <sz val="9"/>
      <color rgb="FFFF000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1"/>
    <col collapsed="false" customWidth="true" hidden="false" outlineLevel="0" max="4" min="4" style="1" width="8"/>
    <col collapsed="false" customWidth="true" hidden="false" outlineLevel="0" max="6" min="5" style="1" width="11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4" t="s">
        <v>9</v>
      </c>
      <c r="I4" s="5" t="s">
        <v>10</v>
      </c>
      <c r="J4" s="5" t="s">
        <v>11</v>
      </c>
    </row>
    <row r="5" customFormat="false" ht="66" hidden="false" customHeight="true" outlineLevel="0" collapsed="false">
      <c r="A5" s="6" t="n">
        <v>1</v>
      </c>
      <c r="B5" s="7" t="s">
        <v>12</v>
      </c>
      <c r="C5" s="8" t="s">
        <v>13</v>
      </c>
      <c r="D5" s="6" t="s">
        <v>14</v>
      </c>
      <c r="E5" s="9" t="n">
        <v>46283</v>
      </c>
      <c r="F5" s="9" t="n">
        <v>46311</v>
      </c>
      <c r="G5" s="10" t="n">
        <v>580000</v>
      </c>
      <c r="H5" s="9" t="n">
        <v>46323</v>
      </c>
      <c r="I5" s="8" t="s">
        <v>15</v>
      </c>
      <c r="J5" s="7" t="s">
        <v>16</v>
      </c>
    </row>
    <row r="6" customFormat="false" ht="54" hidden="false" customHeight="true" outlineLevel="0" collapsed="false">
      <c r="A6" s="8" t="n">
        <v>2</v>
      </c>
      <c r="B6" s="11" t="s">
        <v>17</v>
      </c>
      <c r="C6" s="8" t="s">
        <v>18</v>
      </c>
      <c r="D6" s="6" t="s">
        <v>14</v>
      </c>
      <c r="E6" s="9" t="n">
        <v>46297</v>
      </c>
      <c r="F6" s="9"/>
      <c r="G6" s="10" t="n">
        <v>650000</v>
      </c>
      <c r="H6" s="9"/>
      <c r="I6" s="8" t="s">
        <v>19</v>
      </c>
      <c r="J6" s="7" t="s">
        <v>20</v>
      </c>
    </row>
    <row r="7" customFormat="false" ht="54" hidden="false" customHeight="true" outlineLevel="0" collapsed="false">
      <c r="A7" s="8" t="n">
        <v>3</v>
      </c>
      <c r="B7" s="7" t="s">
        <v>21</v>
      </c>
      <c r="C7" s="8" t="s">
        <v>22</v>
      </c>
      <c r="D7" s="6" t="s">
        <v>14</v>
      </c>
      <c r="E7" s="9" t="n">
        <v>46325</v>
      </c>
      <c r="F7" s="9"/>
      <c r="G7" s="10"/>
      <c r="H7" s="9"/>
      <c r="I7" s="8" t="s">
        <v>23</v>
      </c>
      <c r="J7" s="7" t="s">
        <v>24</v>
      </c>
    </row>
    <row r="8" customFormat="false" ht="15" hidden="false" customHeight="tru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</row>
    <row r="9" customFormat="false" ht="15" hidden="false" customHeight="true" outlineLevel="0" collapsed="false">
      <c r="A9" s="13" t="s">
        <v>25</v>
      </c>
      <c r="B9" s="13"/>
      <c r="C9" s="13"/>
      <c r="D9" s="13"/>
      <c r="E9" s="13"/>
      <c r="F9" s="13"/>
      <c r="G9" s="14" t="n">
        <f aca="false">SUMIF($I$5:$I$7,"承認",$G$5:$G$7)</f>
        <v>580000</v>
      </c>
      <c r="H9" s="15"/>
      <c r="I9" s="15"/>
      <c r="J9" s="15"/>
    </row>
    <row r="10" customFormat="false" ht="15" hidden="false" customHeight="true" outlineLevel="0" collapsed="false">
      <c r="A10" s="16" t="s">
        <v>26</v>
      </c>
      <c r="B10" s="16"/>
      <c r="C10" s="16"/>
      <c r="D10" s="16"/>
      <c r="E10" s="16"/>
      <c r="F10" s="16"/>
      <c r="G10" s="17" t="n">
        <f aca="false">SUMIF($I$5:$I$7,"見積中",$G$5:$G$7)+SUMIF($I$5:$I$7,"提出済み",$G$5:$G$7)</f>
        <v>0</v>
      </c>
      <c r="H10" s="18"/>
      <c r="I10" s="18"/>
      <c r="J10" s="18" t="str">
        <f aca="false">"金額未確定の保留 "&amp;(COUNTIFS($I$5:$I$7,"見積中",$G$5:$G$7,"")+COUNTIFS($I$5:$I$7,"提出済み",$G$5:$G$7,""))&amp;" 件は金額に含まない（備考参照）"</f>
        <v>金額未確定の保留 1 件は金額に含まない（備考参照）</v>
      </c>
    </row>
    <row r="11" customFormat="false" ht="15" hidden="false" customHeight="true" outlineLevel="0" collapsed="false">
      <c r="A11" s="19" t="s">
        <v>27</v>
      </c>
      <c r="B11" s="19"/>
      <c r="C11" s="19"/>
      <c r="D11" s="19"/>
      <c r="E11" s="19"/>
      <c r="F11" s="19"/>
      <c r="G11" s="20" t="n">
        <f aca="false">SUMIF($I$5:$I$7,"見積中",$G$5:$G$7)</f>
        <v>0</v>
      </c>
      <c r="H11" s="21"/>
      <c r="I11" s="21"/>
      <c r="J11" s="21"/>
    </row>
    <row r="12" customFormat="false" ht="15" hidden="false" customHeight="true" outlineLevel="0" collapsed="false">
      <c r="A12" s="19" t="s">
        <v>28</v>
      </c>
      <c r="B12" s="19"/>
      <c r="C12" s="19"/>
      <c r="D12" s="19"/>
      <c r="E12" s="19"/>
      <c r="F12" s="19"/>
      <c r="G12" s="20" t="n">
        <f aca="false">SUMIF($I$5:$I$7,"提出済み",$G$5:$G$7)</f>
        <v>0</v>
      </c>
      <c r="H12" s="21"/>
      <c r="I12" s="21"/>
      <c r="J12" s="21"/>
    </row>
    <row r="13" customFormat="false" ht="15" hidden="false" customHeight="true" outlineLevel="0" collapsed="false">
      <c r="A13" s="22" t="s">
        <v>29</v>
      </c>
      <c r="B13" s="22"/>
      <c r="C13" s="22"/>
      <c r="D13" s="22"/>
      <c r="E13" s="22"/>
      <c r="F13" s="22"/>
      <c r="G13" s="23" t="n">
        <f aca="false">SUMIF($I$5:$I$7,"不採用",$G$5:$G$7)</f>
        <v>650000</v>
      </c>
      <c r="H13" s="24"/>
      <c r="I13" s="24"/>
      <c r="J13" s="24"/>
    </row>
    <row r="15" customFormat="false" ht="15" hidden="false" customHeight="true" outlineLevel="0" collapsed="false">
      <c r="A15" s="3" t="s">
        <v>30</v>
      </c>
    </row>
  </sheetData>
  <mergeCells count="5">
    <mergeCell ref="A9:F9"/>
    <mergeCell ref="A10:F10"/>
    <mergeCell ref="A11:F11"/>
    <mergeCell ref="A12:F12"/>
    <mergeCell ref="A13:F13"/>
  </mergeCells>
  <conditionalFormatting sqref="A5:J7">
    <cfRule type="expression" priority="2" aboveAverage="0" equalAverage="0" bottom="0" percent="0" rank="0" text="" dxfId="0">
      <formula>$I5="承認"</formula>
    </cfRule>
    <cfRule type="expression" priority="3" aboveAverage="0" equalAverage="0" bottom="0" percent="0" rank="0" text="" dxfId="1">
      <formula>OR($I5="見積中",$I5="提出済み")</formula>
    </cfRule>
    <cfRule type="expression" priority="4" aboveAverage="0" equalAverage="0" bottom="0" percent="0" rank="0" text="" dxfId="2">
      <formula>$I5="不採用"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2026-10-31T01:36:05Z</dcterms:created>
  <dc:creator>openpyxl</dc:creator>
  <dc:description/>
  <dc:language>en-US</dc:language>
  <cp:lastModifiedBy/>
  <dcterms:modified xsi:type="dcterms:W3CDTF">2026-10-31T12:18:37Z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