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<sst xmlns="http://schemas.openxmlformats.org/spreadsheetml/2006/main" count="416" uniqueCount="286">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</sst>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7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9" fillId="10" borderId="6" xfId="0" applyNumberFormat="1" applyFont="1" applyFill="1" applyBorder="1" applyAlignment="1">
      <alignment horizontal="left" vertical="center" shrinkToFit="1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>
        <v>46318</v>
      </c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0.257142857142857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210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0.742857142857143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11</v>
      </c>
      <c r="BL4" s="28" cm="1" t="str">
        <f t="array" aca="1" ref="BL4" ca="1">BJ4&amp;": "&amp;BK4&amp;"個"</f>
        <v>赤色: 11個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7</v>
      </c>
      <c r="BL5" s="28" cm="1" t="str">
        <f t="array" aca="1" ref="BL5" ca="1">BJ5&amp;": "&amp;BK5&amp;"個"</f>
        <v>黄色: 7個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346" t="s">
        <v>267</v>
      </c>
      <c r="D25" s="72"/>
      <c r="E25" s="71"/>
      <c r="F25" s="70"/>
      <c r="G25" s="67"/>
      <c r="H25" s="65"/>
      <c r="I25" s="68"/>
      <c r="J25" s="67"/>
      <c r="K25" s="65"/>
      <c r="L25" s="68"/>
      <c r="M25" s="68"/>
      <c r="N25" s="68"/>
      <c r="O25" s="68"/>
      <c r="P25" s="68"/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8"/>
      <c r="AE25" s="67"/>
      <c r="AF25" s="83"/>
      <c r="AG25" s="72">
        <v>46372</v>
      </c>
      <c r="AH25" s="71"/>
      <c r="AI25" s="70"/>
      <c r="AJ25" s="68"/>
      <c r="AK25" s="68"/>
      <c r="AL25" s="67"/>
      <c r="AM25" s="72"/>
      <c r="AN25" s="133" t="inlineStr">
        <is>
          <t>電気工事</t>
        </is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346" t="s">
        <v>269</v>
      </c>
      <c r="D26" s="72"/>
      <c r="E26" s="71"/>
      <c r="F26" s="70"/>
      <c r="G26" s="67"/>
      <c r="H26" s="65"/>
      <c r="I26" s="68"/>
      <c r="J26" s="67"/>
      <c r="K26" s="65"/>
      <c r="L26" s="68"/>
      <c r="M26" s="68"/>
      <c r="N26" s="68"/>
      <c r="O26" s="68"/>
      <c r="P26" s="68"/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8"/>
      <c r="AE26" s="67"/>
      <c r="AF26" s="83"/>
      <c r="AG26" s="72">
        <v>46379</v>
      </c>
      <c r="AH26" s="71"/>
      <c r="AI26" s="70"/>
      <c r="AJ26" s="68"/>
      <c r="AK26" s="68"/>
      <c r="AL26" s="67"/>
      <c r="AM26" s="72"/>
      <c r="AN26" s="133" t="inlineStr">
        <is>
          <t>電気工事</t>
        </is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46336</v>
      </c>
      <c r="G28" s="67"/>
      <c r="H28" s="65">
        <v>7</v>
      </c>
      <c r="I28" s="68">
        <f>IF(AG28="","",WORKDAY(P28-K28+1,-1,{46329,46349,46384,46385,46386,46387,46388,46391,46398,46429,46441,46468}))</f>
        <v>46343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46350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46371</v>
      </c>
      <c r="AD28" s="68">
        <f>IF(AG28="","",$AG28-$AF28)</f>
        <v>46371</v>
      </c>
      <c r="AE28" s="67"/>
      <c r="AF28" s="83">
        <v>21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</t>
        </is>
      </c>
      <c r="D36" s="72"/>
      <c r="E36" s="71"/>
      <c r="F36" s="70">
        <f>IF(AG36="","",WORKDAY(I36-H36+1,-1,{46329,46349,46384,46385,46386,46387,46388,46391,46398,46429,46441,46468}))</f>
        <v>46310</v>
      </c>
      <c r="G36" s="67"/>
      <c r="H36" s="65">
        <v>7</v>
      </c>
      <c r="I36" s="68">
        <f>IF(AG36="","",WORKDAY(P36-K36+1,-1,{46329,46349,46384,46385,46386,46387,46388,46391,46398,46429,46441,46468}))</f>
        <v>46317</v>
      </c>
      <c r="J36" s="67"/>
      <c r="K36" s="65">
        <v>7</v>
      </c>
      <c r="L36" s="68"/>
      <c r="M36" s="68"/>
      <c r="N36" s="68"/>
      <c r="O36" s="68"/>
      <c r="P36" s="68">
        <f>IF(AG36="","",WORKDAY(AC36-R36-Q36+1,-1,{46329,46349,46384,46385,46386,46387,46388,46391,46398,46429,46441,46468}))</f>
        <v>46324</v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46345</v>
      </c>
      <c r="AD36" s="68">
        <f>IF(AG36="","",$AG36-$AF36)</f>
        <v>46345</v>
      </c>
      <c r="AE36" s="67"/>
      <c r="AF36" s="83">
        <v>60</v>
      </c>
      <c r="AG36" s="72">
        <v>46405</v>
      </c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46286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46293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46300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46314</v>
      </c>
      <c r="AD39" s="68" cm="1">
        <f t="array" ref="AD39">IF(AG39="","",$AG39-$AF39)</f>
        <v>46314</v>
      </c>
      <c r="AE39" s="67"/>
      <c r="AF39" s="83">
        <v>80</v>
      </c>
      <c r="AG39" s="72">
        <v>46394</v>
      </c>
      <c r="AH39" s="71"/>
      <c r="AI39" s="70"/>
      <c r="AJ39" s="68"/>
      <c r="AK39" s="68"/>
      <c r="AL39" s="67"/>
      <c r="AM39" s="72"/>
      <c r="AN39" s="84" t="s">
        <v>112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46366</v>
      </c>
      <c r="G44" s="67"/>
      <c r="H44" s="65">
        <v>7</v>
      </c>
      <c r="I44" s="68">
        <f>IF(AG44="","",WORKDAY(P44-K44+1,-1,{46329,46349,46384,46385,46386,46387,46388,46391,46398,46429,46441,46468}))</f>
        <v>46373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46380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46401</v>
      </c>
      <c r="AD44" s="68" cm="1">
        <f t="array" ref="AD44">IF(AG44="","",$AG44-$AF44)</f>
        <v>46401</v>
      </c>
      <c r="AE44" s="67"/>
      <c r="AF44" s="83">
        <v>14</v>
      </c>
      <c r="AG44" s="72">
        <v>46415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84" t="s">
        <v>116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46345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46352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46359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46380</v>
      </c>
      <c r="AD54" s="68" cm="1">
        <f t="array" ref="AD54">IF(AG54="","",$AG54-$AF54)</f>
        <v>46380</v>
      </c>
      <c r="AE54" s="67"/>
      <c r="AF54" s="83">
        <v>60</v>
      </c>
      <c r="AG54" s="72">
        <v>46440</v>
      </c>
      <c r="AH54" s="71"/>
      <c r="AI54" s="70"/>
      <c r="AJ54" s="68"/>
      <c r="AK54" s="68"/>
      <c r="AL54" s="67"/>
      <c r="AM54" s="72"/>
      <c r="AN54" s="75" t="s">
        <v>127</v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