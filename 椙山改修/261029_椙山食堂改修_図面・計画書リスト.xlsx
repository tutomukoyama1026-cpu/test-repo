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<sst xmlns="http://schemas.openxmlformats.org/spreadsheetml/2006/main" count="416" uniqueCount="286">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</sst>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0.253086419753086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162</v>
      </c>
      <c r="BI3" s="40" cm="1">
        <f t="array" ref="BI3">COUNTA($G$10:$G$210)+COUNTA($J$10:$J$210)+COUNTA($L$10:$L$210)+COUNTA($M$10:$M$210)+COUNTA($S$10:$S$210)+COUNTA($T$10:$T$210)</f>
        <v>41</v>
      </c>
      <c r="BJ3" s="30" t="s">
        <v>23</v>
      </c>
      <c r="BK3" s="32" cm="1">
        <f t="array" ref="BK3">1-BK2</f>
        <v>0.746913580246914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cm="1" t="str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>
        <v>46321</v>
      </c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>
        <v>46324</v>
      </c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>
        <v>46318</v>
      </c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>
        <v>46318</v>
      </c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114</v>
      </c>
      <c r="C40" s="24" t="s">
        <v>115</v>
      </c>
      <c r="D40" s="72"/>
      <c r="E40" s="71"/>
      <c r="F40" s="70" cm="1">
        <f t="array" ref="F40">IF(AG40="","",I40-H40)</f>
        <v>46280</v>
      </c>
      <c r="G40" s="67">
        <v>46300</v>
      </c>
      <c r="H40" s="65">
        <v>7</v>
      </c>
      <c r="I40" s="68" cm="1">
        <f t="array" ref="I40">IF(AG40="","",P40-K40)</f>
        <v>46287</v>
      </c>
      <c r="J40" s="67">
        <v>46302</v>
      </c>
      <c r="K40" s="65">
        <v>7</v>
      </c>
      <c r="L40" s="68">
        <v>46302</v>
      </c>
      <c r="M40" s="68">
        <v>46309</v>
      </c>
      <c r="N40" s="68"/>
      <c r="O40" s="68"/>
      <c r="P40" s="68" cm="1">
        <f t="array" ref="P40">IF(AG40="","",AC40-R40-Q40)</f>
        <v>46294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46315</v>
      </c>
      <c r="AD40" s="68" cm="1">
        <f t="array" ref="AD40">IF(AG40="","",$AG40-$AF40)</f>
        <v>46315</v>
      </c>
      <c r="AE40" s="67"/>
      <c r="AF40" s="83">
        <v>90</v>
      </c>
      <c r="AG40" s="72">
        <v>46405</v>
      </c>
      <c r="AH40" s="71"/>
      <c r="AI40" s="70"/>
      <c r="AJ40" s="68"/>
      <c r="AK40" s="68"/>
      <c r="AL40" s="67"/>
      <c r="AM40" s="72"/>
      <c r="AN40" s="84" t="s">
        <v>116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117</v>
      </c>
      <c r="C41" s="18" t="s">
        <v>118</v>
      </c>
      <c r="D41" s="72"/>
      <c r="E41" s="71"/>
      <c r="F41" s="70" cm="1">
        <f t="array" ref="F41">IF(AG41="","",I41-H41)</f>
        <v>46325</v>
      </c>
      <c r="G41" s="67"/>
      <c r="H41" s="65">
        <v>7</v>
      </c>
      <c r="I41" s="68" cm="1">
        <f t="array" ref="I41">IF(AG41="","",P41-K41)</f>
        <v>46332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46339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46360</v>
      </c>
      <c r="AD41" s="68" cm="1">
        <f t="array" ref="AD41">IF(AG41="","",$AG41-$AF41)</f>
        <v>46362</v>
      </c>
      <c r="AE41" s="67"/>
      <c r="AF41" s="83">
        <v>30</v>
      </c>
      <c r="AG41" s="72">
        <v>46392</v>
      </c>
      <c r="AH41" s="71"/>
      <c r="AI41" s="70"/>
      <c r="AJ41" s="68"/>
      <c r="AK41" s="68"/>
      <c r="AL41" s="67"/>
      <c r="AM41" s="72"/>
      <c r="AN41" s="75" t="s">
        <v>277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120</v>
      </c>
      <c r="C42" s="18" t="s">
        <v>121</v>
      </c>
      <c r="D42" s="72"/>
      <c r="E42" s="71"/>
      <c r="F42" s="70" cm="1">
        <f t="array" ref="F42">IF(AG42="","",I42-H42)</f>
        <v>46358</v>
      </c>
      <c r="G42" s="67"/>
      <c r="H42" s="65">
        <v>7</v>
      </c>
      <c r="I42" s="68" cm="1">
        <f t="array" ref="I42">IF(AG42="","",P42-K42)</f>
        <v>46365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46372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46393</v>
      </c>
      <c r="AD42" s="68" cm="1">
        <f t="array" ref="AD42">IF(AG42="","",$AG42-$AF42)</f>
        <v>46393</v>
      </c>
      <c r="AE42" s="67"/>
      <c r="AF42" s="83">
        <v>30</v>
      </c>
      <c r="AG42" s="72">
        <v>46423</v>
      </c>
      <c r="AH42" s="71"/>
      <c r="AI42" s="70"/>
      <c r="AJ42" s="68"/>
      <c r="AK42" s="68"/>
      <c r="AL42" s="67"/>
      <c r="AM42" s="72"/>
      <c r="AN42" s="75" t="s">
        <v>119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s">
        <v>122</v>
      </c>
      <c r="C43" s="18" t="s">
        <v>123</v>
      </c>
      <c r="D43" s="72"/>
      <c r="E43" s="71"/>
      <c r="F43" s="70" cm="1">
        <f t="array" ref="F43">IF(AG43="","",I43-H43)</f>
        <v>46346</v>
      </c>
      <c r="G43" s="67"/>
      <c r="H43" s="65">
        <v>7</v>
      </c>
      <c r="I43" s="68" cm="1">
        <f t="array" ref="I43">IF(AG43="","",P43-K43)</f>
        <v>46353</v>
      </c>
      <c r="J43" s="67"/>
      <c r="K43" s="65">
        <v>7</v>
      </c>
      <c r="L43" s="68"/>
      <c r="M43" s="68"/>
      <c r="N43" s="68"/>
      <c r="O43" s="68"/>
      <c r="P43" s="68" cm="1">
        <f t="array" ref="P43">IF(AG43="","",AC43-R43-Q43)</f>
        <v>46360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46381</v>
      </c>
      <c r="AD43" s="68" cm="1">
        <f t="array" ref="AD43">IF(AG43="","",$AG43-$AF43)</f>
        <v>46389</v>
      </c>
      <c r="AE43" s="67"/>
      <c r="AF43" s="83">
        <v>30</v>
      </c>
      <c r="AG43" s="72">
        <v>46419</v>
      </c>
      <c r="AH43" s="71"/>
      <c r="AI43" s="70"/>
      <c r="AJ43" s="68"/>
      <c r="AK43" s="68"/>
      <c r="AL43" s="67"/>
      <c r="AM43" s="72"/>
      <c r="AN43" s="75" t="s">
        <v>279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9"/>
      <c r="D44" s="72"/>
      <c r="E44" s="71"/>
      <c r="F44" s="82" cm="1" t="str">
        <f t="array" ref="F44">IF(AG44="","",I44-H44)</f>
        <v/>
      </c>
      <c r="G44" s="67"/>
      <c r="H44" s="65"/>
      <c r="I44" s="66" cm="1" t="str">
        <f t="array" ref="I44">IF(AG44="","",P44-K44)</f>
        <v/>
      </c>
      <c r="J44" s="67"/>
      <c r="K44" s="65"/>
      <c r="L44" s="68"/>
      <c r="M44" s="68"/>
      <c r="N44" s="68"/>
      <c r="O44" s="68"/>
      <c r="P44" s="66" cm="1" t="str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cm="1" t="str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9"/>
      <c r="C45" s="18" t="s">
        <v>124</v>
      </c>
      <c r="D45" s="72"/>
      <c r="E45" s="71"/>
      <c r="F45" s="82" cm="1" t="str">
        <f t="array" ref="F45">IF(AG45="","",I45-H45)</f>
        <v/>
      </c>
      <c r="G45" s="67"/>
      <c r="H45" s="65"/>
      <c r="I45" s="66" cm="1" t="str">
        <f t="array" ref="I45">IF(AG45="","",P45-K45)</f>
        <v/>
      </c>
      <c r="J45" s="67"/>
      <c r="K45" s="65"/>
      <c r="L45" s="68"/>
      <c r="M45" s="68"/>
      <c r="N45" s="68"/>
      <c r="O45" s="68"/>
      <c r="P45" s="66" cm="1" t="str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6" cm="1" t="str">
        <f t="array" ref="AD45">IF(AG45="","",$AG45-$AF45)</f>
        <v/>
      </c>
      <c r="AE45" s="67"/>
      <c r="AF45" s="83"/>
      <c r="AG45" s="72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s">
        <v>125</v>
      </c>
      <c r="C46" s="18" t="s">
        <v>126</v>
      </c>
      <c r="D46" s="72"/>
      <c r="E46" s="71"/>
      <c r="F46" s="70" cm="1">
        <f t="array" ref="F46">IF(AG46="","",I46-H46)</f>
        <v>46345</v>
      </c>
      <c r="G46" s="67">
        <v>46276</v>
      </c>
      <c r="H46" s="65">
        <v>7</v>
      </c>
      <c r="I46" s="68" cm="1">
        <f t="array" ref="I46">IF(AG46="","",P46-K46)</f>
        <v>46352</v>
      </c>
      <c r="J46" s="67">
        <v>46291</v>
      </c>
      <c r="K46" s="65">
        <v>7</v>
      </c>
      <c r="L46" s="68"/>
      <c r="M46" s="68"/>
      <c r="N46" s="68"/>
      <c r="O46" s="68"/>
      <c r="P46" s="68" cm="1">
        <f t="array" ref="P46">IF(AG46="","",AC46-R46-Q46)</f>
        <v>46359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46380</v>
      </c>
      <c r="AD46" s="68" cm="1">
        <f t="array" ref="AD46">IF(AG46="","",$AG46-$AF46)</f>
        <v>46380</v>
      </c>
      <c r="AE46" s="67"/>
      <c r="AF46" s="83">
        <v>60</v>
      </c>
      <c r="AG46" s="72">
        <v>46440</v>
      </c>
      <c r="AH46" s="71"/>
      <c r="AI46" s="70"/>
      <c r="AJ46" s="68"/>
      <c r="AK46" s="68"/>
      <c r="AL46" s="67"/>
      <c r="AM46" s="72"/>
      <c r="AN46" s="75" t="s">
        <v>127</v>
      </c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9"/>
      <c r="D47" s="72"/>
      <c r="E47" s="71"/>
      <c r="F47" s="82" cm="1" t="str">
        <f t="array" ref="F47">IF(AG47="","",I47-H47)</f>
        <v/>
      </c>
      <c r="G47" s="67"/>
      <c r="H47" s="65"/>
      <c r="I47" s="66" cm="1" t="str">
        <f t="array" ref="I47">IF(AG47="","",P47-K47)</f>
        <v/>
      </c>
      <c r="J47" s="67"/>
      <c r="K47" s="65"/>
      <c r="L47" s="68"/>
      <c r="M47" s="68"/>
      <c r="N47" s="68"/>
      <c r="O47" s="68"/>
      <c r="P47" s="66" cm="1" t="str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cm="1" t="str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9"/>
      <c r="C48" s="18" t="s">
        <v>128</v>
      </c>
      <c r="D48" s="72"/>
      <c r="E48" s="71"/>
      <c r="F48" s="82" cm="1" t="str">
        <f t="array" ref="F48">IF(AG48="","",I48-H48)</f>
        <v/>
      </c>
      <c r="G48" s="67"/>
      <c r="H48" s="65"/>
      <c r="I48" s="66" cm="1" t="str">
        <f t="array" ref="I48">IF(AG48="","",P48-K48)</f>
        <v/>
      </c>
      <c r="J48" s="67"/>
      <c r="K48" s="65"/>
      <c r="L48" s="68"/>
      <c r="M48" s="68"/>
      <c r="N48" s="68"/>
      <c r="O48" s="68"/>
      <c r="P48" s="66" cm="1" t="str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6" cm="1" t="str">
        <f t="array" ref="AD48">IF(AG48="","",$AG48-$AF48)</f>
        <v/>
      </c>
      <c r="AE48" s="67"/>
      <c r="AF48" s="83"/>
      <c r="AG48" s="72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s">
        <v>129</v>
      </c>
      <c r="C49" s="18" t="s">
        <v>130</v>
      </c>
      <c r="D49" s="72"/>
      <c r="E49" s="71"/>
      <c r="F49" s="70" cm="1">
        <f t="array" ref="F49">IF(AG49="","",I49-H49)</f>
        <v>46381</v>
      </c>
      <c r="G49" s="67">
        <v>46297</v>
      </c>
      <c r="H49" s="65">
        <v>7</v>
      </c>
      <c r="I49" s="68" cm="1">
        <f t="array" ref="I49">IF(AG49="","",P49-K49)</f>
        <v>46388</v>
      </c>
      <c r="J49" s="67">
        <v>46302</v>
      </c>
      <c r="K49" s="65">
        <v>7</v>
      </c>
      <c r="L49" s="68">
        <v>46302</v>
      </c>
      <c r="M49" s="68"/>
      <c r="N49" s="68"/>
      <c r="O49" s="68"/>
      <c r="P49" s="68" cm="1">
        <f t="array" ref="P49">IF(AG49="","",AC49-R49-Q49)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46416</v>
      </c>
      <c r="AD49" s="68" cm="1">
        <f t="array" ref="AD49">IF(AG49="","",$AG49-$AF49)</f>
        <v>46417</v>
      </c>
      <c r="AE49" s="67"/>
      <c r="AF49" s="83">
        <v>30</v>
      </c>
      <c r="AG49" s="72">
        <v>46447</v>
      </c>
      <c r="AH49" s="71"/>
      <c r="AI49" s="70"/>
      <c r="AJ49" s="68"/>
      <c r="AK49" s="68"/>
      <c r="AL49" s="67"/>
      <c r="AM49" s="72"/>
      <c r="AN49" s="75" t="s">
        <v>119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131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132</v>
      </c>
      <c r="C52" s="18" t="s">
        <v>133</v>
      </c>
      <c r="D52" s="72"/>
      <c r="E52" s="71"/>
      <c r="F52" s="70" cm="1">
        <f t="array" ref="F52">IF(AG52="","",I52-H52)</f>
        <v>46395</v>
      </c>
      <c r="G52" s="67"/>
      <c r="H52" s="65">
        <v>7</v>
      </c>
      <c r="I52" s="68" cm="1">
        <f t="array" ref="I52">IF(AG52="","",P52-K52)</f>
        <v>46402</v>
      </c>
      <c r="J52" s="67"/>
      <c r="K52" s="65">
        <v>7</v>
      </c>
      <c r="L52" s="68"/>
      <c r="M52" s="68"/>
      <c r="N52" s="68"/>
      <c r="O52" s="68"/>
      <c r="P52" s="68" cm="1">
        <f t="array" ref="P52">IF(AG52="","",AC52-R52-Q52)</f>
        <v>46409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46430</v>
      </c>
      <c r="AD52" s="68" cm="1">
        <f t="array" ref="AD52">IF(AG52="","",$AG52-$AF52)</f>
        <v>46432</v>
      </c>
      <c r="AE52" s="67"/>
      <c r="AF52" s="83">
        <v>30</v>
      </c>
      <c r="AG52" s="72">
        <v>46462</v>
      </c>
      <c r="AH52" s="71"/>
      <c r="AI52" s="70"/>
      <c r="AJ52" s="68"/>
      <c r="AK52" s="68"/>
      <c r="AL52" s="67"/>
      <c r="AM52" s="72"/>
      <c r="AN52" s="75" t="s">
        <v>134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cm="1" t="str">
        <f t="array" ref="F55">IF(AG55="","",I55-H55)</f>
        <v/>
      </c>
      <c r="G55" s="67"/>
      <c r="H55" s="65"/>
      <c r="I55" s="66" cm="1" t="str">
        <f t="array" ref="I55">IF(AG55="","",P55-K55)</f>
        <v/>
      </c>
      <c r="J55" s="67"/>
      <c r="K55" s="65"/>
      <c r="L55" s="68"/>
      <c r="M55" s="68"/>
      <c r="N55" s="68"/>
      <c r="O55" s="68"/>
      <c r="P55" s="66" cm="1" t="str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cm="1" t="str">
        <f t="array" ref="F58">IF(AG58="","",I58-H58)</f>
        <v/>
      </c>
      <c r="G58" s="67"/>
      <c r="H58" s="65"/>
      <c r="I58" s="66" cm="1" t="str">
        <f t="array" ref="I58">IF(AG58="","",P58-K58)</f>
        <v/>
      </c>
      <c r="J58" s="67"/>
      <c r="K58" s="65"/>
      <c r="L58" s="68"/>
      <c r="M58" s="68"/>
      <c r="N58" s="68"/>
      <c r="O58" s="68"/>
      <c r="P58" s="66" cm="1" t="str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