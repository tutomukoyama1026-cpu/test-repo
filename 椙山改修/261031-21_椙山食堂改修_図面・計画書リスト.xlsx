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<sst xmlns="http://schemas.openxmlformats.org/spreadsheetml/2006/main" count="416" uniqueCount="286">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</sst>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  <xf numFmtId="49" fontId="19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6</v>
      </c>
      <c r="BL5" s="28" cm="1" t="str">
        <f t="array" aca="1" ref="BL5" ca="1">BJ5&amp;": "&amp;BK5&amp;"個"</f>
        <v>黄色: 6個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IF(AD7="","",H7-G7)</f>
        <v/>
      </c>
      <c r="G7" s="104"/>
      <c r="H7" s="103" cm="1" t="str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46344</v>
      </c>
      <c r="G11" s="114">
        <v>7</v>
      </c>
      <c r="H11" s="106" cm="1">
        <f t="array" ref="H11">IF($AD11="","",$AA11-$J11-$P11-$O11)</f>
        <v>46351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46379</v>
      </c>
      <c r="AB11" s="107"/>
      <c r="AC11" s="118">
        <v>14</v>
      </c>
      <c r="AD11" s="102">
        <v>46393</v>
      </c>
      <c r="AE11" s="347" t="inlineStr">
        <is>
          <t>0918質疑対応とする⇒設計図に記載有り。とりあえず作成する、工程変更 1/6</t>
        </is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46329</v>
      </c>
      <c r="G19" s="114">
        <v>7</v>
      </c>
      <c r="H19" s="106" cm="1">
        <f t="array" ref="H19">IF($AD19="","",$AA19-$J19-$P19-$O19)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46301</v>
      </c>
      <c r="G21" s="114">
        <v>7</v>
      </c>
      <c r="H21" s="106" cm="1">
        <f t="array" ref="H21">IF($AD21="","",$AA21-$J21-$P21-$O21)</f>
        <v>46308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46336</v>
      </c>
      <c r="AB21" s="107"/>
      <c r="AC21" s="118">
        <v>14</v>
      </c>
      <c r="AD21" s="102">
        <v>46350</v>
      </c>
      <c r="AE21" s="135" t="inlineStr">
        <is>
          <t>工程変更 11/24</t>
        </is>
      </c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IF($AD23="","",$H23-$G23)</f>
        <v/>
      </c>
      <c r="G23" s="104"/>
      <c r="H23" s="103" cm="1" t="str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IF($AD24="","",$H24-$G24)</f>
        <v/>
      </c>
      <c r="G24" s="104"/>
      <c r="H24" s="103" cm="1" t="str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IF($AD25="","",$H25-$G25)</f>
        <v/>
      </c>
      <c r="G25" s="104"/>
      <c r="H25" s="103" cm="1" t="str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IF($AD26="","",$H26-$G26)</f>
        <v/>
      </c>
      <c r="G26" s="104"/>
      <c r="H26" s="103" cm="1" t="str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IF($AD27="","",$H27-$G27)</f>
        <v/>
      </c>
      <c r="G27" s="104"/>
      <c r="H27" s="103" cm="1" t="str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IF($AD28="","",$H28-$G28)</f>
        <v/>
      </c>
      <c r="G28" s="104"/>
      <c r="H28" s="103" cm="1" t="str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IF($AD29="","",$H29-$G29)</f>
        <v/>
      </c>
      <c r="G29" s="104"/>
      <c r="H29" s="103" cm="1" t="str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IF($AD30="","",$H30-$G30)</f>
        <v/>
      </c>
      <c r="G30" s="104"/>
      <c r="H30" s="103" cm="1" t="str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IF($AD31="","",$H31-$G31)</f>
        <v/>
      </c>
      <c r="G31" s="104"/>
      <c r="H31" s="103" cm="1" t="str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IF($AD32="","",$H32-$G32)</f>
        <v/>
      </c>
      <c r="G32" s="104"/>
      <c r="H32" s="103" cm="1" t="str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IF($AD33="","",$H33-$G33)</f>
        <v/>
      </c>
      <c r="G33" s="104"/>
      <c r="H33" s="103" cm="1" t="str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IF($AD34="","",$H34-$G34)</f>
        <v/>
      </c>
      <c r="G34" s="104"/>
      <c r="H34" s="103" cm="1" t="str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IF($AD35="","",$H35-$G35)</f>
        <v/>
      </c>
      <c r="G35" s="104"/>
      <c r="H35" s="103" cm="1" t="str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IF($AD36="","",$H36-$G36)</f>
        <v/>
      </c>
      <c r="G36" s="104"/>
      <c r="H36" s="103" cm="1" t="str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IF($AD37="","",$H37-$G37)</f>
        <v/>
      </c>
      <c r="G37" s="104"/>
      <c r="H37" s="103" cm="1" t="str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IF($AD38="","",$H38-$G38)</f>
        <v/>
      </c>
      <c r="G38" s="104"/>
      <c r="H38" s="103" cm="1" t="str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IF($AD39="","",$H39-$G39)</f>
        <v/>
      </c>
      <c r="G39" s="104"/>
      <c r="H39" s="103" cm="1" t="str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IF($AD40="","",$H40-$G40)</f>
        <v/>
      </c>
      <c r="G40" s="104"/>
      <c r="H40" s="103" cm="1" t="str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IF($AD41="","",$H41-$G41)</f>
        <v/>
      </c>
      <c r="G41" s="104"/>
      <c r="H41" s="103" cm="1" t="str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IF($AD42="","",$H42-$G42)</f>
        <v/>
      </c>
      <c r="G42" s="104"/>
      <c r="H42" s="103" cm="1" t="str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IF($AD43="","",$H43-$G43)</f>
        <v/>
      </c>
      <c r="G43" s="104"/>
      <c r="H43" s="103" cm="1" t="str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IF($AD44="","",$H44-$G44)</f>
        <v/>
      </c>
      <c r="G44" s="104"/>
      <c r="H44" s="103" cm="1" t="str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IF($AD45="","",$H45-$G45)</f>
        <v/>
      </c>
      <c r="G45" s="104"/>
      <c r="H45" s="103" cm="1" t="str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IF($AD46="","",$H46-$G46)</f>
        <v/>
      </c>
      <c r="G46" s="104"/>
      <c r="H46" s="103" cm="1" t="str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IF($AD47="","",$H47-$G47)</f>
        <v/>
      </c>
      <c r="G47" s="104"/>
      <c r="H47" s="103" cm="1" t="str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IF($AD48="","",$H48-$G48)</f>
        <v/>
      </c>
      <c r="G48" s="104"/>
      <c r="H48" s="103" cm="1" t="str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IF($AD49="","",$H49-$G49)</f>
        <v/>
      </c>
      <c r="G49" s="104"/>
      <c r="H49" s="103" cm="1" t="str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IF($AD50="","",$H50-$G50)</f>
        <v/>
      </c>
      <c r="G50" s="104"/>
      <c r="H50" s="103" cm="1" t="str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IF($AD51="","",$H51-$G51)</f>
        <v/>
      </c>
      <c r="G51" s="104"/>
      <c r="H51" s="103" cm="1" t="str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IF($AD52="","",$H52-$G52)</f>
        <v/>
      </c>
      <c r="G52" s="104"/>
      <c r="H52" s="103" cm="1" t="str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IF($AD53="","",$H53-$G53)</f>
        <v/>
      </c>
      <c r="G53" s="104"/>
      <c r="H53" s="103" cm="1" t="str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IF($AD54="","",$H54-$G54)</f>
        <v/>
      </c>
      <c r="G54" s="104"/>
      <c r="H54" s="103" cm="1" t="str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IF($AD55="","",$H55-$G55)</f>
        <v/>
      </c>
      <c r="G55" s="104"/>
      <c r="H55" s="103" cm="1" t="str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IF($AD56="","",$H56-$G56)</f>
        <v/>
      </c>
      <c r="G56" s="104"/>
      <c r="H56" s="103" cm="1" t="str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IF($AD57="","",$H57-$G57)</f>
        <v/>
      </c>
      <c r="G57" s="104"/>
      <c r="H57" s="103" cm="1" t="str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IF($AD58="","",$H58-$G58)</f>
        <v/>
      </c>
      <c r="G58" s="104"/>
      <c r="H58" s="103" cm="1" t="str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IF($AD59="","",$H59-$G59)</f>
        <v/>
      </c>
      <c r="G59" s="104"/>
      <c r="H59" s="103" cm="1" t="str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IF($AD60="","",$H60-$G60)</f>
        <v/>
      </c>
      <c r="G60" s="104"/>
      <c r="H60" s="103" cm="1" t="str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IF($AD61="","",$H61-$G61)</f>
        <v/>
      </c>
      <c r="G61" s="104"/>
      <c r="H61" s="103" cm="1" t="str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IF($AD62="","",$H62-$G62)</f>
        <v/>
      </c>
      <c r="G62" s="104"/>
      <c r="H62" s="103" cm="1" t="str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IF($AD63="","",$H63-$G63)</f>
        <v/>
      </c>
      <c r="G63" s="104"/>
      <c r="H63" s="103" cm="1" t="str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IF($AD64="","",$H64-$G64)</f>
        <v/>
      </c>
      <c r="G64" s="104"/>
      <c r="H64" s="103" cm="1" t="str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IF($AD65="","",$H65-$G65)</f>
        <v/>
      </c>
      <c r="G65" s="104"/>
      <c r="H65" s="103" cm="1" t="str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IF($AD66="","",$H66-$G66)</f>
        <v/>
      </c>
      <c r="G66" s="104"/>
      <c r="H66" s="103" cm="1" t="str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IF($AD67="","",$H67-$G67)</f>
        <v/>
      </c>
      <c r="G67" s="104"/>
      <c r="H67" s="103" cm="1" t="str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IF($AD68="","",$H68-$G68)</f>
        <v/>
      </c>
      <c r="G68" s="104"/>
      <c r="H68" s="103" cm="1" t="str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IF($AD69="","",$H69-$G69)</f>
        <v/>
      </c>
      <c r="G69" s="104"/>
      <c r="H69" s="103" cm="1" t="str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IF($AD70="","",$H70-$G70)</f>
        <v/>
      </c>
      <c r="G70" s="104"/>
      <c r="H70" s="103" cm="1" t="str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IF($AD71="","",$H71-$G71)</f>
        <v/>
      </c>
      <c r="G71" s="104"/>
      <c r="H71" s="103" cm="1" t="str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IF($AD72="","",$H72-$G72)</f>
        <v/>
      </c>
      <c r="G72" s="104"/>
      <c r="H72" s="103" cm="1" t="str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IF($AD73="","",$H73-$G73)</f>
        <v/>
      </c>
      <c r="G73" s="104"/>
      <c r="H73" s="103" cm="1" t="str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IF($AD74="","",$H74-$G74)</f>
        <v/>
      </c>
      <c r="G74" s="104"/>
      <c r="H74" s="103" cm="1" t="str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IF($AD75="","",$H75-$G75)</f>
        <v/>
      </c>
      <c r="G75" s="104"/>
      <c r="H75" s="103" cm="1" t="str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IF($AD76="","",$H76-$G76)</f>
        <v/>
      </c>
      <c r="G76" s="104"/>
      <c r="H76" s="103" cm="1" t="str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IF($AD77="","",$H77-$G77)</f>
        <v/>
      </c>
      <c r="G77" s="104"/>
      <c r="H77" s="103" cm="1" t="str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IF($AD78="","",$H78-$G78)</f>
        <v/>
      </c>
      <c r="G78" s="104"/>
      <c r="H78" s="103" cm="1" t="str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IF($AD79="","",$H79-$G79)</f>
        <v/>
      </c>
      <c r="G79" s="104"/>
      <c r="H79" s="103" cm="1" t="str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IF($AD80="","",$H80-$G80)</f>
        <v/>
      </c>
      <c r="G80" s="104"/>
      <c r="H80" s="103" cm="1" t="str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IF($AD81="","",$H81-$G81)</f>
        <v/>
      </c>
      <c r="G81" s="104"/>
      <c r="H81" s="103" cm="1" t="str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IF($AD82="","",$H82-$G82)</f>
        <v/>
      </c>
      <c r="G82" s="104"/>
      <c r="H82" s="103" cm="1" t="str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IF($AD83="","",$H83-$G83)</f>
        <v/>
      </c>
      <c r="G83" s="104"/>
      <c r="H83" s="103" cm="1" t="str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IF($AD84="","",$H84-$G84)</f>
        <v/>
      </c>
      <c r="G84" s="104"/>
      <c r="H84" s="103" cm="1" t="str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IF($AD85="","",$H85-$G85)</f>
        <v/>
      </c>
      <c r="G85" s="104"/>
      <c r="H85" s="103" cm="1" t="str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IF($AD86="","",$H86-$G86)</f>
        <v/>
      </c>
      <c r="G86" s="104"/>
      <c r="H86" s="103" cm="1" t="str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IF($AD87="","",$H87-$G87)</f>
        <v/>
      </c>
      <c r="G87" s="104"/>
      <c r="H87" s="103" cm="1" t="str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IF($AD88="","",$H88-$G88)</f>
        <v/>
      </c>
      <c r="G88" s="104"/>
      <c r="H88" s="103" cm="1" t="str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IF($AD89="","",$H89-$G89)</f>
        <v/>
      </c>
      <c r="G89" s="104"/>
      <c r="H89" s="103" cm="1" t="str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IF($AD90="","",$H90-$G90)</f>
        <v/>
      </c>
      <c r="G90" s="104"/>
      <c r="H90" s="103" cm="1" t="str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IF($AD91="","",$H91-$G91)</f>
        <v/>
      </c>
      <c r="G91" s="104"/>
      <c r="H91" s="103" cm="1" t="str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IF($AD92="","",$H92-$G92)</f>
        <v/>
      </c>
      <c r="G92" s="104"/>
      <c r="H92" s="103" cm="1" t="str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IF($AD93="","",$H93-$G93)</f>
        <v/>
      </c>
      <c r="G93" s="104"/>
      <c r="H93" s="103" cm="1" t="str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IF($AD94="","",$H94-$G94)</f>
        <v/>
      </c>
      <c r="G94" s="104"/>
      <c r="H94" s="103" cm="1" t="str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IF($AD95="","",$H95-$G95)</f>
        <v/>
      </c>
      <c r="G95" s="104"/>
      <c r="H95" s="103" cm="1" t="str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IF($AD96="","",$H96-$G96)</f>
        <v/>
      </c>
      <c r="G96" s="104"/>
      <c r="H96" s="103" cm="1" t="str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IF($AD97="","",$H97-$G97)</f>
        <v/>
      </c>
      <c r="G97" s="104"/>
      <c r="H97" s="103" cm="1" t="str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IF($AD98="","",$H98-$G98)</f>
        <v/>
      </c>
      <c r="G98" s="104"/>
      <c r="H98" s="103" cm="1" t="str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IF($AD99="","",$H99-$G99)</f>
        <v/>
      </c>
      <c r="G99" s="104"/>
      <c r="H99" s="103" cm="1" t="str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IF($AD100="","",$H100-$G100)</f>
        <v/>
      </c>
      <c r="G100" s="104"/>
      <c r="H100" s="103" cm="1" t="str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IF($AD101="","",$H101-$G101)</f>
        <v/>
      </c>
      <c r="G101" s="104"/>
      <c r="H101" s="103" cm="1" t="str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IF($AD102="","",$H102-$G102)</f>
        <v/>
      </c>
      <c r="G102" s="104"/>
      <c r="H102" s="103" cm="1" t="str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IF($AD103="","",$H103-$G103)</f>
        <v/>
      </c>
      <c r="G103" s="104"/>
      <c r="H103" s="103" cm="1" t="str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IF($AD104="","",$H104-$G104)</f>
        <v/>
      </c>
      <c r="G104" s="104"/>
      <c r="H104" s="103" cm="1" t="str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IF($AD105="","",$H105-$G105)</f>
        <v/>
      </c>
      <c r="G105" s="104"/>
      <c r="H105" s="103" cm="1" t="str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IF($AD106="","",$H106-$G106)</f>
        <v/>
      </c>
      <c r="G106" s="104"/>
      <c r="H106" s="103" cm="1" t="str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IF($AD107="","",$H107-$G107)</f>
        <v/>
      </c>
      <c r="G107" s="104"/>
      <c r="H107" s="103" cm="1" t="str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IF($AD108="","",$H108-$G108)</f>
        <v/>
      </c>
      <c r="G108" s="104"/>
      <c r="H108" s="103" cm="1" t="str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IF($AD109="","",$H109-$G109)</f>
        <v/>
      </c>
      <c r="G109" s="104"/>
      <c r="H109" s="103" cm="1" t="str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IF($AD110="","",$H110-$G110)</f>
        <v/>
      </c>
      <c r="G110" s="104"/>
      <c r="H110" s="103" cm="1" t="str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IF($AD111="","",$H111-$G111)</f>
        <v/>
      </c>
      <c r="G111" s="104"/>
      <c r="H111" s="103" cm="1" t="str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IF($AD112="","",$H112-$G112)</f>
        <v/>
      </c>
      <c r="G112" s="104"/>
      <c r="H112" s="103" cm="1" t="str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IF($AD113="","",$H113-$G113)</f>
        <v/>
      </c>
      <c r="G113" s="104"/>
      <c r="H113" s="103" cm="1" t="str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IF($AD114="","",$H114-$G114)</f>
        <v/>
      </c>
      <c r="G114" s="104"/>
      <c r="H114" s="103" cm="1" t="str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IF($AD115="","",$H115-$G115)</f>
        <v/>
      </c>
      <c r="G115" s="104"/>
      <c r="H115" s="103" cm="1" t="str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IF($AD116="","",$H116-$G116)</f>
        <v/>
      </c>
      <c r="G116" s="104"/>
      <c r="H116" s="103" cm="1" t="str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IF($AD117="","",$H117-$G117)</f>
        <v/>
      </c>
      <c r="G117" s="104"/>
      <c r="H117" s="103" cm="1" t="str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IF($AD118="","",$H118-$G118)</f>
        <v/>
      </c>
      <c r="G118" s="104"/>
      <c r="H118" s="103" cm="1" t="str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IF($AD119="","",$H119-$G119)</f>
        <v/>
      </c>
      <c r="G119" s="104"/>
      <c r="H119" s="103" cm="1" t="str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IF($AD120="","",$H120-$G120)</f>
        <v/>
      </c>
      <c r="G120" s="104"/>
      <c r="H120" s="103" cm="1" t="str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IF($AD121="","",$H121-$G121)</f>
        <v/>
      </c>
      <c r="G121" s="104"/>
      <c r="H121" s="103" cm="1" t="str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IF($AD122="","",$H122-$G122)</f>
        <v/>
      </c>
      <c r="G122" s="104"/>
      <c r="H122" s="103" cm="1" t="str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IF($AD123="","",$H123-$G123)</f>
        <v/>
      </c>
      <c r="G123" s="104"/>
      <c r="H123" s="103" cm="1" t="str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IF($AD124="","",$H124-$G124)</f>
        <v/>
      </c>
      <c r="G124" s="104"/>
      <c r="H124" s="103" cm="1" t="str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IF($AD125="","",$H125-$G125)</f>
        <v/>
      </c>
      <c r="G125" s="104"/>
      <c r="H125" s="103" cm="1" t="str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IF($AD126="","",$H126-$G126)</f>
        <v/>
      </c>
      <c r="G126" s="104"/>
      <c r="H126" s="103" cm="1" t="str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IF($AD127="","",$H127-$G127)</f>
        <v/>
      </c>
      <c r="G127" s="104"/>
      <c r="H127" s="103" cm="1" t="str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IF($AD128="","",$H128-$G128)</f>
        <v/>
      </c>
      <c r="G128" s="104"/>
      <c r="H128" s="103" cm="1" t="str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IF($AD129="","",$H129-$G129)</f>
        <v/>
      </c>
      <c r="G129" s="104"/>
      <c r="H129" s="103" cm="1" t="str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IF($AD130="","",$H130-$G130)</f>
        <v/>
      </c>
      <c r="G130" s="104"/>
      <c r="H130" s="103" cm="1" t="str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IF($AD131="","",$H131-$G131)</f>
        <v/>
      </c>
      <c r="G131" s="104"/>
      <c r="H131" s="103" cm="1" t="str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IF($AD132="","",$H132-$G132)</f>
        <v/>
      </c>
      <c r="G132" s="104"/>
      <c r="H132" s="103" cm="1" t="str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IF($AD133="","",$H133-$G133)</f>
        <v/>
      </c>
      <c r="G133" s="104"/>
      <c r="H133" s="103" cm="1" t="str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IF($AD134="","",$H134-$G134)</f>
        <v/>
      </c>
      <c r="G134" s="104"/>
      <c r="H134" s="103" cm="1" t="str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IF($AD135="","",$H135-$G135)</f>
        <v/>
      </c>
      <c r="G135" s="104"/>
      <c r="H135" s="103" cm="1" t="str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IF($AD136="","",$H136-$G136)</f>
        <v/>
      </c>
      <c r="G136" s="104"/>
      <c r="H136" s="103" cm="1" t="str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IF($AD137="","",$H137-$G137)</f>
        <v/>
      </c>
      <c r="G137" s="104"/>
      <c r="H137" s="103" cm="1" t="str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IF($AD138="","",$H138-$G138)</f>
        <v/>
      </c>
      <c r="G138" s="104"/>
      <c r="H138" s="103" cm="1" t="str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IF($AD139="","",$H139-$G139)</f>
        <v/>
      </c>
      <c r="G139" s="104"/>
      <c r="H139" s="103" cm="1" t="str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IF($AD140="","",$H140-$G140)</f>
        <v/>
      </c>
      <c r="G140" s="104"/>
      <c r="H140" s="103" cm="1" t="str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