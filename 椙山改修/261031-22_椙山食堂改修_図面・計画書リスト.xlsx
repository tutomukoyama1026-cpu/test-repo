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utom\会社用\20_椙山改修\"/>
    </mc:Choice>
  </mc:AlternateContent>
  <xr:revisionPtr revIDLastSave="0" documentId="8_{816E0B80-7F4C-4B7D-BF6F-E3A402A7E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①施工図リスト" sheetId="1" r:id="rId1"/>
    <sheet name="②製作図リスト" sheetId="2" r:id="rId2"/>
    <sheet name="③計画書要領書リスト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0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PDSから生技に提出日。
【トリガー】生技の初回メール受信
</t>
        </r>
      </text>
    </comment>
    <comment ref="J4" authorId="0" shapeId="0" xr:uid="{00000000-0006-0000-00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0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000-000004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受領３以降：同様
</t>
        </r>
      </text>
    </comment>
    <comment ref="AE4" authorId="0" shapeId="0" xr:uid="{00000000-0006-0000-00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0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000-000007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0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0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U5" authorId="0" shapeId="0" xr:uid="{00000000-0006-0000-0000-00000A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受領の２回目
受領１の返却以降、提出する時使用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1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業者から生技に提出日。
【トリガー】生技の初回メール受信
</t>
        </r>
      </text>
    </comment>
    <comment ref="J4" authorId="0" shapeId="0" xr:uid="{00000000-0006-0000-01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1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100-000004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E4" authorId="0" shapeId="0" xr:uid="{00000000-0006-0000-01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1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100-000007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S5" authorId="0" shapeId="0" xr:uid="{00000000-0006-0000-01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100-000009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U5" authorId="0" shapeId="0" xr:uid="{00000000-0006-0000-0100-00000A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00000000-0006-0000-0200-000001000000}">
      <text>
        <r>
          <rPr>
            <sz val="11"/>
            <color indexed="8"/>
            <rFont val="ヒラギノ角ゴ ProN W3"/>
            <family val="3"/>
            <charset val="128"/>
          </rPr>
          <t>作成者:
業者から生技に提出日。
【トリガー】生技の初回メール受信</t>
        </r>
      </text>
    </comment>
    <comment ref="I4" authorId="0" shapeId="0" xr:uid="{00000000-0006-0000-02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S4" authorId="0" shapeId="0" xr:uid="{00000000-0006-0000-0200-000003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B4" authorId="0" shapeId="0" xr:uid="{00000000-0006-0000-0200-000004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Q5" authorId="0" shapeId="0" xr:uid="{00000000-0006-0000-0200-000005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R5" authorId="0" shapeId="0" xr:uid="{00000000-0006-0000-02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200-000007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  <comment ref="K6" authorId="0" shapeId="0" xr:uid="{00000000-0006-0000-02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L6" authorId="0" shapeId="0" xr:uid="{00000000-0006-0000-02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<sst xmlns="http://schemas.openxmlformats.org/spreadsheetml/2006/main" count="416" uniqueCount="286">
  <si>
    <t>現場／統括：、現場責任者：金子主任、主任：、担当：</t>
  </si>
  <si>
    <t>統責者</t>
  </si>
  <si>
    <t>生産技術統括部 生産推進G</t>
  </si>
  <si>
    <t>工事名：</t>
  </si>
  <si>
    <t>椙山女学園　星が丘キャンパス大学会館食堂リニューアル工事</t>
  </si>
  <si>
    <t>備考メモ</t>
  </si>
  <si>
    <t>完了</t>
  </si>
  <si>
    <t>工期：2026/11/9～2027/03/31</t>
  </si>
  <si>
    <t>PDS</t>
  </si>
  <si>
    <t>生推G</t>
  </si>
  <si>
    <t>監理者図面回覧</t>
  </si>
  <si>
    <t>決定図</t>
  </si>
  <si>
    <t>製作期間</t>
  </si>
  <si>
    <t>施工予定</t>
  </si>
  <si>
    <t>作図業者等</t>
  </si>
  <si>
    <t>決定後変更図</t>
  </si>
  <si>
    <t>図面終了確認日</t>
  </si>
  <si>
    <t>　　　　　　　　　　備　考</t>
  </si>
  <si>
    <t>推進G受領日
業者から↑</t>
  </si>
  <si>
    <t>現場へ提出日
生技が打２↑</t>
  </si>
  <si>
    <t>現場へ提出日
生技が受領図↑</t>
  </si>
  <si>
    <t>受領図２</t>
  </si>
  <si>
    <t>受領図３</t>
  </si>
  <si>
    <t>未完了</t>
  </si>
  <si>
    <t>通し番号</t>
  </si>
  <si>
    <t>整　理
番　号</t>
  </si>
  <si>
    <t>敷地：m2</t>
  </si>
  <si>
    <t>外注予定日</t>
  </si>
  <si>
    <t>検図期間</t>
  </si>
  <si>
    <t>出図予定日</t>
  </si>
  <si>
    <t>受 図　日</t>
  </si>
  <si>
    <t>提出予定日</t>
  </si>
  <si>
    <t>提 出 日</t>
  </si>
  <si>
    <t>監理者確認期間</t>
  </si>
  <si>
    <t>打合</t>
  </si>
  <si>
    <t>打合2</t>
  </si>
  <si>
    <t>完了予定日</t>
  </si>
  <si>
    <t>修正検図期間</t>
  </si>
  <si>
    <t>受領1</t>
  </si>
  <si>
    <t>受領2</t>
  </si>
  <si>
    <t>受領3</t>
  </si>
  <si>
    <t>受領4</t>
  </si>
  <si>
    <t>受領5</t>
  </si>
  <si>
    <t>予　定　日</t>
  </si>
  <si>
    <t>決定限界日</t>
  </si>
  <si>
    <t>決 定 日</t>
  </si>
  <si>
    <t>赤色</t>
  </si>
  <si>
    <t>建面：m2</t>
  </si>
  <si>
    <t>提　出</t>
  </si>
  <si>
    <t>返　却</t>
  </si>
  <si>
    <t>提出</t>
  </si>
  <si>
    <t>返却</t>
  </si>
  <si>
    <t>黄色</t>
  </si>
  <si>
    <t>改修面積：675m2</t>
  </si>
  <si>
    <t>構造：RC造</t>
  </si>
  <si>
    <t>設計者：日建設計</t>
  </si>
  <si>
    <t>図　　面　　名　　称</t>
  </si>
  <si>
    <t>【躯体図】</t>
  </si>
  <si>
    <t>躯体-1</t>
  </si>
  <si>
    <t>１階・２階床伏図(1/50)</t>
  </si>
  <si>
    <t>2D作図</t>
  </si>
  <si>
    <t>１階SSD-1部分、２階ルーバー取り合い</t>
  </si>
  <si>
    <t>【仕上図】</t>
  </si>
  <si>
    <t>仕上-1</t>
  </si>
  <si>
    <t>１階平面詳細図(1/50)</t>
  </si>
  <si>
    <t>２D作図</t>
  </si>
  <si>
    <t>仕上-2</t>
  </si>
  <si>
    <t>１階天井伏図(1/50)</t>
  </si>
  <si>
    <t>仕上-3</t>
  </si>
  <si>
    <t>食堂展開図(1/50)</t>
  </si>
  <si>
    <t>仕上-4</t>
  </si>
  <si>
    <t>仕上-5</t>
  </si>
  <si>
    <t>食堂床タイル割付図(1/50)</t>
  </si>
  <si>
    <t>既存タイル割実測必要</t>
  </si>
  <si>
    <t>作図
手配</t>
  </si>
  <si>
    <t>現場記入</t>
  </si>
  <si>
    <t>業者作成</t>
  </si>
  <si>
    <t>備　　考</t>
  </si>
  <si>
    <t>手配実施日</t>
  </si>
  <si>
    <t>業者決定
予定日</t>
  </si>
  <si>
    <t>受　図　日</t>
  </si>
  <si>
    <t>受領１</t>
  </si>
  <si>
    <t>受領２</t>
  </si>
  <si>
    <t>受領３</t>
  </si>
  <si>
    <t>受領４</t>
  </si>
  <si>
    <t>受領５</t>
  </si>
  <si>
    <t>金属工事（三友建材）</t>
  </si>
  <si>
    <t>西側　ボックス席腰壁下地鉄骨</t>
  </si>
  <si>
    <t>製作２週間</t>
  </si>
  <si>
    <t>西側　壁アルミルーバー（天井裏下地込み）</t>
  </si>
  <si>
    <t>製作２か月、9/30初回作図</t>
  </si>
  <si>
    <t>東側　吹抜け部天井下地鉄骨</t>
  </si>
  <si>
    <t>三友-4</t>
  </si>
  <si>
    <t>東側　吸音ルーバー壁下地鉄骨</t>
  </si>
  <si>
    <t>東側　腰壁下地鉄骨</t>
  </si>
  <si>
    <t>製作３週間</t>
  </si>
  <si>
    <t>金建工事（三和シャッター）</t>
  </si>
  <si>
    <t>三和-1</t>
  </si>
  <si>
    <t>木製パネル張ハンガードア</t>
  </si>
  <si>
    <t>３か所（中央ホール側）、製作２か月</t>
  </si>
  <si>
    <t>三和-2</t>
  </si>
  <si>
    <t>スチール製ガラリ扉更新（既設そのまま）</t>
  </si>
  <si>
    <t>SG-1（西側）製作２か月</t>
  </si>
  <si>
    <t>三和-3</t>
  </si>
  <si>
    <t>アルミ自動ドア</t>
  </si>
  <si>
    <t>AD1（中央ホール側）製作２か月</t>
  </si>
  <si>
    <t>三和-4</t>
  </si>
  <si>
    <t>（オペレータ改修）</t>
  </si>
  <si>
    <t>9月調査、10月～手配・修理・交換</t>
  </si>
  <si>
    <t>金建工事（三和タジマ）</t>
  </si>
  <si>
    <t>タジマ-1</t>
  </si>
  <si>
    <t>ステンレス製建具</t>
  </si>
  <si>
    <t>SSD1（東デッキ側）製作２か月+塗装20日</t>
  </si>
  <si>
    <t>家具工事（ミディック）</t>
  </si>
  <si>
    <t>MIDIC-1</t>
  </si>
  <si>
    <t>天井・壁_吸音ルーバー（ヒガノ）</t>
  </si>
  <si>
    <t>製作３か月、9/18～作図</t>
  </si>
  <si>
    <t>MIDIC-2</t>
  </si>
  <si>
    <t>ハンガードアパネル</t>
  </si>
  <si>
    <t>製作１か月</t>
  </si>
  <si>
    <t>MIDIC-3</t>
  </si>
  <si>
    <t>ボックス席家具</t>
  </si>
  <si>
    <t>MIDIC-4</t>
  </si>
  <si>
    <t>その他ポストフォームなど</t>
  </si>
  <si>
    <t>鋼製床工事（中部フローリング）</t>
  </si>
  <si>
    <t>中部-1</t>
  </si>
  <si>
    <t>鋼製床</t>
  </si>
  <si>
    <t>製作２か月</t>
  </si>
  <si>
    <t>サイン工事（アイセイ社）</t>
  </si>
  <si>
    <t>アイセイ-1</t>
  </si>
  <si>
    <t>サイン</t>
  </si>
  <si>
    <t>【作図保留】</t>
  </si>
  <si>
    <t>立川-1</t>
  </si>
  <si>
    <t>ロールスクリーン</t>
  </si>
  <si>
    <t>４分割 or 5分割</t>
  </si>
  <si>
    <t>通し
番号</t>
  </si>
  <si>
    <t>整理番号</t>
  </si>
  <si>
    <t>図　面　名　称</t>
  </si>
  <si>
    <t>協力業者</t>
  </si>
  <si>
    <t>推進G受領受領日</t>
  </si>
  <si>
    <t>推進G受領予定日</t>
  </si>
  <si>
    <t>推進G確認期間</t>
  </si>
  <si>
    <t>現場提出予定日</t>
  </si>
  <si>
    <t>現場提出日</t>
  </si>
  <si>
    <t>監理者チェック版
提出日</t>
  </si>
  <si>
    <t>修正期間</t>
  </si>
  <si>
    <t>受領図
提出日</t>
  </si>
  <si>
    <t>監理者承認予定日</t>
  </si>
  <si>
    <t>監理者承認日</t>
  </si>
  <si>
    <t>現場施工予定日</t>
  </si>
  <si>
    <t>備考</t>
  </si>
  <si>
    <t>受領図２
提出日</t>
  </si>
  <si>
    <t>受領図３
提出日</t>
  </si>
  <si>
    <t>1回目</t>
  </si>
  <si>
    <t>2回目</t>
  </si>
  <si>
    <t>計-1</t>
  </si>
  <si>
    <t>総合施工計画書</t>
  </si>
  <si>
    <t>仮設・搬入計画等</t>
  </si>
  <si>
    <t>計-2</t>
  </si>
  <si>
    <t>コンクリート配合計画書</t>
  </si>
  <si>
    <t>TCトレーディング</t>
  </si>
  <si>
    <t>小口工事、不要</t>
  </si>
  <si>
    <t>計-3</t>
  </si>
  <si>
    <t>コンクリート工事施工計画書</t>
  </si>
  <si>
    <t>アン・シティ</t>
  </si>
  <si>
    <t>計-4</t>
  </si>
  <si>
    <t>あと施工アンカー工事施工計画書</t>
  </si>
  <si>
    <t>0918質疑対応とする⇒設計図に記載有り。とりあえず作成する</t>
  </si>
  <si>
    <t>計-5</t>
  </si>
  <si>
    <t>シーリング工事施工計画書</t>
  </si>
  <si>
    <t>アジケン</t>
  </si>
  <si>
    <t>計-6</t>
  </si>
  <si>
    <t>タイル工事施工計画書</t>
  </si>
  <si>
    <t>協和建材</t>
  </si>
  <si>
    <t>計-7</t>
  </si>
  <si>
    <t>金属工事施工計画書</t>
  </si>
  <si>
    <t>三友建材</t>
  </si>
  <si>
    <t>計-8</t>
  </si>
  <si>
    <t>鋼製建具工事（AD・SG）</t>
  </si>
  <si>
    <t>三和シャッター</t>
  </si>
  <si>
    <t>計-9</t>
  </si>
  <si>
    <t>鋼製建具工事（SSD）</t>
  </si>
  <si>
    <t>三和タジマ</t>
  </si>
  <si>
    <t>計-10</t>
  </si>
  <si>
    <t>造作家具工事施工計画書</t>
  </si>
  <si>
    <t>ミディック</t>
  </si>
  <si>
    <t>計-11</t>
  </si>
  <si>
    <t>ガラス工事施工計画書</t>
  </si>
  <si>
    <t>計-12</t>
  </si>
  <si>
    <t>左官工事施工計画書</t>
  </si>
  <si>
    <t>浪花組</t>
  </si>
  <si>
    <t>計-13</t>
  </si>
  <si>
    <t>塗装工事施工計画書</t>
  </si>
  <si>
    <t>中部岩佐</t>
  </si>
  <si>
    <t>計-14</t>
  </si>
  <si>
    <t>内装工事（LGS･ボード工事）施工計画書</t>
  </si>
  <si>
    <t>ミルックス</t>
  </si>
  <si>
    <t>計-15</t>
  </si>
  <si>
    <t>鋼製床工事施工計画書</t>
  </si>
  <si>
    <t>中部フローリング</t>
  </si>
  <si>
    <t>【 報告書 】</t>
  </si>
  <si>
    <t>報-1</t>
  </si>
  <si>
    <t>石綿含有建材事前調査結果報告書</t>
  </si>
  <si>
    <t>報-2</t>
  </si>
  <si>
    <t>化学物質の濃度測定</t>
  </si>
  <si>
    <t>引渡し前</t>
  </si>
  <si>
    <t>【 仕　上 】</t>
  </si>
  <si>
    <t>屋根工事施工計画書</t>
  </si>
  <si>
    <t>外壁工事施工計画書</t>
  </si>
  <si>
    <t>防水工事施工計画書</t>
  </si>
  <si>
    <t>断熱工事施工計画書</t>
  </si>
  <si>
    <t>建具工事施工要領書</t>
  </si>
  <si>
    <t>【 報告書（計画書）・計算書 】</t>
  </si>
  <si>
    <t>平板載荷試験報告書</t>
  </si>
  <si>
    <t>室内配合試験報告書</t>
  </si>
  <si>
    <t>貫通部補強計算書</t>
  </si>
  <si>
    <t>屋根耐風圧計算書</t>
  </si>
  <si>
    <t>排水雨量計算書</t>
  </si>
  <si>
    <t>ガラス熱割れ検討書</t>
  </si>
  <si>
    <t>ガラス耐風圧計算書</t>
  </si>
  <si>
    <t>天井下地強度計算書</t>
  </si>
  <si>
    <t>シーリング接着性試験報告書</t>
  </si>
  <si>
    <t>遮音性能試験報告書</t>
  </si>
  <si>
    <t>環境測定試験報告書</t>
  </si>
  <si>
    <t>外壁風圧計算書</t>
  </si>
  <si>
    <t>外壁サイン強度計算書</t>
  </si>
  <si>
    <t>【 地　業 】</t>
  </si>
  <si>
    <t>土工事施工計画書</t>
  </si>
  <si>
    <t>杭頭補強筋工事施工計画書</t>
  </si>
  <si>
    <t>【 躯　体 】</t>
  </si>
  <si>
    <t>免震装置製作要領書</t>
  </si>
  <si>
    <t>PC鋼線工事施工計画書</t>
  </si>
  <si>
    <t>PCa工事施工計画書</t>
  </si>
  <si>
    <t>スパンクリート工事施工計画書</t>
  </si>
  <si>
    <t>鉄筋圧接部検査要領書</t>
  </si>
  <si>
    <t>CFT工事施工計画書</t>
  </si>
  <si>
    <t>デッキ･スタッド工事施工計画書</t>
  </si>
  <si>
    <t>鉄骨階段製作要領書</t>
  </si>
  <si>
    <t>免震工事施工計画書</t>
  </si>
  <si>
    <t>タイル張り工事施工計画書</t>
  </si>
  <si>
    <t>石張り工事施工計画書</t>
  </si>
  <si>
    <t>防蝕工事施工計画書</t>
  </si>
  <si>
    <t>塗床工事施工計画書</t>
  </si>
  <si>
    <t>フェロコン含む</t>
  </si>
  <si>
    <t>【その他 】</t>
  </si>
  <si>
    <t>昇降機施工計画書</t>
  </si>
  <si>
    <t>西側　1階食堂床見切り</t>
  </si>
  <si>
    <t>三友-7</t>
  </si>
  <si>
    <t>三友-8</t>
  </si>
  <si>
    <t>三友-9</t>
  </si>
  <si>
    <t>三友-10</t>
  </si>
  <si>
    <t>東側　吸音ルーバー壁⑤通り部天端塞ぎ</t>
  </si>
  <si>
    <t>三友-11</t>
  </si>
  <si>
    <t>三友-12</t>
  </si>
  <si>
    <t>東側・西側　窓際カウンター下地</t>
  </si>
  <si>
    <t>三友-13</t>
  </si>
  <si>
    <t>東側　壁見切り</t>
  </si>
  <si>
    <t>三友-14</t>
  </si>
  <si>
    <t>東側　自動扉安全柵</t>
  </si>
  <si>
    <t>三友-15</t>
  </si>
  <si>
    <t>三友-16</t>
  </si>
  <si>
    <t>西側　ステンレスカウンター</t>
  </si>
  <si>
    <t>三友-18</t>
  </si>
  <si>
    <t>チャンバーボックス</t>
  </si>
  <si>
    <t>三友-19</t>
  </si>
  <si>
    <t>チャンバーボックス　グレーチング蓋</t>
  </si>
  <si>
    <t>三友-20</t>
  </si>
  <si>
    <t>東側　照明ボックススチールパネル</t>
  </si>
  <si>
    <t>三友-21</t>
  </si>
  <si>
    <t>西側　照明ボックススチールパネル</t>
  </si>
  <si>
    <t>現場</t>
  </si>
  <si>
    <t>竹甚板硝子</t>
  </si>
  <si>
    <t>11/19天井用墨出し</t>
    <rPh sb="5" eb="7">
      <t>テンジョウ</t>
    </rPh>
    <rPh sb="7" eb="8">
      <t>ヨウ</t>
    </rPh>
    <rPh sb="8" eb="9">
      <t>スミ</t>
    </rPh>
    <rPh sb="9" eb="10">
      <t>ダ</t>
    </rPh>
    <phoneticPr fontId="17"/>
  </si>
  <si>
    <t>11/9着工</t>
    <rPh sb="4" eb="6">
      <t>チャッコウ</t>
    </rPh>
    <phoneticPr fontId="17"/>
  </si>
  <si>
    <t>12/14アルミルーバー下地</t>
    <rPh sb="12" eb="14">
      <t>シタジ</t>
    </rPh>
    <phoneticPr fontId="17"/>
  </si>
  <si>
    <t>11/12解体着手</t>
    <rPh sb="5" eb="7">
      <t>カイタイ</t>
    </rPh>
    <rPh sb="7" eb="9">
      <t>チャクシュ</t>
    </rPh>
    <phoneticPr fontId="17"/>
  </si>
  <si>
    <t>壁モルタルアート1/5施工前想定</t>
    <rPh sb="0" eb="1">
      <t>カベ</t>
    </rPh>
    <rPh sb="11" eb="13">
      <t>セコウ</t>
    </rPh>
    <rPh sb="13" eb="14">
      <t>マエ</t>
    </rPh>
    <rPh sb="14" eb="16">
      <t>ソウテイ</t>
    </rPh>
    <phoneticPr fontId="17"/>
  </si>
  <si>
    <t>製作１か月、HD搬入日想定</t>
    <rPh sb="8" eb="11">
      <t>ハンニュウビ</t>
    </rPh>
    <rPh sb="11" eb="13">
      <t>ソウテイ</t>
    </rPh>
    <phoneticPr fontId="17"/>
  </si>
  <si>
    <t>天井下地着手想定</t>
    <rPh sb="0" eb="2">
      <t>テンジョウ</t>
    </rPh>
    <rPh sb="2" eb="4">
      <t>シタジ</t>
    </rPh>
    <rPh sb="4" eb="6">
      <t>チャクシュ</t>
    </rPh>
    <rPh sb="6" eb="8">
      <t>ソウテイ</t>
    </rPh>
    <phoneticPr fontId="17"/>
  </si>
  <si>
    <t>製作１か月、提出工程のまま</t>
    <rPh sb="6" eb="8">
      <t>テイシュツ</t>
    </rPh>
    <rPh sb="8" eb="10">
      <t>コウテイ</t>
    </rPh>
    <phoneticPr fontId="17"/>
  </si>
  <si>
    <t>三友-24</t>
  </si>
  <si>
    <t>ハンガードア下地鉄骨</t>
  </si>
  <si>
    <t>西：2/1～/東：2/12～</t>
    <phoneticPr fontId="17"/>
  </si>
  <si>
    <t>SG中止</t>
    <rPh sb="2" eb="4">
      <t>チュウシ</t>
    </rPh>
    <phoneticPr fontId="17"/>
  </si>
  <si>
    <t>10/16調査実施</t>
    <phoneticPr fontId="17"/>
  </si>
  <si>
    <t>解体範囲図（床・壁・天井）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</si>
</sst>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;;;"/>
    <numFmt numFmtId="177" formatCode="m/d"/>
    <numFmt numFmtId="178" formatCode="&quot;R&quot;?.#"/>
    <numFmt numFmtId="179" formatCode="?.#&quot;年&quot;"/>
    <numFmt numFmtId="180" formatCode="0&quot; &quot;;\(0\)"/>
  </numFmts>
  <fonts count="20">
    <font>
      <sz val="11"/>
      <color indexed="8"/>
      <name val="ＭＳ Ｐゴシック"/>
    </font>
    <font>
      <sz val="12"/>
      <color indexed="8"/>
      <name val="HG丸ｺﾞｼｯｸM-PRO"/>
      <family val="3"/>
      <charset val="128"/>
    </font>
    <font>
      <sz val="11"/>
      <color indexed="8"/>
      <name val="HG丸ｺﾞｼｯｸM-PRO"/>
      <family val="3"/>
      <charset val="128"/>
    </font>
    <font>
      <sz val="16"/>
      <color indexed="8"/>
      <name val="HG丸ｺﾞｼｯｸM-PRO"/>
      <family val="3"/>
      <charset val="128"/>
    </font>
    <font>
      <sz val="18"/>
      <color indexed="8"/>
      <name val="HG丸ｺﾞｼｯｸM-PRO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9"/>
      <color indexed="8"/>
      <name val="HG丸ｺﾞｼｯｸM-PRO"/>
      <family val="3"/>
      <charset val="128"/>
    </font>
    <font>
      <sz val="11"/>
      <color indexed="8"/>
      <name val="ヒラギノ角ゴ ProN W3"/>
      <family val="3"/>
      <charset val="128"/>
    </font>
    <font>
      <b/>
      <sz val="11"/>
      <color indexed="8"/>
      <name val="HG丸ｺﾞｼｯｸM-PRO"/>
      <family val="3"/>
      <charset val="128"/>
    </font>
    <font>
      <sz val="9"/>
      <color indexed="8"/>
      <name val="ＭＳ 明朝"/>
      <family val="1"/>
      <charset val="128"/>
    </font>
    <font>
      <sz val="8"/>
      <color indexed="8"/>
      <name val="HG丸ｺﾞｼｯｸM-PRO"/>
      <family val="3"/>
      <charset val="128"/>
    </font>
    <font>
      <sz val="10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10"/>
      <color indexed="9"/>
      <name val="ＭＳ 明朝"/>
      <family val="1"/>
      <charset val="128"/>
    </font>
    <font>
      <sz val="8"/>
      <color indexed="25"/>
      <name val="HG丸ｺﾞｼｯｸM-PRO"/>
      <family val="3"/>
      <charset val="128"/>
    </font>
    <font>
      <b/>
      <sz val="11"/>
      <color indexed="8"/>
      <name val="HG丸ｺﾞｼｯｸM-PRO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ＭＳ 明朝"/>
      <family val="1"/>
      <charset val="128"/>
    </font>
    <font>
      <sz val="8"/>
      <color rgb="FFFF0000"/>
      <name val="HG丸ｺﾞｼｯｸM-PR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19"/>
        <bgColor auto="1"/>
      </patternFill>
    </fill>
  </fills>
  <borders count="8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48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9" fontId="2" fillId="2" borderId="17" xfId="0" applyNumberFormat="1" applyFont="1" applyFill="1" applyBorder="1" applyAlignment="1">
      <alignment wrapText="1"/>
    </xf>
    <xf numFmtId="49" fontId="2" fillId="2" borderId="16" xfId="0" applyNumberFormat="1" applyFont="1" applyFill="1" applyBorder="1" applyAlignment="1">
      <alignment vertical="center" wrapText="1"/>
    </xf>
    <xf numFmtId="49" fontId="2" fillId="2" borderId="52" xfId="0" applyNumberFormat="1" applyFont="1" applyFill="1" applyBorder="1" applyAlignment="1">
      <alignment vertical="top"/>
    </xf>
    <xf numFmtId="0" fontId="2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0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/>
    </xf>
    <xf numFmtId="0" fontId="0" fillId="2" borderId="67" xfId="0" applyFill="1" applyBorder="1">
      <alignment vertical="center"/>
    </xf>
    <xf numFmtId="49" fontId="9" fillId="2" borderId="6" xfId="0" applyNumberFormat="1" applyFont="1" applyFill="1" applyBorder="1" applyAlignment="1">
      <alignment horizontal="left" vertical="center" shrinkToFit="1"/>
    </xf>
    <xf numFmtId="0" fontId="9" fillId="2" borderId="6" xfId="0" applyFont="1" applyFill="1" applyBorder="1" applyAlignment="1">
      <alignment horizontal="left" vertical="center" shrinkToFit="1"/>
    </xf>
    <xf numFmtId="49" fontId="9" fillId="9" borderId="6" xfId="0" applyNumberFormat="1" applyFont="1" applyFill="1" applyBorder="1" applyAlignment="1">
      <alignment horizontal="left" vertical="center" shrinkToFit="1"/>
    </xf>
    <xf numFmtId="0" fontId="7" fillId="2" borderId="6" xfId="0" applyFont="1" applyFill="1" applyBorder="1" applyAlignment="1">
      <alignment shrinkToFit="1"/>
    </xf>
    <xf numFmtId="49" fontId="7" fillId="2" borderId="6" xfId="0" applyNumberFormat="1" applyFont="1" applyFill="1" applyBorder="1" applyAlignment="1">
      <alignment shrinkToFit="1"/>
    </xf>
    <xf numFmtId="49" fontId="7" fillId="10" borderId="6" xfId="0" applyNumberFormat="1" applyFont="1" applyFill="1" applyBorder="1" applyAlignment="1">
      <alignment shrinkToFit="1"/>
    </xf>
    <xf numFmtId="49" fontId="16" fillId="2" borderId="6" xfId="0" applyNumberFormat="1" applyFont="1" applyFill="1" applyBorder="1" applyAlignment="1">
      <alignment horizontal="left" vertical="center" shrinkToFit="1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Protection="1">
      <alignment vertical="center"/>
      <protection locked="0"/>
    </xf>
    <xf numFmtId="0" fontId="0" fillId="2" borderId="8" xfId="0" applyFill="1" applyBorder="1" applyProtection="1">
      <alignment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0" fillId="2" borderId="16" xfId="0" applyFill="1" applyBorder="1" applyProtection="1">
      <alignment vertical="center"/>
      <protection locked="0"/>
    </xf>
    <xf numFmtId="49" fontId="0" fillId="2" borderId="1" xfId="0" applyNumberFormat="1" applyFill="1" applyBorder="1" applyProtection="1">
      <alignment vertical="center"/>
      <protection locked="0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9" fontId="0" fillId="2" borderId="1" xfId="0" applyNumberFormat="1" applyFill="1" applyBorder="1" applyProtection="1">
      <alignment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177" fontId="2" fillId="2" borderId="30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2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3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1" xfId="0" applyNumberFormat="1" applyFill="1" applyBorder="1" applyProtection="1">
      <alignment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4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5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46" xfId="0" applyFill="1" applyBorder="1" applyProtection="1">
      <alignment vertical="center"/>
      <protection locked="0"/>
    </xf>
    <xf numFmtId="178" fontId="7" fillId="6" borderId="28" xfId="0" applyNumberFormat="1" applyFont="1" applyFill="1" applyBorder="1" applyAlignment="1" applyProtection="1">
      <alignment horizontal="center" vertical="center"/>
      <protection locked="0"/>
    </xf>
    <xf numFmtId="179" fontId="6" fillId="2" borderId="28" xfId="0" applyNumberFormat="1" applyFont="1" applyFill="1" applyBorder="1" applyAlignment="1" applyProtection="1">
      <alignment horizontal="center" vertical="center"/>
      <protection locked="0"/>
    </xf>
    <xf numFmtId="178" fontId="7" fillId="7" borderId="41" xfId="0" applyNumberFormat="1" applyFont="1" applyFill="1" applyBorder="1" applyAlignment="1" applyProtection="1">
      <alignment horizontal="center" vertical="center"/>
      <protection locked="0"/>
    </xf>
    <xf numFmtId="179" fontId="6" fillId="2" borderId="41" xfId="0" applyNumberFormat="1" applyFont="1" applyFill="1" applyBorder="1" applyAlignment="1" applyProtection="1">
      <alignment horizontal="center" vertical="center"/>
      <protection locked="0"/>
    </xf>
    <xf numFmtId="178" fontId="7" fillId="8" borderId="61" xfId="0" applyNumberFormat="1" applyFont="1" applyFill="1" applyBorder="1" applyAlignment="1" applyProtection="1">
      <alignment horizontal="center" vertical="center"/>
      <protection locked="0"/>
    </xf>
    <xf numFmtId="179" fontId="6" fillId="2" borderId="61" xfId="0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center" vertical="center"/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0" fontId="2" fillId="2" borderId="64" xfId="0" applyFont="1" applyFill="1" applyBorder="1" applyAlignment="1" applyProtection="1">
      <alignment horizontal="center" vertical="center"/>
      <protection locked="0"/>
    </xf>
    <xf numFmtId="0" fontId="6" fillId="2" borderId="62" xfId="0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 applyProtection="1">
      <alignment horizontal="center" vertical="center"/>
      <protection locked="0"/>
    </xf>
    <xf numFmtId="0" fontId="2" fillId="2" borderId="65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7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8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6" xfId="0" applyFont="1" applyFill="1" applyBorder="1" applyAlignment="1" applyProtection="1">
      <alignment horizontal="center" vertical="center"/>
      <protection locked="0"/>
    </xf>
    <xf numFmtId="180" fontId="10" fillId="2" borderId="62" xfId="0" applyNumberFormat="1" applyFont="1" applyFill="1" applyBorder="1" applyAlignment="1" applyProtection="1">
      <alignment horizontal="center" vertical="center"/>
      <protection locked="0"/>
    </xf>
    <xf numFmtId="0" fontId="10" fillId="2" borderId="63" xfId="0" applyFont="1" applyFill="1" applyBorder="1" applyAlignment="1" applyProtection="1">
      <alignment horizontal="center" vertical="center"/>
      <protection locked="0"/>
    </xf>
    <xf numFmtId="177" fontId="10" fillId="2" borderId="64" xfId="0" applyNumberFormat="1" applyFont="1" applyFill="1" applyBorder="1" applyAlignment="1" applyProtection="1">
      <alignment horizontal="center" vertical="center" shrinkToFit="1"/>
      <protection locked="0"/>
    </xf>
    <xf numFmtId="177" fontId="10" fillId="2" borderId="63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63" xfId="0" applyNumberFormat="1" applyFont="1" applyFill="1" applyBorder="1" applyAlignment="1" applyProtection="1">
      <alignment horizontal="center" vertical="center"/>
      <protection locked="0"/>
    </xf>
    <xf numFmtId="177" fontId="10" fillId="2" borderId="62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177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6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Protection="1">
      <alignment vertic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28" xfId="0" applyNumberFormat="1" applyFont="1" applyFill="1" applyBorder="1" applyAlignment="1" applyProtection="1">
      <alignment horizontal="center" vertical="center" wrapText="1"/>
      <protection locked="0"/>
    </xf>
    <xf numFmtId="177" fontId="2" fillId="2" borderId="69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3" fillId="2" borderId="6" xfId="0" applyFont="1" applyFill="1" applyBorder="1" applyAlignment="1" applyProtection="1">
      <alignment horizontal="center" vertical="center"/>
      <protection locked="0"/>
    </xf>
    <xf numFmtId="0" fontId="10" fillId="2" borderId="62" xfId="0" applyFont="1" applyFill="1" applyBorder="1" applyAlignment="1" applyProtection="1">
      <alignment horizontal="center" vertical="center"/>
      <protection locked="0"/>
    </xf>
    <xf numFmtId="180" fontId="10" fillId="2" borderId="6" xfId="0" applyNumberFormat="1" applyFont="1" applyFill="1" applyBorder="1" applyAlignment="1" applyProtection="1">
      <alignment horizontal="center" vertical="center"/>
      <protection locked="0"/>
    </xf>
    <xf numFmtId="49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178" fontId="7" fillId="6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78" fontId="7" fillId="7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178" fontId="7" fillId="8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 applyProtection="1">
      <alignment horizontal="left" vertical="center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54" xfId="0" applyNumberFormat="1" applyFont="1" applyFill="1" applyBorder="1" applyAlignment="1" applyProtection="1">
      <alignment horizontal="center" vertical="center"/>
      <protection locked="0"/>
    </xf>
    <xf numFmtId="49" fontId="7" fillId="4" borderId="60" xfId="0" applyNumberFormat="1" applyFont="1" applyFill="1" applyBorder="1" applyAlignment="1" applyProtection="1">
      <alignment horizontal="center" vertical="center"/>
      <protection locked="0"/>
    </xf>
    <xf numFmtId="177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2" xfId="0" applyFont="1" applyFill="1" applyBorder="1" applyAlignment="1" applyProtection="1">
      <alignment horizontal="center" vertical="center"/>
      <protection locked="0"/>
    </xf>
    <xf numFmtId="0" fontId="11" fillId="2" borderId="64" xfId="0" applyFont="1" applyFill="1" applyBorder="1" applyAlignment="1" applyProtection="1">
      <alignment horizontal="center" vertical="center"/>
      <protection locked="0"/>
    </xf>
    <xf numFmtId="177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Protection="1">
      <alignment vertical="center"/>
      <protection locked="0"/>
    </xf>
    <xf numFmtId="0" fontId="11" fillId="2" borderId="7" xfId="0" applyFont="1" applyFill="1" applyBorder="1" applyProtection="1">
      <alignment vertical="center"/>
      <protection locked="0"/>
    </xf>
    <xf numFmtId="0" fontId="11" fillId="2" borderId="1" xfId="0" applyFont="1" applyFill="1" applyBorder="1" applyProtection="1">
      <alignment vertical="center"/>
      <protection locked="0"/>
    </xf>
    <xf numFmtId="0" fontId="11" fillId="2" borderId="67" xfId="0" applyFont="1" applyFill="1" applyBorder="1" applyProtection="1">
      <alignment vertical="center"/>
      <protection locked="0"/>
    </xf>
    <xf numFmtId="0" fontId="0" fillId="2" borderId="69" xfId="0" applyFill="1" applyBorder="1" applyProtection="1">
      <alignment vertical="center"/>
      <protection locked="0"/>
    </xf>
    <xf numFmtId="0" fontId="11" fillId="2" borderId="64" xfId="0" applyNumberFormat="1" applyFont="1" applyFill="1" applyBorder="1" applyAlignment="1" applyProtection="1">
      <alignment horizontal="center" vertical="center"/>
      <protection locked="0"/>
    </xf>
    <xf numFmtId="177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NumberFormat="1" applyFont="1" applyFill="1" applyBorder="1" applyAlignment="1" applyProtection="1">
      <alignment horizontal="center" vertical="center"/>
      <protection locked="0"/>
    </xf>
    <xf numFmtId="49" fontId="11" fillId="2" borderId="6" xfId="0" applyNumberFormat="1" applyFont="1" applyFill="1" applyBorder="1" applyProtection="1">
      <alignment vertical="center"/>
      <protection locked="0"/>
    </xf>
    <xf numFmtId="0" fontId="0" fillId="2" borderId="82" xfId="0" applyFill="1" applyBorder="1" applyProtection="1">
      <alignment vertical="center"/>
      <protection locked="0"/>
    </xf>
    <xf numFmtId="0" fontId="0" fillId="2" borderId="83" xfId="0" applyFill="1" applyBorder="1" applyProtection="1">
      <alignment vertical="center"/>
      <protection locked="0"/>
    </xf>
    <xf numFmtId="0" fontId="0" fillId="2" borderId="68" xfId="0" applyFill="1" applyBorder="1" applyProtection="1">
      <alignment vertical="center"/>
      <protection locked="0"/>
    </xf>
    <xf numFmtId="49" fontId="11" fillId="2" borderId="6" xfId="0" applyNumberFormat="1" applyFont="1" applyFill="1" applyBorder="1" applyAlignment="1" applyProtection="1">
      <alignment vertical="center" wrapText="1"/>
      <protection locked="0"/>
    </xf>
    <xf numFmtId="0" fontId="0" fillId="2" borderId="67" xfId="0" applyFill="1" applyBorder="1" applyProtection="1">
      <alignment vertical="center"/>
      <protection locked="0"/>
    </xf>
    <xf numFmtId="176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56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9" fillId="2" borderId="6" xfId="0" applyNumberFormat="1" applyFont="1" applyFill="1" applyBorder="1" applyProtection="1">
      <alignment vertical="center"/>
      <protection locked="0"/>
    </xf>
    <xf numFmtId="0" fontId="19" fillId="2" borderId="6" xfId="0" applyFont="1" applyFill="1" applyBorder="1" applyProtection="1">
      <alignment vertical="center"/>
      <protection locked="0"/>
    </xf>
    <xf numFmtId="49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179" fontId="6" fillId="2" borderId="31" xfId="0" applyNumberFormat="1" applyFont="1" applyFill="1" applyBorder="1" applyAlignment="1" applyProtection="1">
      <alignment horizontal="center" vertical="center"/>
      <protection locked="0"/>
    </xf>
    <xf numFmtId="179" fontId="6" fillId="2" borderId="67" xfId="0" applyNumberFormat="1" applyFont="1" applyFill="1" applyBorder="1" applyAlignment="1" applyProtection="1">
      <alignment horizontal="center" vertical="center"/>
      <protection locked="0"/>
    </xf>
    <xf numFmtId="179" fontId="6" fillId="2" borderId="30" xfId="0" applyNumberFormat="1" applyFont="1" applyFill="1" applyBorder="1" applyAlignment="1" applyProtection="1">
      <alignment horizontal="center" vertical="center"/>
      <protection locked="0"/>
    </xf>
    <xf numFmtId="179" fontId="6" fillId="2" borderId="43" xfId="0" applyNumberFormat="1" applyFont="1" applyFill="1" applyBorder="1" applyAlignment="1" applyProtection="1">
      <alignment horizontal="center" vertical="center"/>
      <protection locked="0"/>
    </xf>
    <xf numFmtId="179" fontId="6" fillId="2" borderId="8" xfId="0" applyNumberFormat="1" applyFont="1" applyFill="1" applyBorder="1" applyAlignment="1" applyProtection="1">
      <alignment horizontal="center" vertical="center"/>
      <protection locked="0"/>
    </xf>
    <xf numFmtId="179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7" fillId="2" borderId="67" xfId="0" applyFont="1" applyFill="1" applyBorder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7" fillId="2" borderId="43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49" fontId="7" fillId="5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7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75" xfId="0" applyFont="1" applyFill="1" applyBorder="1" applyAlignment="1" applyProtection="1">
      <alignment horizontal="center" vertical="center" wrapText="1"/>
      <protection locked="0"/>
    </xf>
    <xf numFmtId="0" fontId="7" fillId="4" borderId="76" xfId="0" applyFont="1" applyFill="1" applyBorder="1" applyAlignment="1" applyProtection="1">
      <alignment horizontal="center" vertical="center" wrapText="1"/>
      <protection locked="0"/>
    </xf>
    <xf numFmtId="49" fontId="7" fillId="2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2" xfId="0" applyFont="1" applyFill="1" applyBorder="1" applyAlignment="1" applyProtection="1">
      <alignment horizontal="center" vertical="center"/>
      <protection locked="0"/>
    </xf>
    <xf numFmtId="49" fontId="7" fillId="4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4" xfId="0" applyFont="1" applyFill="1" applyBorder="1" applyAlignment="1" applyProtection="1">
      <alignment horizontal="center" vertical="center"/>
      <protection locked="0"/>
    </xf>
    <xf numFmtId="49" fontId="7" fillId="2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49" fontId="7" fillId="3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49" fontId="7" fillId="3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4" xfId="0" applyFont="1" applyFill="1" applyBorder="1" applyAlignment="1" applyProtection="1">
      <alignment horizontal="center" vertical="center"/>
      <protection locked="0"/>
    </xf>
    <xf numFmtId="49" fontId="7" fillId="3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2" xfId="0" applyFont="1" applyFill="1" applyBorder="1" applyAlignment="1" applyProtection="1">
      <alignment horizontal="center" vertical="center"/>
      <protection locked="0"/>
    </xf>
    <xf numFmtId="49" fontId="7" fillId="5" borderId="78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6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/>
    <xf numFmtId="0" fontId="1" fillId="2" borderId="1" xfId="0" applyFont="1" applyFill="1" applyBorder="1" applyAlignment="1" applyProtection="1">
      <protection locked="0"/>
    </xf>
    <xf numFmtId="49" fontId="3" fillId="2" borderId="8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textRotation="255"/>
    </xf>
    <xf numFmtId="49" fontId="7" fillId="4" borderId="63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3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49" fontId="7" fillId="4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42" xfId="0" applyFont="1" applyFill="1" applyBorder="1" applyAlignment="1" applyProtection="1">
      <alignment horizontal="center" vertical="center"/>
      <protection locked="0"/>
    </xf>
    <xf numFmtId="0" fontId="7" fillId="4" borderId="51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 applyProtection="1">
      <alignment horizontal="center" vertical="center" textRotation="255" wrapText="1"/>
      <protection locked="0"/>
    </xf>
    <xf numFmtId="49" fontId="7" fillId="5" borderId="79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8" xfId="0" applyFont="1" applyFill="1" applyBorder="1" applyAlignment="1" applyProtection="1">
      <alignment horizontal="center" vertical="center"/>
      <protection locked="0"/>
    </xf>
    <xf numFmtId="49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177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8" xfId="0" applyFont="1" applyFill="1" applyBorder="1" applyAlignment="1" applyProtection="1">
      <alignment horizontal="center" vertical="center" wrapText="1"/>
      <protection locked="0"/>
    </xf>
    <xf numFmtId="49" fontId="7" fillId="5" borderId="80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5" xfId="0" applyFont="1" applyFill="1" applyBorder="1" applyAlignment="1" applyProtection="1">
      <alignment horizontal="center" vertical="center"/>
      <protection locked="0"/>
    </xf>
    <xf numFmtId="49" fontId="7" fillId="4" borderId="6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49" fontId="7" fillId="5" borderId="81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7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/>
    <xf numFmtId="177" fontId="1" fillId="2" borderId="1" xfId="0" applyNumberFormat="1" applyFont="1" applyFill="1" applyBorder="1" applyAlignment="1">
      <alignment shrinkToFit="1"/>
    </xf>
    <xf numFmtId="177" fontId="1" fillId="2" borderId="1" xfId="0" applyNumberFormat="1" applyFont="1" applyFill="1" applyBorder="1" applyAlignment="1" applyProtection="1">
      <alignment shrinkToFit="1"/>
      <protection locked="0"/>
    </xf>
    <xf numFmtId="177" fontId="1" fillId="2" borderId="2" xfId="0" applyNumberFormat="1" applyFont="1" applyFill="1" applyBorder="1" applyAlignment="1" applyProtection="1">
      <alignment shrinkToFit="1"/>
      <protection locked="0"/>
    </xf>
    <xf numFmtId="177" fontId="1" fillId="2" borderId="3" xfId="0" applyNumberFormat="1" applyFont="1" applyFill="1" applyBorder="1" applyAlignment="1" applyProtection="1">
      <alignment shrinkToFit="1"/>
      <protection locked="0"/>
    </xf>
    <xf numFmtId="177" fontId="1" fillId="2" borderId="4" xfId="0" applyNumberFormat="1" applyFont="1" applyFill="1" applyBorder="1" applyAlignment="1" applyProtection="1">
      <alignment shrinkToFit="1"/>
      <protection locked="0"/>
    </xf>
    <xf numFmtId="177" fontId="1" fillId="2" borderId="5" xfId="0" applyNumberFormat="1" applyFont="1" applyFill="1" applyBorder="1" applyAlignment="1" applyProtection="1">
      <alignment shrinkToFit="1"/>
      <protection locked="0"/>
    </xf>
    <xf numFmtId="49" fontId="4" fillId="2" borderId="8" xfId="0" applyNumberFormat="1" applyFont="1" applyFill="1" applyBorder="1">
      <alignment vertical="center"/>
    </xf>
    <xf numFmtId="0" fontId="4" fillId="2" borderId="8" xfId="0" applyFont="1" applyFill="1" applyBorder="1" applyProtection="1">
      <alignment vertical="center"/>
      <protection locked="0"/>
    </xf>
    <xf numFmtId="0" fontId="4" fillId="2" borderId="9" xfId="0" applyFont="1" applyFill="1" applyBorder="1" applyProtection="1">
      <alignment vertical="center"/>
      <protection locked="0"/>
    </xf>
    <xf numFmtId="0" fontId="4" fillId="2" borderId="10" xfId="0" applyFont="1" applyFill="1" applyBorder="1" applyProtection="1">
      <alignment vertical="center"/>
      <protection locked="0"/>
    </xf>
    <xf numFmtId="0" fontId="4" fillId="2" borderId="11" xfId="0" applyFont="1" applyFill="1" applyBorder="1" applyProtection="1">
      <alignment vertical="center"/>
      <protection locked="0"/>
    </xf>
    <xf numFmtId="0" fontId="4" fillId="2" borderId="12" xfId="0" applyFont="1" applyFill="1" applyBorder="1" applyProtection="1">
      <alignment vertical="center"/>
      <protection locked="0"/>
    </xf>
    <xf numFmtId="49" fontId="2" fillId="4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7" xfId="0" applyFont="1" applyFill="1" applyBorder="1" applyAlignment="1" applyProtection="1">
      <alignment horizontal="center" vertical="center"/>
      <protection locked="0"/>
    </xf>
    <xf numFmtId="0" fontId="2" fillId="4" borderId="55" xfId="0" applyFont="1" applyFill="1" applyBorder="1" applyAlignment="1" applyProtection="1">
      <alignment horizontal="center" vertical="center"/>
      <protection locked="0"/>
    </xf>
    <xf numFmtId="49" fontId="2" fillId="4" borderId="39" xfId="0" applyNumberFormat="1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49" fontId="2" fillId="5" borderId="39" xfId="0" applyNumberFormat="1" applyFont="1" applyFill="1" applyBorder="1" applyAlignment="1" applyProtection="1">
      <alignment horizontal="center" vertical="center"/>
      <protection locked="0"/>
    </xf>
    <xf numFmtId="0" fontId="2" fillId="5" borderId="39" xfId="0" applyFont="1" applyFill="1" applyBorder="1" applyAlignment="1" applyProtection="1">
      <alignment horizontal="center" vertical="center"/>
      <protection locked="0"/>
    </xf>
    <xf numFmtId="49" fontId="2" fillId="3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34" xfId="0" applyFont="1" applyFill="1" applyBorder="1" applyAlignment="1" applyProtection="1">
      <alignment horizontal="center"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49" fontId="2" fillId="4" borderId="40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4" borderId="60" xfId="0" applyFont="1" applyFill="1" applyBorder="1" applyAlignment="1" applyProtection="1">
      <alignment horizontal="center" vertical="center"/>
      <protection locked="0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 textRotation="255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textRotation="255"/>
    </xf>
    <xf numFmtId="0" fontId="2" fillId="2" borderId="1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9" fontId="7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50" xfId="0" applyFont="1" applyFill="1" applyBorder="1" applyAlignment="1" applyProtection="1">
      <alignment horizontal="center" vertical="center"/>
      <protection locked="0"/>
    </xf>
    <xf numFmtId="0" fontId="7" fillId="3" borderId="58" xfId="0" applyFont="1" applyFill="1" applyBorder="1" applyAlignment="1" applyProtection="1">
      <alignment horizontal="center" vertical="center"/>
      <protection locked="0"/>
    </xf>
    <xf numFmtId="49" fontId="6" fillId="2" borderId="25" xfId="0" applyNumberFormat="1" applyFont="1" applyFill="1" applyBorder="1" applyAlignment="1" applyProtection="1">
      <alignment horizontal="center" vertical="center"/>
      <protection locked="0"/>
    </xf>
    <xf numFmtId="0" fontId="6" fillId="2" borderId="2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 applyProtection="1">
      <alignment horizontal="center" vertical="center"/>
      <protection locked="0"/>
    </xf>
    <xf numFmtId="49" fontId="2" fillId="3" borderId="2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1" xfId="0" applyFont="1" applyFill="1" applyBorder="1" applyAlignment="1" applyProtection="1">
      <alignment horizontal="center" vertical="center"/>
      <protection locked="0"/>
    </xf>
    <xf numFmtId="0" fontId="2" fillId="3" borderId="61" xfId="0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4" borderId="34" xfId="0" applyNumberFormat="1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1" xfId="0" applyFont="1" applyFill="1" applyBorder="1" applyAlignment="1" applyProtection="1">
      <alignment horizontal="center" vertical="center"/>
      <protection locked="0"/>
    </xf>
    <xf numFmtId="0" fontId="6" fillId="2" borderId="61" xfId="0" applyFont="1" applyFill="1" applyBorder="1" applyAlignment="1" applyProtection="1">
      <alignment horizontal="center" vertical="center"/>
      <protection locked="0"/>
    </xf>
    <xf numFmtId="49" fontId="2" fillId="4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9" xfId="0" applyFont="1" applyFill="1" applyBorder="1" applyAlignment="1" applyProtection="1">
      <alignment horizontal="center" vertical="center"/>
      <protection locked="0"/>
    </xf>
    <xf numFmtId="0" fontId="2" fillId="4" borderId="57" xfId="0" applyFont="1" applyFill="1" applyBorder="1" applyAlignment="1" applyProtection="1">
      <alignment horizontal="center" vertical="center"/>
      <protection locked="0"/>
    </xf>
    <xf numFmtId="0" fontId="2" fillId="4" borderId="39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2" fillId="2" borderId="52" xfId="0" applyFont="1" applyFill="1" applyBorder="1" applyAlignment="1" applyProtection="1">
      <alignment horizontal="center" vertical="center"/>
      <protection locked="0"/>
    </xf>
    <xf numFmtId="49" fontId="6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 applyProtection="1">
      <alignment horizontal="center" vertical="center"/>
      <protection locked="0"/>
    </xf>
    <xf numFmtId="49" fontId="7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47" xfId="0" applyFont="1" applyFill="1" applyBorder="1" applyAlignment="1" applyProtection="1">
      <alignment horizontal="center" vertical="center"/>
      <protection locked="0"/>
    </xf>
    <xf numFmtId="0" fontId="7" fillId="3" borderId="55" xfId="0" applyFont="1" applyFill="1" applyBorder="1" applyAlignment="1" applyProtection="1">
      <alignment horizontal="center" vertical="center"/>
      <protection locked="0"/>
    </xf>
    <xf numFmtId="49" fontId="2" fillId="5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7" xfId="0" applyFont="1" applyFill="1" applyBorder="1" applyAlignment="1" applyProtection="1">
      <alignment horizontal="center" vertical="center"/>
      <protection locked="0"/>
    </xf>
    <xf numFmtId="0" fontId="2" fillId="5" borderId="55" xfId="0" applyFont="1" applyFill="1" applyBorder="1" applyAlignment="1" applyProtection="1">
      <alignment horizontal="center" vertical="center"/>
      <protection locked="0"/>
    </xf>
    <xf numFmtId="49" fontId="2" fillId="2" borderId="39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59" xfId="0" applyFont="1" applyFill="1" applyBorder="1" applyAlignment="1" applyProtection="1">
      <alignment horizontal="center" vertical="center"/>
      <protection locked="0"/>
    </xf>
    <xf numFmtId="49" fontId="2" fillId="5" borderId="29" xfId="0" applyNumberFormat="1" applyFont="1" applyFill="1" applyBorder="1" applyAlignment="1" applyProtection="1">
      <alignment horizontal="center" vertical="center" textRotation="255"/>
      <protection locked="0"/>
    </xf>
    <xf numFmtId="0" fontId="0" fillId="2" borderId="53" xfId="0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52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49" fontId="2" fillId="2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49" fontId="2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7" xfId="0" applyFont="1" applyFill="1" applyBorder="1" applyAlignment="1" applyProtection="1">
      <alignment horizontal="center" vertical="center"/>
      <protection locked="0"/>
    </xf>
    <xf numFmtId="0" fontId="2" fillId="3" borderId="55" xfId="0" applyFont="1" applyFill="1" applyBorder="1" applyAlignment="1" applyProtection="1">
      <alignment horizontal="center" vertical="center"/>
      <protection locked="0"/>
    </xf>
    <xf numFmtId="49" fontId="2" fillId="2" borderId="36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48" xfId="0" applyFont="1" applyFill="1" applyBorder="1" applyAlignment="1" applyProtection="1">
      <alignment horizontal="center" vertical="center"/>
      <protection locked="0"/>
    </xf>
    <xf numFmtId="0" fontId="2" fillId="2" borderId="56" xfId="0" applyFont="1" applyFill="1" applyBorder="1" applyAlignment="1" applyProtection="1">
      <alignment horizontal="center" vertical="center"/>
      <protection locked="0"/>
    </xf>
    <xf numFmtId="49" fontId="2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58" xfId="0" applyFont="1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49" fontId="7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42" xfId="0" applyFont="1" applyFill="1" applyBorder="1" applyAlignment="1" applyProtection="1">
      <alignment horizontal="center" vertical="center"/>
      <protection locked="0"/>
    </xf>
    <xf numFmtId="0" fontId="7" fillId="2" borderId="51" xfId="0" applyFont="1" applyFill="1" applyBorder="1" applyAlignment="1" applyProtection="1">
      <alignment horizontal="center" vertical="center"/>
      <protection locked="0"/>
    </xf>
    <xf numFmtId="49" fontId="6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52" xfId="0" applyFont="1" applyFill="1" applyBorder="1" applyAlignment="1" applyProtection="1">
      <alignment horizontal="center" vertical="center" wrapText="1"/>
      <protection locked="0"/>
    </xf>
    <xf numFmtId="49" fontId="2" fillId="4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50" xfId="0" applyFont="1" applyFill="1" applyBorder="1" applyAlignment="1" applyProtection="1">
      <alignment horizontal="center" vertical="center"/>
      <protection locked="0"/>
    </xf>
    <xf numFmtId="0" fontId="2" fillId="4" borderId="58" xfId="0" applyFont="1" applyFill="1" applyBorder="1" applyAlignment="1" applyProtection="1">
      <alignment horizontal="center" vertical="center"/>
      <protection locked="0"/>
    </xf>
    <xf numFmtId="49" fontId="5" fillId="2" borderId="13" xfId="0" applyNumberFormat="1" applyFont="1" applyFill="1" applyBorder="1" applyAlignment="1" applyProtection="1">
      <alignment horizontal="center" vertical="center"/>
      <protection locked="0"/>
    </xf>
    <xf numFmtId="177" fontId="5" fillId="2" borderId="14" xfId="0" applyNumberFormat="1" applyFont="1" applyFill="1" applyBorder="1" applyAlignment="1" applyProtection="1">
      <alignment horizontal="center" vertical="center" shrinkToFit="1"/>
      <protection locked="0"/>
    </xf>
    <xf numFmtId="177" fontId="5" fillId="2" borderId="15" xfId="0" applyNumberFormat="1" applyFont="1" applyFill="1" applyBorder="1" applyAlignment="1" applyProtection="1">
      <alignment horizontal="center" vertical="center" shrinkToFit="1"/>
      <protection locked="0"/>
    </xf>
    <xf numFmtId="0" fontId="2" fillId="5" borderId="40" xfId="0" applyFont="1" applyFill="1" applyBorder="1" applyAlignment="1" applyProtection="1">
      <alignment horizontal="center" vertical="center"/>
      <protection locked="0"/>
    </xf>
    <xf numFmtId="49" fontId="2" fillId="5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9" xfId="0" applyFont="1" applyFill="1" applyBorder="1" applyAlignment="1" applyProtection="1">
      <alignment horizontal="center" vertical="center"/>
      <protection locked="0"/>
    </xf>
    <xf numFmtId="0" fontId="2" fillId="5" borderId="57" xfId="0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49" fontId="2" fillId="2" borderId="31" xfId="0" applyNumberFormat="1" applyFont="1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43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49" fontId="2" fillId="4" borderId="70" xfId="0" applyNumberFormat="1" applyFont="1" applyFill="1" applyBorder="1" applyAlignment="1" applyProtection="1">
      <alignment horizontal="center" vertical="center" textRotation="255"/>
      <protection locked="0"/>
    </xf>
    <xf numFmtId="177" fontId="2" fillId="4" borderId="42" xfId="0" applyNumberFormat="1" applyFont="1" applyFill="1" applyBorder="1" applyAlignment="1" applyProtection="1">
      <alignment horizontal="center" vertical="center" shrinkToFit="1"/>
      <protection locked="0"/>
    </xf>
    <xf numFmtId="177" fontId="2" fillId="4" borderId="51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71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72" xfId="0" applyFont="1" applyFill="1" applyBorder="1" applyAlignment="1" applyProtection="1">
      <alignment horizontal="center" vertical="center"/>
      <protection locked="0"/>
    </xf>
    <xf numFmtId="0" fontId="2" fillId="2" borderId="73" xfId="0" applyFont="1" applyFill="1" applyBorder="1" applyAlignment="1" applyProtection="1">
      <alignment horizontal="center" vertical="center"/>
      <protection locked="0"/>
    </xf>
    <xf numFmtId="49" fontId="7" fillId="2" borderId="41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2" borderId="41" xfId="0" applyFont="1" applyFill="1" applyBorder="1" applyAlignment="1" applyProtection="1">
      <alignment horizontal="center" vertical="center" wrapText="1"/>
      <protection locked="0"/>
    </xf>
    <xf numFmtId="0" fontId="7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>
      <alignment vertical="center"/>
    </xf>
    <xf numFmtId="49" fontId="6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2" xfId="0" applyFont="1" applyFill="1" applyBorder="1" applyAlignment="1" applyProtection="1">
      <alignment horizontal="center" vertical="center"/>
      <protection locked="0"/>
    </xf>
    <xf numFmtId="0" fontId="6" fillId="2" borderId="51" xfId="0" applyFont="1" applyFill="1" applyBorder="1" applyAlignment="1" applyProtection="1">
      <alignment horizontal="center" vertical="center"/>
      <protection locked="0"/>
    </xf>
    <xf numFmtId="0" fontId="0" fillId="2" borderId="39" xfId="0" applyFill="1" applyBorder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  <xf numFmtId="56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9" fillId="10" borderId="6" xfId="0" applyNumberFormat="1" applyFont="1" applyFill="1" applyBorder="1" applyAlignment="1">
      <alignment horizontal="left" vertical="center" shrinkToFit="1"/>
    </xf>
    <xf numFmtId="49" fontId="19" fillId="2" borderId="6" xfId="0" applyNumberFormat="1" applyFont="1" applyFill="1" applyBorder="1" applyAlignment="1" applyProtection="1">
      <alignment vertical="center" wrapText="1"/>
      <protection locked="0"/>
    </xf>
  </cellXfs>
  <cellStyles count="1">
    <cellStyle name="標準" xfId="0" builtinId="0"/>
  </cellStyles>
  <dxfs count="132"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FFDAEEF3"/>
      <rgbColor rgb="FFF2F2F2"/>
      <rgbColor rgb="FFF2DBDB"/>
      <rgbColor rgb="FFFFFF99"/>
      <rgbColor rgb="FF66FF66"/>
      <rgbColor rgb="FFB2A1C7"/>
      <rgbColor rgb="00000000"/>
      <rgbColor rgb="FFD8D8D8"/>
      <rgbColor rgb="FF595959"/>
      <rgbColor rgb="FF3F3F3F"/>
      <rgbColor rgb="FF00B050"/>
      <rgbColor rgb="FFBFBFBF"/>
      <rgbColor rgb="FF1F497D"/>
      <rgbColor rgb="FF7030A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施工図進捗グラフ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34307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3430799999999999"/>
          <c:w val="0.83424699999999996"/>
          <c:h val="0.611307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①施工図リスト!$BI$2</c:f>
              <c:numCache>
                <c:formatCode>0%</c:formatCode>
                <c:ptCount val="1"/>
                <c:pt idx="0">
                  <c:v>0.19444444444444445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2CC-AC68-30FD1EA00C38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①施工図リスト!$BI$3</c:f>
              <c:numCache>
                <c:formatCode>0%</c:formatCode>
                <c:ptCount val="1"/>
                <c:pt idx="0">
                  <c:v>0.80555555555555558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7-42CC-AC68-30FD1EA00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4156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4156"/>
          <c:w val="0.83424699999999996"/>
          <c:h val="0.59966399999999997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②製作図リスト!$BK$2</c:f>
              <c:numCache>
                <c:formatCode>0%</c:formatCode>
                <c:ptCount val="1"/>
                <c:pt idx="0">
                  <c:v>0.128205128205128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5-49A6-BE61-9A9FACB0815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②製作図リスト!$BK$3</c:f>
              <c:numCache>
                <c:formatCode>0%</c:formatCode>
                <c:ptCount val="1"/>
                <c:pt idx="0">
                  <c:v>0.87179487179487203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5-49A6-BE61-9A9FACB0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3494200000000002"/>
          <c:y val="0"/>
          <c:w val="0.33011699999999999"/>
          <c:h val="0.2945650000000000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26696"/>
          <c:y val="0.29456500000000002"/>
          <c:w val="0.78733600000000004"/>
          <c:h val="0.514561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7-4F45-B057-6B7B60790A87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7-4F45-B057-6B7B60790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174105</xdr:colOff>
      <xdr:row>2</xdr:row>
      <xdr:rowOff>200387</xdr:rowOff>
    </xdr:from>
    <xdr:to>
      <xdr:col>39</xdr:col>
      <xdr:colOff>2175470</xdr:colOff>
      <xdr:row>6</xdr:row>
      <xdr:rowOff>115910</xdr:rowOff>
    </xdr:to>
    <xdr:graphicFrame macro="">
      <xdr:nvGraphicFramePr>
        <xdr:cNvPr id="12" name="グラフ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136348</xdr:colOff>
      <xdr:row>2</xdr:row>
      <xdr:rowOff>194963</xdr:rowOff>
    </xdr:from>
    <xdr:to>
      <xdr:col>39</xdr:col>
      <xdr:colOff>2137713</xdr:colOff>
      <xdr:row>7</xdr:row>
      <xdr:rowOff>51605</xdr:rowOff>
    </xdr:to>
    <xdr:graphicFrame macro="">
      <xdr:nvGraphicFramePr>
        <xdr:cNvPr id="24" name="グラフ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199209</xdr:colOff>
      <xdr:row>6</xdr:row>
      <xdr:rowOff>19049</xdr:rowOff>
    </xdr:from>
    <xdr:to>
      <xdr:col>33</xdr:col>
      <xdr:colOff>149407</xdr:colOff>
      <xdr:row>49</xdr:row>
      <xdr:rowOff>285749</xdr:rowOff>
    </xdr:to>
    <xdr:sp macro="" textlink="">
      <xdr:nvSpPr>
        <xdr:cNvPr id="169" name="右中かっこ 2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18893609" y="2002789"/>
          <a:ext cx="1601199" cy="1255395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103"/>
                <a:pt x="10800" y="230"/>
              </a:cubicBezTo>
              <a:lnTo>
                <a:pt x="10800" y="10541"/>
              </a:lnTo>
              <a:cubicBezTo>
                <a:pt x="10800" y="10668"/>
                <a:pt x="15635" y="10770"/>
                <a:pt x="21600" y="10770"/>
              </a:cubicBezTo>
              <a:cubicBezTo>
                <a:pt x="15635" y="10770"/>
                <a:pt x="10800" y="10873"/>
                <a:pt x="10800" y="11000"/>
              </a:cubicBezTo>
              <a:lnTo>
                <a:pt x="10800" y="21370"/>
              </a:lnTo>
              <a:cubicBezTo>
                <a:pt x="10800" y="21497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335280</xdr:colOff>
      <xdr:row>14</xdr:row>
      <xdr:rowOff>153543</xdr:rowOff>
    </xdr:from>
    <xdr:to>
      <xdr:col>34</xdr:col>
      <xdr:colOff>481421</xdr:colOff>
      <xdr:row>37</xdr:row>
      <xdr:rowOff>223647</xdr:rowOff>
    </xdr:to>
    <xdr:sp macro="" textlink="">
      <xdr:nvSpPr>
        <xdr:cNvPr id="170" name="テキスト ボックス 3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0680680" y="4423283"/>
          <a:ext cx="971642" cy="6642355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ベーシックパック</a:t>
          </a:r>
        </a:p>
      </xdr:txBody>
    </xdr:sp>
    <xdr:clientData/>
  </xdr:twoCellAnchor>
  <xdr:twoCellAnchor>
    <xdr:from>
      <xdr:col>31</xdr:col>
      <xdr:colOff>161109</xdr:colOff>
      <xdr:row>49</xdr:row>
      <xdr:rowOff>285749</xdr:rowOff>
    </xdr:from>
    <xdr:to>
      <xdr:col>33</xdr:col>
      <xdr:colOff>182879</xdr:colOff>
      <xdr:row>100</xdr:row>
      <xdr:rowOff>15238</xdr:rowOff>
    </xdr:to>
    <xdr:sp macro="" textlink="">
      <xdr:nvSpPr>
        <xdr:cNvPr id="171" name="右中かっこ 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18855509" y="14556739"/>
          <a:ext cx="1672771" cy="1430274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94"/>
                <a:pt x="10800" y="211"/>
              </a:cubicBezTo>
              <a:lnTo>
                <a:pt x="10800" y="10589"/>
              </a:lnTo>
              <a:cubicBezTo>
                <a:pt x="10800" y="10706"/>
                <a:pt x="15635" y="10800"/>
                <a:pt x="21600" y="10800"/>
              </a:cubicBezTo>
              <a:cubicBezTo>
                <a:pt x="15635" y="10800"/>
                <a:pt x="10800" y="10894"/>
                <a:pt x="10800" y="11011"/>
              </a:cubicBezTo>
              <a:lnTo>
                <a:pt x="10800" y="21389"/>
              </a:lnTo>
              <a:cubicBezTo>
                <a:pt x="10800" y="21506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201930</xdr:colOff>
      <xdr:row>57</xdr:row>
      <xdr:rowOff>156209</xdr:rowOff>
    </xdr:from>
    <xdr:to>
      <xdr:col>34</xdr:col>
      <xdr:colOff>197576</xdr:colOff>
      <xdr:row>80</xdr:row>
      <xdr:rowOff>243839</xdr:rowOff>
    </xdr:to>
    <xdr:sp macro="" textlink="">
      <xdr:nvSpPr>
        <xdr:cNvPr id="172" name="テキスト ボックス 5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0547330" y="16713199"/>
          <a:ext cx="821147" cy="6659881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オプションパック</a:t>
          </a:r>
        </a:p>
      </xdr:txBody>
    </xdr:sp>
    <xdr:clientData/>
  </xdr:twoCellAnchor>
  <xdr:twoCellAnchor>
    <xdr:from>
      <xdr:col>30</xdr:col>
      <xdr:colOff>74138</xdr:colOff>
      <xdr:row>3</xdr:row>
      <xdr:rowOff>77225</xdr:rowOff>
    </xdr:from>
    <xdr:to>
      <xdr:col>30</xdr:col>
      <xdr:colOff>1634025</xdr:colOff>
      <xdr:row>5</xdr:row>
      <xdr:rowOff>131814</xdr:rowOff>
    </xdr:to>
    <xdr:graphicFrame macro="">
      <xdr:nvGraphicFramePr>
        <xdr:cNvPr id="173" name="グラフ 1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M159"/>
  <sheetViews>
    <sheetView showGridLines="0" tabSelected="1" topLeftCell="B1" workbookViewId="0">
      <selection activeCell="T11" sqref="T11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5" width="4.77734375" style="76" customWidth="1"/>
    <col min="6" max="6" width="4.33203125" style="76" customWidth="1"/>
    <col min="7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56" width="5.77734375" style="76" customWidth="1"/>
    <col min="57" max="57" width="16" style="76" customWidth="1"/>
    <col min="58" max="60" width="6.77734375" style="76" customWidth="1"/>
    <col min="61" max="61" width="8.33203125" style="76" customWidth="1"/>
    <col min="62" max="66" width="6.77734375" style="76" customWidth="1"/>
    <col min="67" max="16384" width="6.77734375" style="76"/>
  </cols>
  <sheetData>
    <row r="1" spans="1:65" ht="24.75" customHeight="1">
      <c r="A1" s="206" t="s">
        <v>0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  <c r="BM1" s="28"/>
    </row>
    <row r="2" spans="1:65" ht="56.7" customHeight="1">
      <c r="A2" s="232" t="s">
        <v>3</v>
      </c>
      <c r="B2" s="233"/>
      <c r="C2" s="213" t="s">
        <v>4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30" t="s">
        <v>6</v>
      </c>
      <c r="BI2" s="31" cm="1">
        <f t="array" ref="BI2">BG3/BF3</f>
        <v>0.19444444444444445</v>
      </c>
      <c r="BJ2" s="32"/>
      <c r="BK2" s="28"/>
      <c r="BL2" s="28"/>
      <c r="BM2" s="28"/>
    </row>
    <row r="3" spans="1:65" ht="48" customHeight="1">
      <c r="A3" s="240"/>
      <c r="B3" s="241"/>
      <c r="C3" s="5" t="s">
        <v>7</v>
      </c>
      <c r="D3" s="303" t="s">
        <v>8</v>
      </c>
      <c r="E3" s="304"/>
      <c r="F3" s="304"/>
      <c r="G3" s="305"/>
      <c r="H3" s="288" t="s">
        <v>9</v>
      </c>
      <c r="I3" s="289"/>
      <c r="J3" s="290"/>
      <c r="K3" s="270" t="s">
        <v>10</v>
      </c>
      <c r="L3" s="271"/>
      <c r="M3" s="272"/>
      <c r="N3" s="272"/>
      <c r="O3" s="273"/>
      <c r="P3" s="274"/>
      <c r="Q3" s="274"/>
      <c r="R3" s="271"/>
      <c r="S3" s="272"/>
      <c r="T3" s="272"/>
      <c r="U3" s="35"/>
      <c r="V3" s="35"/>
      <c r="W3" s="35"/>
      <c r="X3" s="35"/>
      <c r="Y3" s="35"/>
      <c r="Z3" s="35"/>
      <c r="AA3" s="35"/>
      <c r="AB3" s="36"/>
      <c r="AC3" s="245" t="s">
        <v>11</v>
      </c>
      <c r="AD3" s="246"/>
      <c r="AE3" s="247"/>
      <c r="AF3" s="248" t="s">
        <v>12</v>
      </c>
      <c r="AG3" s="306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17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28"/>
      <c r="BF3" s="40" cm="1">
        <f t="array" ref="BF3">COUNTA($AG$10:$AG$158)*6</f>
        <v>36</v>
      </c>
      <c r="BG3" s="40" cm="1">
        <f t="array" ref="BG3">COUNTA($G$10:$G$158)+COUNTA($J$10:$J$158)+COUNTA($L$10:$L$158)+COUNTA($M$10:$M$158)+COUNTA($S$10:$S$158)+COUNTA($T$10:$T$158)</f>
        <v>7</v>
      </c>
      <c r="BH3" s="30" t="s">
        <v>23</v>
      </c>
      <c r="BI3" s="32" cm="1">
        <f t="array" ref="BI3">1-BI2</f>
        <v>0.80555555555555558</v>
      </c>
      <c r="BJ3" s="32"/>
      <c r="BK3" s="28"/>
      <c r="BL3" s="28"/>
      <c r="BM3" s="28"/>
    </row>
    <row r="4" spans="1:65" ht="13.5" customHeight="1">
      <c r="A4" s="237" t="s">
        <v>24</v>
      </c>
      <c r="B4" s="234" t="s">
        <v>25</v>
      </c>
      <c r="C4" s="6" t="s">
        <v>26</v>
      </c>
      <c r="D4" s="291" t="s">
        <v>27</v>
      </c>
      <c r="E4" s="294" t="s">
        <v>28</v>
      </c>
      <c r="F4" s="297" t="s">
        <v>29</v>
      </c>
      <c r="G4" s="263" t="s">
        <v>30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38</v>
      </c>
      <c r="T4" s="225"/>
      <c r="U4" s="224" t="s">
        <v>39</v>
      </c>
      <c r="V4" s="225"/>
      <c r="W4" s="224" t="s">
        <v>40</v>
      </c>
      <c r="X4" s="225"/>
      <c r="Y4" s="224" t="s">
        <v>41</v>
      </c>
      <c r="Z4" s="225"/>
      <c r="AA4" s="224" t="s">
        <v>42</v>
      </c>
      <c r="AB4" s="318"/>
      <c r="AC4" s="226" t="s">
        <v>43</v>
      </c>
      <c r="AD4" s="281" t="s">
        <v>44</v>
      </c>
      <c r="AE4" s="229" t="s">
        <v>45</v>
      </c>
      <c r="AF4" s="249"/>
      <c r="AG4" s="307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4"/>
      <c r="BF4" s="28"/>
      <c r="BG4" s="28"/>
      <c r="BH4" s="30" t="s">
        <v>46</v>
      </c>
      <c r="BI4" s="40" cm="1">
        <f t="array" aca="1" ref="BI4" ca="1">COUNTIFS($F$10:$F$113,"&lt;="&amp;TODAY(),$F$10:$F$113,"&gt;"&amp;0,$G$10:$G$113,"="&amp;"")+COUNTIFS($I$10:$I$113,"&lt;="&amp;TODAY(),$I$10:$I$113,"&gt;"&amp;0,$J$10:$J$113,"="&amp;"")+COUNTIFS($P$10:$P$113,"&lt;="&amp;TODAY(),$P$10:$P$113,"&gt;"&amp;0,$L$10:$L$113,"="&amp;"")+COUNTIFS($P$10:$P$113,"&lt;="&amp;TODAY(),$P$10:$P$113,"&gt;"&amp;0,$M$10:$M$113,"="&amp;"")+COUNTIFS($AC$10:$AC$113,"&lt;="&amp;TODAY(),$AC$10:$AC$113,"&gt;"&amp;0,$S$10:$S$113,"="&amp;"")+COUNTIFS($AC$10:$AC$113,"&lt;="&amp;TODAY(),$AC$10:$AC$113,"&gt;"&amp;0,$T$10:$T$113,"="&amp;"")</f>
        <v>1</v>
      </c>
      <c r="BJ4" s="28" t="str" cm="1">
        <f t="array" aca="1" ref="BJ4" ca="1">BH4&amp;": "&amp;BI4&amp;"個"</f>
        <v>赤色: 1個</v>
      </c>
      <c r="BK4" s="28"/>
      <c r="BL4" s="28"/>
      <c r="BM4" s="28"/>
    </row>
    <row r="5" spans="1:65" ht="13.2" customHeight="1">
      <c r="A5" s="238"/>
      <c r="B5" s="235"/>
      <c r="C5" s="6" t="s">
        <v>47</v>
      </c>
      <c r="D5" s="292"/>
      <c r="E5" s="295"/>
      <c r="F5" s="298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82"/>
      <c r="AE5" s="230"/>
      <c r="AF5" s="249"/>
      <c r="AG5" s="307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4"/>
      <c r="BF5" s="28"/>
      <c r="BG5" s="28"/>
      <c r="BH5" s="30" t="s">
        <v>52</v>
      </c>
      <c r="BI5" s="40" cm="1">
        <f t="array" aca="1" ref="BI5" ca="1">COUNTIFS($F$10:$F$113,"&lt;="&amp;TODAY()+7,$F$10:$F$113,"&gt;"&amp;0,$G$10:$G$113,"="&amp;"")+COUNTIFS($I$10:$I$113,"&lt;="&amp;TODAY()+7,$I$10:$I$113,"&gt;"&amp;0,$J$10:$J$113,"="&amp;"")+COUNTIFS($P$10:$P$113,"&lt;="&amp;TODAY()+7,$P$10:$P$113,"&gt;"&amp;0,$L$10:$L$113,"="&amp;"")+COUNTIFS($P$10:$P$113,"&lt;="&amp;TODAY()+7,$P$10:$P$113,"&gt;"&amp;0,$M$10:$M$113,"="&amp;"")+COUNTIFS($AC$10:$AC$113,"&lt;="&amp;TODAY()+7,$AC$10:$AC$113,"&gt;"&amp;0,$S$10:$S$113,"="&amp;"")+COUNTIFS($AC$10:$AC$113,"&lt;="&amp;TODAY()+7,$AC$10:$AC$113,"&gt;"&amp;0,$T$10:$T$113,"="&amp;"")-BI4</f>
        <v>1</v>
      </c>
      <c r="BJ5" s="28" t="str" cm="1">
        <f t="array" aca="1" ref="BJ5" ca="1">BH5&amp;": "&amp;BI5&amp;"個"</f>
        <v>黄色: 1個</v>
      </c>
      <c r="BK5" s="28"/>
      <c r="BL5" s="28"/>
      <c r="BM5" s="28"/>
    </row>
    <row r="6" spans="1:65" ht="13.2" customHeight="1">
      <c r="A6" s="238"/>
      <c r="B6" s="235"/>
      <c r="C6" s="6" t="s">
        <v>53</v>
      </c>
      <c r="D6" s="292"/>
      <c r="E6" s="295"/>
      <c r="F6" s="298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82"/>
      <c r="AE6" s="230"/>
      <c r="AF6" s="249"/>
      <c r="AG6" s="308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4"/>
      <c r="BF6" s="28"/>
      <c r="BG6" s="28"/>
      <c r="BH6" s="28"/>
      <c r="BI6" s="28"/>
      <c r="BJ6" s="28"/>
      <c r="BK6" s="28"/>
      <c r="BL6" s="28"/>
      <c r="BM6" s="28"/>
    </row>
    <row r="7" spans="1:65" ht="13.5" customHeight="1">
      <c r="A7" s="238"/>
      <c r="B7" s="235"/>
      <c r="C7" s="6" t="s">
        <v>54</v>
      </c>
      <c r="D7" s="292"/>
      <c r="E7" s="295"/>
      <c r="F7" s="298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82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4"/>
      <c r="BF7" s="28"/>
      <c r="BG7" s="28"/>
      <c r="BH7" s="28"/>
      <c r="BI7" s="28"/>
      <c r="BJ7" s="28"/>
      <c r="BK7" s="28"/>
      <c r="BL7" s="28"/>
      <c r="BM7" s="40" cm="1">
        <f t="array" aca="1" ref="BM7" ca="1">COUNTIFS($AC$10:$AC$113,"&lt;"&amp;TODAY()+7,$AC$10:$AC$113,"&gt;"&amp;0,$S$10:$S$113,"="&amp;"")</f>
        <v>0</v>
      </c>
    </row>
    <row r="8" spans="1:65" ht="13.5" customHeight="1">
      <c r="A8" s="238"/>
      <c r="B8" s="235"/>
      <c r="C8" s="7" t="s">
        <v>55</v>
      </c>
      <c r="D8" s="292"/>
      <c r="E8" s="295"/>
      <c r="F8" s="298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82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4"/>
      <c r="BF8" s="28"/>
      <c r="BG8" s="28"/>
      <c r="BH8" s="28"/>
      <c r="BI8" s="28"/>
      <c r="BJ8" s="28"/>
      <c r="BK8" s="28"/>
      <c r="BL8" s="28"/>
      <c r="BM8" s="28"/>
    </row>
    <row r="9" spans="1:65" ht="13.5" customHeight="1">
      <c r="A9" s="239"/>
      <c r="B9" s="236"/>
      <c r="C9" s="2" t="s">
        <v>56</v>
      </c>
      <c r="D9" s="293"/>
      <c r="E9" s="296"/>
      <c r="F9" s="299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83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4"/>
      <c r="BF9" s="28"/>
      <c r="BG9" s="28"/>
      <c r="BH9" s="28"/>
      <c r="BI9" s="28"/>
      <c r="BJ9" s="28"/>
      <c r="BK9" s="28"/>
      <c r="BL9" s="28"/>
      <c r="BM9" s="28"/>
    </row>
    <row r="10" spans="1:65" ht="18" customHeight="1">
      <c r="A10" s="3"/>
      <c r="B10" s="8"/>
      <c r="C10" s="3"/>
      <c r="D10" s="51"/>
      <c r="E10" s="52"/>
      <c r="F10" s="52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6"/>
      <c r="V10" s="57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28"/>
      <c r="BF10" s="28"/>
      <c r="BG10" s="28"/>
      <c r="BH10" s="28"/>
      <c r="BI10" s="28"/>
      <c r="BJ10" s="28"/>
      <c r="BK10" s="28"/>
      <c r="BL10" s="28"/>
      <c r="BM10" s="28"/>
    </row>
    <row r="11" spans="1:65" ht="25.5" customHeight="1">
      <c r="A11" s="10">
        <v>0</v>
      </c>
      <c r="B11" s="9"/>
      <c r="C11" s="18" t="s">
        <v>57</v>
      </c>
      <c r="D11" s="64" t="str" cm="1">
        <f t="array" ref="D11">IF(F11="","",F11-E11)</f>
        <v/>
      </c>
      <c r="E11" s="65"/>
      <c r="F11" s="66" t="str" cm="1">
        <f t="array" ref="F11">IF(I11="","",I11-H11)</f>
        <v/>
      </c>
      <c r="G11" s="67"/>
      <c r="H11" s="65"/>
      <c r="I11" s="66" t="str" cm="1">
        <f t="array" ref="I11">IF(P11="","",P11-K11)</f>
        <v/>
      </c>
      <c r="J11" s="67"/>
      <c r="K11" s="65"/>
      <c r="L11" s="68"/>
      <c r="M11" s="68"/>
      <c r="N11" s="68"/>
      <c r="O11" s="68"/>
      <c r="P11" s="66" t="str" cm="1">
        <f t="array" ref="P11">IF(AD11="","",AD11-R11-Q11)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/>
      <c r="AD11" s="66" t="str" cm="1">
        <f t="array" ref="AD11">IF(AG11="","",AG11-AF11)</f>
        <v/>
      </c>
      <c r="AE11" s="67"/>
      <c r="AF11" s="65"/>
      <c r="AG11" s="67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</row>
    <row r="12" spans="1:65" ht="25.5" customHeight="1">
      <c r="A12" s="10" cm="1">
        <f t="array" ref="A12">A11+1</f>
        <v>1</v>
      </c>
      <c r="B12" s="11" t="s">
        <v>58</v>
      </c>
      <c r="C12" s="18" t="s">
        <v>59</v>
      </c>
      <c r="D12" s="72" cm="1">
        <f t="array" ref="D12">IF(F12="","",F12-E12)</f>
        <v>46293</v>
      </c>
      <c r="E12" s="65">
        <v>7</v>
      </c>
      <c r="F12" s="68">
        <v>46300</v>
      </c>
      <c r="G12" s="67">
        <v>46301</v>
      </c>
      <c r="H12" s="65">
        <v>7</v>
      </c>
      <c r="I12" s="68" cm="1">
        <f t="array" ref="I12">IF(P12="","",P12-K12)</f>
        <v>46318</v>
      </c>
      <c r="J12" s="67">
        <v>46301</v>
      </c>
      <c r="K12" s="65">
        <v>7</v>
      </c>
      <c r="L12" s="68">
        <v>46302</v>
      </c>
      <c r="M12" s="68">
        <v>46314</v>
      </c>
      <c r="N12" s="68"/>
      <c r="O12" s="68"/>
      <c r="P12" s="68" cm="1">
        <f t="array" ref="P12">IF(AG12="","",AC12-R12-Q12)</f>
        <v>46325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v>46346</v>
      </c>
      <c r="AD12" s="68" cm="1">
        <f t="array" ref="AD12">IF(AG12="","",AG12-AF12)</f>
        <v>46379</v>
      </c>
      <c r="AE12" s="67"/>
      <c r="AF12" s="65">
        <v>14</v>
      </c>
      <c r="AG12" s="67">
        <v>46393</v>
      </c>
      <c r="AH12" s="74" t="s">
        <v>60</v>
      </c>
      <c r="AI12" s="70"/>
      <c r="AJ12" s="68"/>
      <c r="AK12" s="68"/>
      <c r="AL12" s="67"/>
      <c r="AM12" s="72"/>
      <c r="AN12" s="75" t="s">
        <v>61</v>
      </c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</row>
    <row r="13" spans="1:65" ht="25.5" customHeight="1">
      <c r="A13" s="10" cm="1">
        <f t="array" ref="A13">A12+1</f>
        <v>2</v>
      </c>
      <c r="B13" s="9"/>
      <c r="C13" s="19"/>
      <c r="D13" s="64" t="str" cm="1">
        <f t="array" ref="D13">IF(F13="","",F13-E13)</f>
        <v/>
      </c>
      <c r="E13" s="65"/>
      <c r="F13" s="66" t="str" cm="1">
        <f t="array" ref="F13">IF(I13="","",I13-H13)</f>
        <v/>
      </c>
      <c r="G13" s="67"/>
      <c r="H13" s="65"/>
      <c r="I13" s="66" t="str" cm="1">
        <f t="array" ref="I13">IF(P13="","",P13-K13)</f>
        <v/>
      </c>
      <c r="J13" s="67"/>
      <c r="K13" s="65"/>
      <c r="L13" s="68"/>
      <c r="M13" s="68"/>
      <c r="N13" s="68"/>
      <c r="O13" s="68"/>
      <c r="P13" s="66" t="str" cm="1">
        <f t="array" ref="P13">IF(AG13="","",AC13-R13-Q13)</f>
        <v/>
      </c>
      <c r="Q13" s="69"/>
      <c r="R13" s="69"/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/>
      <c r="AD13" s="66" t="str" cm="1">
        <f t="array" ref="AD13">IF(AG13="","",AG13-AF13)</f>
        <v/>
      </c>
      <c r="AE13" s="67"/>
      <c r="AF13" s="65"/>
      <c r="AG13" s="67"/>
      <c r="AH13" s="71"/>
      <c r="AI13" s="70"/>
      <c r="AJ13" s="68"/>
      <c r="AK13" s="68"/>
      <c r="AL13" s="67"/>
      <c r="AM13" s="72"/>
      <c r="AN13" s="73"/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40">
        <v>0.14285714285714299</v>
      </c>
      <c r="BF13" s="40">
        <v>0.85714285714285698</v>
      </c>
      <c r="BG13" s="28"/>
      <c r="BH13" s="28"/>
      <c r="BI13" s="28"/>
      <c r="BJ13" s="28"/>
      <c r="BK13" s="28"/>
      <c r="BL13" s="28"/>
      <c r="BM13" s="28"/>
    </row>
    <row r="14" spans="1:65" ht="25.5" customHeight="1">
      <c r="A14" s="10" cm="1">
        <f t="array" ref="A14">A13+1</f>
        <v>3</v>
      </c>
      <c r="B14" s="9"/>
      <c r="C14" s="19"/>
      <c r="D14" s="64" t="str" cm="1">
        <f t="array" ref="D14">IF(F14="","",F14-E14)</f>
        <v/>
      </c>
      <c r="E14" s="65"/>
      <c r="F14" s="66" t="str" cm="1">
        <f t="array" ref="F14">IF(I14="","",I14-H14)</f>
        <v/>
      </c>
      <c r="G14" s="67"/>
      <c r="H14" s="65"/>
      <c r="I14" s="66" t="str" cm="1">
        <f t="array" ref="I14">IF(P14="","",P14-K14)</f>
        <v/>
      </c>
      <c r="J14" s="67"/>
      <c r="K14" s="65"/>
      <c r="L14" s="68"/>
      <c r="M14" s="68"/>
      <c r="N14" s="68"/>
      <c r="O14" s="68"/>
      <c r="P14" s="66" t="str" cm="1">
        <f t="array" ref="P14">IF(AG14="","",AC14-R14-Q14)</f>
        <v/>
      </c>
      <c r="Q14" s="69"/>
      <c r="R14" s="69"/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/>
      <c r="AD14" s="66" t="str" cm="1">
        <f t="array" ref="AD14">IF(AG14="","",AG14-AF14)</f>
        <v/>
      </c>
      <c r="AE14" s="67"/>
      <c r="AF14" s="65"/>
      <c r="AG14" s="67"/>
      <c r="AH14" s="71"/>
      <c r="AI14" s="70"/>
      <c r="AJ14" s="68"/>
      <c r="AK14" s="68"/>
      <c r="AL14" s="67"/>
      <c r="AM14" s="72"/>
      <c r="AN14" s="73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</row>
    <row r="15" spans="1:65" ht="25.5" customHeight="1">
      <c r="A15" s="10" cm="1">
        <f t="array" ref="A15">A14+1</f>
        <v>4</v>
      </c>
      <c r="B15" s="9"/>
      <c r="C15" s="18" t="s">
        <v>62</v>
      </c>
      <c r="D15" s="64" t="str" cm="1">
        <f t="array" ref="D15">IF(F15="","",F15-E15)</f>
        <v/>
      </c>
      <c r="E15" s="65"/>
      <c r="F15" s="66" t="str" cm="1">
        <f t="array" ref="F15">IF(I15="","",I15-H15)</f>
        <v/>
      </c>
      <c r="G15" s="67"/>
      <c r="H15" s="65"/>
      <c r="I15" s="66" t="str" cm="1">
        <f t="array" ref="I15">IF(P15="","",P15-K15)</f>
        <v/>
      </c>
      <c r="J15" s="67"/>
      <c r="K15" s="65"/>
      <c r="L15" s="68"/>
      <c r="M15" s="68"/>
      <c r="N15" s="68"/>
      <c r="O15" s="68"/>
      <c r="P15" s="66" t="str" cm="1">
        <f t="array" ref="P15">IF(AG15="","",AC15-R15-Q15)</f>
        <v/>
      </c>
      <c r="Q15" s="69"/>
      <c r="R15" s="69"/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/>
      <c r="AD15" s="66" t="str" cm="1">
        <f t="array" ref="AD15">IF(AG15="","",AG15-AF15)</f>
        <v/>
      </c>
      <c r="AE15" s="67"/>
      <c r="AF15" s="65"/>
      <c r="AG15" s="67"/>
      <c r="AH15" s="71"/>
      <c r="AI15" s="70"/>
      <c r="AJ15" s="68"/>
      <c r="AK15" s="68"/>
      <c r="AL15" s="67"/>
      <c r="AM15" s="72"/>
      <c r="AN15" s="73"/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</row>
    <row r="16" spans="1:65" ht="25.5" customHeight="1">
      <c r="A16" s="10" cm="1">
        <f t="array" ref="A16">A15+1</f>
        <v>5</v>
      </c>
      <c r="B16" s="11" t="s">
        <v>63</v>
      </c>
      <c r="C16" s="18" t="s">
        <v>64</v>
      </c>
      <c r="D16" s="72" cm="1">
        <f t="array" ref="D16">IF(F16="","",F16-E16)</f>
        <v>46279</v>
      </c>
      <c r="E16" s="65">
        <v>7</v>
      </c>
      <c r="F16" s="68" cm="1">
        <f t="array" ref="F16">IF(I16="","",I16-H16)</f>
        <v>46286</v>
      </c>
      <c r="G16" s="67">
        <v>46281</v>
      </c>
      <c r="H16" s="65">
        <v>7</v>
      </c>
      <c r="I16" s="68" cm="1">
        <f t="array" ref="I16">IF(P16="","",P16-K16)</f>
        <v>46293</v>
      </c>
      <c r="J16" s="67">
        <v>46282</v>
      </c>
      <c r="K16" s="65">
        <v>7</v>
      </c>
      <c r="L16" s="68">
        <v>46293</v>
      </c>
      <c r="M16" s="68">
        <v>46308</v>
      </c>
      <c r="N16" s="68"/>
      <c r="O16" s="68"/>
      <c r="P16" s="68" cm="1">
        <f t="array" ref="P16">IF(AG16="","",AC16-R16-Q16)</f>
        <v>46300</v>
      </c>
      <c r="Q16" s="69">
        <v>7</v>
      </c>
      <c r="R16" s="69">
        <v>14</v>
      </c>
      <c r="S16" s="68">
        <v>46318</v>
      </c>
      <c r="T16" s="68"/>
      <c r="U16" s="68"/>
      <c r="V16" s="68"/>
      <c r="W16" s="68"/>
      <c r="X16" s="68"/>
      <c r="Y16" s="68"/>
      <c r="Z16" s="68"/>
      <c r="AA16" s="68"/>
      <c r="AB16" s="67"/>
      <c r="AC16" s="70">
        <v>46321</v>
      </c>
      <c r="AD16" s="68" cm="1">
        <f t="array" ref="AD16">IF(AG16="","",AG16-AF16)</f>
        <v>46321</v>
      </c>
      <c r="AE16" s="67"/>
      <c r="AF16" s="65">
        <v>14</v>
      </c>
      <c r="AG16" s="67">
        <v>46335</v>
      </c>
      <c r="AH16" s="74" t="s">
        <v>65</v>
      </c>
      <c r="AI16" s="70"/>
      <c r="AJ16" s="68"/>
      <c r="AK16" s="68"/>
      <c r="AL16" s="67"/>
      <c r="AM16" s="72"/>
      <c r="AN16" s="73" t="s">
        <v>273</v>
      </c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</row>
    <row r="17" spans="1:65" ht="25.5" customHeight="1">
      <c r="A17" s="10" cm="1">
        <f t="array" ref="A17">A16+1</f>
        <v>6</v>
      </c>
      <c r="B17" s="11" t="s">
        <v>66</v>
      </c>
      <c r="C17" s="18" t="s">
        <v>67</v>
      </c>
      <c r="D17" s="72" cm="1">
        <f t="array" ref="D17">IF(F17="","",F17-E17)</f>
        <v>46301</v>
      </c>
      <c r="E17" s="65">
        <v>7</v>
      </c>
      <c r="F17" s="68">
        <v>46308</v>
      </c>
      <c r="G17" s="67">
        <v>46307</v>
      </c>
      <c r="H17" s="65">
        <v>7</v>
      </c>
      <c r="I17" s="68" cm="1">
        <f t="array" ref="I17">IF(P17="","",P17-K17)</f>
        <v>46315</v>
      </c>
      <c r="J17" s="67">
        <v>46318</v>
      </c>
      <c r="K17" s="65">
        <v>7</v>
      </c>
      <c r="L17" s="68">
        <v>46318</v>
      </c>
      <c r="M17" s="68"/>
      <c r="N17" s="68"/>
      <c r="O17" s="68"/>
      <c r="P17" s="68" cm="1">
        <f t="array" ref="P17">IF(AG17="","",AC17-R17-Q17)</f>
        <v>46322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v>46343</v>
      </c>
      <c r="AD17" s="68" cm="1">
        <f t="array" ref="AD17">IF(AG17="","",AG17-AF17)</f>
        <v>46338</v>
      </c>
      <c r="AE17" s="67"/>
      <c r="AF17" s="65">
        <v>7</v>
      </c>
      <c r="AG17" s="67">
        <v>46345</v>
      </c>
      <c r="AH17" s="74" t="s">
        <v>65</v>
      </c>
      <c r="AI17" s="70"/>
      <c r="AJ17" s="68"/>
      <c r="AK17" s="68"/>
      <c r="AL17" s="67"/>
      <c r="AM17" s="72"/>
      <c r="AN17" s="73" t="s">
        <v>272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</row>
    <row r="18" spans="1:65" ht="25.5" customHeight="1">
      <c r="A18" s="10" cm="1">
        <f t="array" ref="A18">A17+1</f>
        <v>7</v>
      </c>
      <c r="B18" s="11" t="s">
        <v>68</v>
      </c>
      <c r="C18" s="18" t="s">
        <v>69</v>
      </c>
      <c r="D18" s="72" cm="1">
        <f t="array" ref="D18">IF(F18="","",F18-E18)</f>
        <v>46317</v>
      </c>
      <c r="E18" s="65">
        <v>7</v>
      </c>
      <c r="F18" s="68">
        <v>46324</v>
      </c>
      <c r="G18" s="67"/>
      <c r="H18" s="65">
        <v>7</v>
      </c>
      <c r="I18" s="68" cm="1">
        <f t="array" ref="I18">IF(P18="","",P18-K18)</f>
        <v>46328</v>
      </c>
      <c r="J18" s="67"/>
      <c r="K18" s="65">
        <v>7</v>
      </c>
      <c r="L18" s="68"/>
      <c r="M18" s="68"/>
      <c r="N18" s="68"/>
      <c r="O18" s="68"/>
      <c r="P18" s="68" cm="1">
        <f t="array" ref="P18">IF(AG18="","",AC18-R18-Q18)</f>
        <v>46335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v>46356</v>
      </c>
      <c r="AD18" s="68" cm="1">
        <f t="array" ref="AD18">IF(AG18="","",AG18-AF18)</f>
        <v>46363</v>
      </c>
      <c r="AE18" s="67"/>
      <c r="AF18" s="65">
        <v>7</v>
      </c>
      <c r="AG18" s="67">
        <v>46370</v>
      </c>
      <c r="AH18" s="74" t="s">
        <v>65</v>
      </c>
      <c r="AI18" s="70"/>
      <c r="AJ18" s="68"/>
      <c r="AK18" s="68"/>
      <c r="AL18" s="67"/>
      <c r="AM18" s="72"/>
      <c r="AN18" s="345" t="s">
        <v>274</v>
      </c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</row>
    <row r="19" spans="1:65" ht="25.5" customHeight="1">
      <c r="A19" s="10" cm="1">
        <f t="array" ref="A19">A18+1</f>
        <v>8</v>
      </c>
      <c r="B19" s="11" t="s">
        <v>70</v>
      </c>
      <c r="C19" s="18" t="s">
        <v>285</v>
      </c>
      <c r="D19" s="72" cm="1">
        <f t="array" ref="D19">IF(F19="","",F19-E19)</f>
        <v>46297</v>
      </c>
      <c r="E19" s="65">
        <v>7</v>
      </c>
      <c r="F19" s="68">
        <v>46304</v>
      </c>
      <c r="G19" s="67">
        <v>46304</v>
      </c>
      <c r="H19" s="65">
        <v>7</v>
      </c>
      <c r="I19" s="68" cm="1">
        <f t="array" ref="I19">IF(P19="","",P19-K19)</f>
        <v>46307</v>
      </c>
      <c r="J19" s="67">
        <v>46305</v>
      </c>
      <c r="K19" s="65">
        <v>7</v>
      </c>
      <c r="L19" s="68">
        <v>46310</v>
      </c>
      <c r="M19" s="68">
        <v>46318</v>
      </c>
      <c r="N19" s="68"/>
      <c r="O19" s="68"/>
      <c r="P19" s="68" cm="1">
        <f t="array" ref="P19">IF(AG19="","",AC19-R19-Q19)</f>
        <v>46314</v>
      </c>
      <c r="Q19" s="69">
        <v>7</v>
      </c>
      <c r="R19" s="69">
        <v>7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v>46328</v>
      </c>
      <c r="AD19" s="68" cm="1">
        <f t="array" ref="AD19">IF(AG19="","",AG19-AF19)</f>
        <v>46331</v>
      </c>
      <c r="AE19" s="67"/>
      <c r="AF19" s="65">
        <v>7</v>
      </c>
      <c r="AG19" s="67">
        <v>46338</v>
      </c>
      <c r="AH19" s="74" t="s">
        <v>65</v>
      </c>
      <c r="AI19" s="70"/>
      <c r="AJ19" s="68"/>
      <c r="AK19" s="68"/>
      <c r="AL19" s="67"/>
      <c r="AM19" s="72"/>
      <c r="AN19" s="75" t="s">
        <v>275</v>
      </c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</row>
    <row r="20" spans="1:65" ht="25.5" customHeight="1">
      <c r="A20" s="10" cm="1">
        <f t="array" ref="A20">A19+1</f>
        <v>9</v>
      </c>
      <c r="B20" s="11" t="s">
        <v>71</v>
      </c>
      <c r="C20" s="18" t="s">
        <v>72</v>
      </c>
      <c r="D20" s="72" cm="1">
        <f t="array" ref="D20">IF(F20="","",F20-E20)</f>
        <v>46311</v>
      </c>
      <c r="E20" s="65">
        <v>7</v>
      </c>
      <c r="F20" s="68">
        <v>46318</v>
      </c>
      <c r="G20" s="67">
        <v>46318</v>
      </c>
      <c r="H20" s="65">
        <v>7</v>
      </c>
      <c r="I20" s="68" cm="1">
        <f t="array" ref="I20">IF(P20="","",P20-K20)</f>
        <v>46332</v>
      </c>
      <c r="J20" s="67">
        <v>46324</v>
      </c>
      <c r="K20" s="65">
        <v>7</v>
      </c>
      <c r="L20" s="68">
        <v>46324</v>
      </c>
      <c r="M20" s="68"/>
      <c r="N20" s="68"/>
      <c r="O20" s="68"/>
      <c r="P20" s="68" cm="1">
        <f t="array" ref="P20">IF(AG20="","",AC20-R20-Q20)</f>
        <v>46339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v>46360</v>
      </c>
      <c r="AD20" s="68" cm="1">
        <f t="array" ref="AD20">IF(AG20="","",AG20-AF20)</f>
        <v>46359</v>
      </c>
      <c r="AE20" s="67"/>
      <c r="AF20" s="65">
        <v>60</v>
      </c>
      <c r="AG20" s="67">
        <v>46419</v>
      </c>
      <c r="AH20" s="74" t="s">
        <v>65</v>
      </c>
      <c r="AI20" s="70"/>
      <c r="AJ20" s="68"/>
      <c r="AK20" s="68"/>
      <c r="AL20" s="67"/>
      <c r="AM20" s="72"/>
      <c r="AN20" s="75" t="s">
        <v>73</v>
      </c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</row>
    <row r="21" spans="1:65" ht="25.5" customHeight="1">
      <c r="A21" s="10" cm="1">
        <f t="array" ref="A21">A20+1</f>
        <v>10</v>
      </c>
      <c r="B21" s="9"/>
      <c r="C21" s="19"/>
      <c r="D21" s="64" t="str" cm="1">
        <f t="array" ref="D21">IF(F21="","",F21-E21)</f>
        <v/>
      </c>
      <c r="E21" s="65"/>
      <c r="F21" s="66" t="str" cm="1">
        <f t="array" ref="F21">IF(I21="","",I21-H21)</f>
        <v/>
      </c>
      <c r="G21" s="67"/>
      <c r="H21" s="65"/>
      <c r="I21" s="66" t="str" cm="1">
        <f t="array" ref="I21">IF(P21="","",P21-K21)</f>
        <v/>
      </c>
      <c r="J21" s="67"/>
      <c r="K21" s="65"/>
      <c r="L21" s="68"/>
      <c r="M21" s="68"/>
      <c r="N21" s="68"/>
      <c r="O21" s="68"/>
      <c r="P21" s="66" t="str" cm="1">
        <f t="array" ref="P21">IF(AG21="","",AC21-R21-Q21)</f>
        <v/>
      </c>
      <c r="Q21" s="69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/>
      <c r="AD21" s="66" t="str" cm="1">
        <f t="array" ref="AD21">IF(AG21="","",AG21-AF21)</f>
        <v/>
      </c>
      <c r="AE21" s="67"/>
      <c r="AF21" s="65"/>
      <c r="AG21" s="67"/>
      <c r="AH21" s="71"/>
      <c r="AI21" s="70"/>
      <c r="AJ21" s="68"/>
      <c r="AK21" s="68"/>
      <c r="AL21" s="67"/>
      <c r="AM21" s="72"/>
      <c r="AN21" s="73"/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</row>
    <row r="22" spans="1:65" ht="25.5" customHeight="1">
      <c r="A22" s="10" cm="1">
        <f t="array" ref="A22">A21+1</f>
        <v>11</v>
      </c>
      <c r="B22" s="9"/>
      <c r="C22" s="19"/>
      <c r="D22" s="64" t="str" cm="1">
        <f t="array" ref="D22">IF(F22="","",F22-E22)</f>
        <v/>
      </c>
      <c r="E22" s="65"/>
      <c r="F22" s="66" t="str" cm="1">
        <f t="array" ref="F22">IF(I22="","",I22-H22)</f>
        <v/>
      </c>
      <c r="G22" s="67"/>
      <c r="H22" s="65"/>
      <c r="I22" s="66" t="str" cm="1">
        <f t="array" ref="I22">IF(P22="","",P22-K22)</f>
        <v/>
      </c>
      <c r="J22" s="67"/>
      <c r="K22" s="65"/>
      <c r="L22" s="68"/>
      <c r="M22" s="68"/>
      <c r="N22" s="68"/>
      <c r="O22" s="68"/>
      <c r="P22" s="66" t="str" cm="1">
        <f t="array" ref="P22">IF(AG22="","",AC22-R22-Q22)</f>
        <v/>
      </c>
      <c r="Q22" s="69"/>
      <c r="R22" s="69"/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/>
      <c r="AD22" s="66" t="str" cm="1">
        <f t="array" ref="AD22">IF(AG22="","",AG22-AF22)</f>
        <v/>
      </c>
      <c r="AE22" s="67"/>
      <c r="AF22" s="65"/>
      <c r="AG22" s="67"/>
      <c r="AH22" s="71"/>
      <c r="AI22" s="70"/>
      <c r="AJ22" s="68"/>
      <c r="AK22" s="68"/>
      <c r="AL22" s="67"/>
      <c r="AM22" s="72"/>
      <c r="AN22" s="73"/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</row>
    <row r="23" spans="1:65" ht="25.5" customHeight="1">
      <c r="A23" s="10" cm="1">
        <f t="array" ref="A23">A21+1</f>
        <v>11</v>
      </c>
      <c r="B23" s="9"/>
      <c r="C23" s="19"/>
      <c r="D23" s="64" t="str" cm="1">
        <f t="array" ref="D23">IF(F23="","",F23-E23)</f>
        <v/>
      </c>
      <c r="E23" s="65"/>
      <c r="F23" s="66" t="str" cm="1">
        <f t="array" ref="F23">IF(I23="","",I23-H23)</f>
        <v/>
      </c>
      <c r="G23" s="67"/>
      <c r="H23" s="65"/>
      <c r="I23" s="66" t="str" cm="1">
        <f t="array" ref="I23">IF(P23="","",P23-K23)</f>
        <v/>
      </c>
      <c r="J23" s="67"/>
      <c r="K23" s="65"/>
      <c r="L23" s="68"/>
      <c r="M23" s="68"/>
      <c r="N23" s="68"/>
      <c r="O23" s="68"/>
      <c r="P23" s="66" t="str" cm="1">
        <f t="array" ref="P23">IF(AG23="","",AC23-R23-Q23)</f>
        <v/>
      </c>
      <c r="Q23" s="69"/>
      <c r="R23" s="69"/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/>
      <c r="AD23" s="66" t="str" cm="1">
        <f t="array" ref="AD23">IF(AG23="","",AG23-AF23)</f>
        <v/>
      </c>
      <c r="AE23" s="67"/>
      <c r="AF23" s="65"/>
      <c r="AG23" s="67"/>
      <c r="AH23" s="71"/>
      <c r="AI23" s="70"/>
      <c r="AJ23" s="68"/>
      <c r="AK23" s="68"/>
      <c r="AL23" s="67"/>
      <c r="AM23" s="72"/>
      <c r="AN23" s="73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</row>
    <row r="24" spans="1:65" ht="25.5" customHeight="1">
      <c r="A24" s="10" cm="1">
        <f t="array" ref="A24">A23+1</f>
        <v>12</v>
      </c>
      <c r="B24" s="9"/>
      <c r="C24" s="19"/>
      <c r="D24" s="64" t="str" cm="1">
        <f t="array" ref="D24">IF(F24="","",F24-E24)</f>
        <v/>
      </c>
      <c r="E24" s="65"/>
      <c r="F24" s="66" t="str" cm="1">
        <f t="array" ref="F24">IF(I24="","",I24-H24)</f>
        <v/>
      </c>
      <c r="G24" s="67"/>
      <c r="H24" s="65"/>
      <c r="I24" s="66" t="str" cm="1">
        <f t="array" ref="I24">IF(P24="","",P24-K24)</f>
        <v/>
      </c>
      <c r="J24" s="67"/>
      <c r="K24" s="65"/>
      <c r="L24" s="68"/>
      <c r="M24" s="68"/>
      <c r="N24" s="68"/>
      <c r="O24" s="68"/>
      <c r="P24" s="66" t="str" cm="1">
        <f t="array" ref="P24">IF(AG24="","",AC24-R24-Q24)</f>
        <v/>
      </c>
      <c r="Q24" s="69"/>
      <c r="R24" s="69"/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/>
      <c r="AD24" s="66" t="str" cm="1">
        <f t="array" ref="AD24">IF(AG24="","",AG24-AF24)</f>
        <v/>
      </c>
      <c r="AE24" s="67"/>
      <c r="AF24" s="65"/>
      <c r="AG24" s="67"/>
      <c r="AH24" s="71"/>
      <c r="AI24" s="70"/>
      <c r="AJ24" s="68"/>
      <c r="AK24" s="68"/>
      <c r="AL24" s="67"/>
      <c r="AM24" s="72"/>
      <c r="AN24" s="73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</row>
    <row r="25" spans="1:65" ht="25.5" customHeight="1">
      <c r="A25" s="10" cm="1">
        <f t="array" ref="A25">A24+1</f>
        <v>13</v>
      </c>
      <c r="B25" s="9"/>
      <c r="C25" s="19"/>
      <c r="D25" s="64" t="str" cm="1">
        <f t="array" ref="D25">IF(F25="","",F25-E25)</f>
        <v/>
      </c>
      <c r="E25" s="65"/>
      <c r="F25" s="66" t="str" cm="1">
        <f t="array" ref="F25">IF(I25="","",I25-H25)</f>
        <v/>
      </c>
      <c r="G25" s="67"/>
      <c r="H25" s="65"/>
      <c r="I25" s="66" t="str" cm="1">
        <f t="array" ref="I25">IF(P25="","",P25-K25)</f>
        <v/>
      </c>
      <c r="J25" s="67"/>
      <c r="K25" s="65"/>
      <c r="L25" s="68"/>
      <c r="M25" s="68"/>
      <c r="N25" s="68"/>
      <c r="O25" s="68"/>
      <c r="P25" s="66" t="str" cm="1">
        <f t="array" ref="P25">IF(AG25="","",AC25-R25-Q25)</f>
        <v/>
      </c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6" t="str" cm="1">
        <f t="array" ref="AD25">IF(AG25="","",AG25-AF25)</f>
        <v/>
      </c>
      <c r="AE25" s="67"/>
      <c r="AF25" s="65"/>
      <c r="AG25" s="67"/>
      <c r="AH25" s="71"/>
      <c r="AI25" s="70"/>
      <c r="AJ25" s="68"/>
      <c r="AK25" s="68"/>
      <c r="AL25" s="67"/>
      <c r="AM25" s="72"/>
      <c r="AN25" s="73"/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</row>
    <row r="26" spans="1:65" ht="25.5" customHeight="1">
      <c r="A26" s="10" cm="1">
        <f t="array" ref="A26">A25+1</f>
        <v>14</v>
      </c>
      <c r="B26" s="9"/>
      <c r="C26" s="19"/>
      <c r="D26" s="64" t="str" cm="1">
        <f t="array" ref="D26">IF(F26="","",F26-E26)</f>
        <v/>
      </c>
      <c r="E26" s="65"/>
      <c r="F26" s="66" t="str" cm="1">
        <f t="array" ref="F26">IF(I26="","",I26-H26)</f>
        <v/>
      </c>
      <c r="G26" s="67"/>
      <c r="H26" s="65"/>
      <c r="I26" s="66" t="str" cm="1">
        <f t="array" ref="I26">IF(P26="","",P26-K26)</f>
        <v/>
      </c>
      <c r="J26" s="67"/>
      <c r="K26" s="65"/>
      <c r="L26" s="68"/>
      <c r="M26" s="68"/>
      <c r="N26" s="68"/>
      <c r="O26" s="68"/>
      <c r="P26" s="66" t="str" cm="1">
        <f t="array" ref="P26">IF(AG26="","",AC26-R26-Q26)</f>
        <v/>
      </c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6" t="str" cm="1">
        <f t="array" ref="AD26">IF(AG26="","",AG26-AF26)</f>
        <v/>
      </c>
      <c r="AE26" s="67"/>
      <c r="AF26" s="65"/>
      <c r="AG26" s="67"/>
      <c r="AH26" s="71"/>
      <c r="AI26" s="70"/>
      <c r="AJ26" s="68"/>
      <c r="AK26" s="68"/>
      <c r="AL26" s="67"/>
      <c r="AM26" s="72"/>
      <c r="AN26" s="73"/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</row>
    <row r="27" spans="1:65" ht="25.5" customHeight="1">
      <c r="A27" s="10" cm="1">
        <f t="array" ref="A27">A26+1</f>
        <v>15</v>
      </c>
      <c r="B27" s="9"/>
      <c r="C27" s="19"/>
      <c r="D27" s="64" t="str" cm="1">
        <f t="array" ref="D27">IF(F27="","",F27-E27)</f>
        <v/>
      </c>
      <c r="E27" s="65"/>
      <c r="F27" s="66" t="str" cm="1">
        <f t="array" ref="F27">IF(I27="","",I27-H27)</f>
        <v/>
      </c>
      <c r="G27" s="67"/>
      <c r="H27" s="65"/>
      <c r="I27" s="66" t="str" cm="1">
        <f t="array" ref="I27">IF(P27="","",P27-K27)</f>
        <v/>
      </c>
      <c r="J27" s="67"/>
      <c r="K27" s="65"/>
      <c r="L27" s="68"/>
      <c r="M27" s="68"/>
      <c r="N27" s="68"/>
      <c r="O27" s="68"/>
      <c r="P27" s="66" t="str" cm="1">
        <f t="array" ref="P27">IF(AG27="","",AC27-R27-Q27)</f>
        <v/>
      </c>
      <c r="Q27" s="69"/>
      <c r="R27" s="69"/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/>
      <c r="AD27" s="66" t="str" cm="1">
        <f t="array" ref="AD27">IF(AG27="","",AG27-AF27)</f>
        <v/>
      </c>
      <c r="AE27" s="67"/>
      <c r="AF27" s="65"/>
      <c r="AG27" s="67"/>
      <c r="AH27" s="71"/>
      <c r="AI27" s="70"/>
      <c r="AJ27" s="68"/>
      <c r="AK27" s="68"/>
      <c r="AL27" s="67"/>
      <c r="AM27" s="72"/>
      <c r="AN27" s="73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</row>
    <row r="28" spans="1:65" ht="25.5" customHeight="1">
      <c r="A28" s="10" cm="1">
        <f t="array" ref="A28">A27+1</f>
        <v>16</v>
      </c>
      <c r="B28" s="9"/>
      <c r="C28" s="19"/>
      <c r="D28" s="64" t="str" cm="1">
        <f t="array" ref="D28">IF(F28="","",F28-E28)</f>
        <v/>
      </c>
      <c r="E28" s="65"/>
      <c r="F28" s="66" t="str" cm="1">
        <f t="array" ref="F28">IF(I28="","",I28-H28)</f>
        <v/>
      </c>
      <c r="G28" s="67"/>
      <c r="H28" s="65"/>
      <c r="I28" s="66" t="str" cm="1">
        <f t="array" ref="I28">IF(P28="","",P28-K28)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/>
      <c r="AD28" s="66" t="str" cm="1">
        <f t="array" ref="AD28">IF(AG28="","",AG28-AF28)</f>
        <v/>
      </c>
      <c r="AE28" s="67"/>
      <c r="AF28" s="65"/>
      <c r="AG28" s="67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</row>
    <row r="29" spans="1:65" ht="25.5" customHeight="1">
      <c r="A29" s="10" cm="1">
        <f t="array" ref="A29">A28+1</f>
        <v>17</v>
      </c>
      <c r="B29" s="9"/>
      <c r="C29" s="19"/>
      <c r="D29" s="64" t="str" cm="1">
        <f t="array" ref="D29">IF(F29="","",F29-E29)</f>
        <v/>
      </c>
      <c r="E29" s="65"/>
      <c r="F29" s="66" t="str" cm="1">
        <f t="array" ref="F29">IF(I29="","",I29-H29)</f>
        <v/>
      </c>
      <c r="G29" s="67"/>
      <c r="H29" s="65"/>
      <c r="I29" s="66" t="str" cm="1">
        <f t="array" ref="I29">IF(P29="","",P29-K29)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/>
      <c r="AD29" s="66" t="str" cm="1">
        <f t="array" ref="AD29">IF(AG29="","",AG29-AF29)</f>
        <v/>
      </c>
      <c r="AE29" s="67"/>
      <c r="AF29" s="65"/>
      <c r="AG29" s="67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</row>
    <row r="30" spans="1:65" ht="25.5" customHeight="1">
      <c r="A30" s="10" cm="1">
        <f t="array" ref="A30">A29+1</f>
        <v>18</v>
      </c>
      <c r="B30" s="9"/>
      <c r="C30" s="19"/>
      <c r="D30" s="64" t="str" cm="1">
        <f t="array" ref="D30">IF(F30="","",F30-E30)</f>
        <v/>
      </c>
      <c r="E30" s="65"/>
      <c r="F30" s="66" t="str" cm="1">
        <f t="array" ref="F30">IF(I30="","",I30-H30)</f>
        <v/>
      </c>
      <c r="G30" s="67"/>
      <c r="H30" s="65"/>
      <c r="I30" s="66" t="str" cm="1">
        <f t="array" ref="I30">IF(P30="","",P30-K30)</f>
        <v/>
      </c>
      <c r="J30" s="67"/>
      <c r="K30" s="65"/>
      <c r="L30" s="68"/>
      <c r="M30" s="68"/>
      <c r="N30" s="68"/>
      <c r="O30" s="68"/>
      <c r="P30" s="66" t="str" cm="1">
        <f t="array" ref="P30">IF(AG30="","",AC30-R30-Q30)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/>
      <c r="AD30" s="66" t="str" cm="1">
        <f t="array" ref="AD30">IF(AG30="","",AG30-AF30)</f>
        <v/>
      </c>
      <c r="AE30" s="67"/>
      <c r="AF30" s="65"/>
      <c r="AG30" s="67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</row>
    <row r="31" spans="1:65" ht="25.5" customHeight="1">
      <c r="A31" s="10" cm="1">
        <f t="array" ref="A31">A30+1</f>
        <v>19</v>
      </c>
      <c r="B31" s="9"/>
      <c r="C31" s="19"/>
      <c r="D31" s="64" t="str" cm="1">
        <f t="array" ref="D31">IF(F31="","",F31-E31)</f>
        <v/>
      </c>
      <c r="E31" s="65"/>
      <c r="F31" s="66" t="str" cm="1">
        <f t="array" ref="F31">IF(I31="","",I31-H31)</f>
        <v/>
      </c>
      <c r="G31" s="67"/>
      <c r="H31" s="65"/>
      <c r="I31" s="66" t="str" cm="1">
        <f t="array" ref="I31">IF(P31="","",P31-K31)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/>
      <c r="AD31" s="66" t="str" cm="1">
        <f t="array" ref="AD31">IF(AG31="","",AG31-AF31)</f>
        <v/>
      </c>
      <c r="AE31" s="67"/>
      <c r="AF31" s="65"/>
      <c r="AG31" s="67"/>
      <c r="AH31" s="71"/>
      <c r="AI31" s="70"/>
      <c r="AJ31" s="68"/>
      <c r="AK31" s="68"/>
      <c r="AL31" s="67"/>
      <c r="AM31" s="72"/>
      <c r="AN31" s="73"/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</row>
    <row r="32" spans="1:65" ht="25.5" customHeight="1">
      <c r="A32" s="10" cm="1">
        <f t="array" ref="A32">A31+1</f>
        <v>20</v>
      </c>
      <c r="B32" s="9"/>
      <c r="C32" s="19"/>
      <c r="D32" s="64" t="str" cm="1">
        <f t="array" ref="D32">IF(F32="","",F32-E32)</f>
        <v/>
      </c>
      <c r="E32" s="65"/>
      <c r="F32" s="66" t="str" cm="1">
        <f t="array" ref="F32">IF(I32="","",I32-H32)</f>
        <v/>
      </c>
      <c r="G32" s="67"/>
      <c r="H32" s="65"/>
      <c r="I32" s="66" t="str" cm="1">
        <f t="array" ref="I32">IF(P32="","",P32-K32)</f>
        <v/>
      </c>
      <c r="J32" s="67"/>
      <c r="K32" s="65"/>
      <c r="L32" s="68"/>
      <c r="M32" s="68"/>
      <c r="N32" s="68"/>
      <c r="O32" s="68"/>
      <c r="P32" s="66" t="str" cm="1">
        <f t="array" ref="P32">IF(AG32="","",AC32-R32-Q32)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/>
      <c r="AD32" s="66" t="str" cm="1">
        <f t="array" ref="AD32">IF(AG32="","",AG32-AF32)</f>
        <v/>
      </c>
      <c r="AE32" s="67"/>
      <c r="AF32" s="65"/>
      <c r="AG32" s="67"/>
      <c r="AH32" s="71"/>
      <c r="AI32" s="70"/>
      <c r="AJ32" s="68"/>
      <c r="AK32" s="68"/>
      <c r="AL32" s="67"/>
      <c r="AM32" s="72"/>
      <c r="AN32" s="73"/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</row>
    <row r="33" spans="1:65" ht="25.5" customHeight="1">
      <c r="A33" s="10" cm="1">
        <f t="array" ref="A33">A32+1</f>
        <v>21</v>
      </c>
      <c r="B33" s="9"/>
      <c r="C33" s="19"/>
      <c r="D33" s="64" t="str" cm="1">
        <f t="array" ref="D33">IF(F33="","",F33-E33)</f>
        <v/>
      </c>
      <c r="E33" s="65"/>
      <c r="F33" s="66" t="str" cm="1">
        <f t="array" ref="F33">IF(I33="","",I33-H33)</f>
        <v/>
      </c>
      <c r="G33" s="67"/>
      <c r="H33" s="65"/>
      <c r="I33" s="66" t="str" cm="1">
        <f t="array" ref="I33">IF(P33="","",P33-K33)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/>
      <c r="AD33" s="66" t="str" cm="1">
        <f t="array" ref="AD33">IF(AG33="","",AG33-AF33)</f>
        <v/>
      </c>
      <c r="AE33" s="67"/>
      <c r="AF33" s="65"/>
      <c r="AG33" s="67"/>
      <c r="AH33" s="71"/>
      <c r="AI33" s="70"/>
      <c r="AJ33" s="68"/>
      <c r="AK33" s="68"/>
      <c r="AL33" s="67"/>
      <c r="AM33" s="72"/>
      <c r="AN33" s="73"/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</row>
    <row r="34" spans="1:65" ht="25.5" customHeight="1">
      <c r="A34" s="10" cm="1">
        <f t="array" ref="A34">A33+1</f>
        <v>22</v>
      </c>
      <c r="B34" s="9"/>
      <c r="C34" s="19"/>
      <c r="D34" s="64" t="str" cm="1">
        <f t="array" ref="D34">IF(F34="","",F34-E34)</f>
        <v/>
      </c>
      <c r="E34" s="65"/>
      <c r="F34" s="66" t="str" cm="1">
        <f t="array" ref="F34">IF(I34="","",I34-H34)</f>
        <v/>
      </c>
      <c r="G34" s="67"/>
      <c r="H34" s="65"/>
      <c r="I34" s="66" t="str" cm="1">
        <f t="array" ref="I34">IF(P34="","",P34-K34)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/>
      <c r="AD34" s="66" t="str" cm="1">
        <f t="array" ref="AD34">IF(AG34="","",AG34-AF34)</f>
        <v/>
      </c>
      <c r="AE34" s="67"/>
      <c r="AF34" s="65"/>
      <c r="AG34" s="67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</row>
    <row r="35" spans="1:65" ht="25.5" customHeight="1">
      <c r="A35" s="10" cm="1">
        <f t="array" ref="A35">A34+1</f>
        <v>23</v>
      </c>
      <c r="B35" s="9"/>
      <c r="C35" s="18"/>
      <c r="D35" s="64" t="str" cm="1">
        <f t="array" ref="D35">IF(F35="","",F35-E35)</f>
        <v/>
      </c>
      <c r="E35" s="65"/>
      <c r="F35" s="66" t="str" cm="1">
        <f t="array" ref="F35">IF(I35="","",I35-H35)</f>
        <v/>
      </c>
      <c r="G35" s="67"/>
      <c r="H35" s="65"/>
      <c r="I35" s="66" t="str" cm="1">
        <f t="array" ref="I35">IF(P35="","",P35-K35)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/>
      <c r="AD35" s="66" t="str" cm="1">
        <f t="array" ref="AD35">IF(AG35="","",AG35-AF35)</f>
        <v/>
      </c>
      <c r="AE35" s="67"/>
      <c r="AF35" s="65"/>
      <c r="AG35" s="67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</row>
    <row r="36" spans="1:65" ht="25.5" customHeight="1">
      <c r="A36" s="10" cm="1">
        <f t="array" ref="A36">A35+1</f>
        <v>24</v>
      </c>
      <c r="B36" s="9"/>
      <c r="C36" s="19"/>
      <c r="D36" s="64" t="str" cm="1">
        <f t="array" ref="D36">IF(F36="","",F36-E36)</f>
        <v/>
      </c>
      <c r="E36" s="65"/>
      <c r="F36" s="66" t="str" cm="1">
        <f t="array" ref="F36">IF(I36="","",I36-H36)</f>
        <v/>
      </c>
      <c r="G36" s="67"/>
      <c r="H36" s="65"/>
      <c r="I36" s="66" t="str" cm="1">
        <f t="array" ref="I36">IF(P36="","",P36-K36)</f>
        <v/>
      </c>
      <c r="J36" s="67"/>
      <c r="K36" s="65"/>
      <c r="L36" s="68"/>
      <c r="M36" s="68"/>
      <c r="N36" s="68"/>
      <c r="O36" s="68"/>
      <c r="P36" s="66" t="str" cm="1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/>
      <c r="AD36" s="66" t="str" cm="1">
        <f t="array" ref="AD36">IF(AG36="","",AG36-AF36)</f>
        <v/>
      </c>
      <c r="AE36" s="67"/>
      <c r="AF36" s="65"/>
      <c r="AG36" s="67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</row>
    <row r="37" spans="1:65" ht="25.5" customHeight="1">
      <c r="A37" s="10" cm="1">
        <f t="array" ref="A37">A36+1</f>
        <v>25</v>
      </c>
      <c r="B37" s="9"/>
      <c r="C37" s="19"/>
      <c r="D37" s="64" t="str" cm="1">
        <f t="array" ref="D37">IF(F37="","",F37-E37)</f>
        <v/>
      </c>
      <c r="E37" s="65"/>
      <c r="F37" s="66" t="str" cm="1">
        <f t="array" ref="F37">IF(I37="","",I37-H37)</f>
        <v/>
      </c>
      <c r="G37" s="67"/>
      <c r="H37" s="65"/>
      <c r="I37" s="66" t="str" cm="1">
        <f t="array" ref="I37">IF(P37="","",P37-K37)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/>
      <c r="AD37" s="66" t="str" cm="1">
        <f t="array" ref="AD37">IF(AG37="","",AG37-AF37)</f>
        <v/>
      </c>
      <c r="AE37" s="67"/>
      <c r="AF37" s="65"/>
      <c r="AG37" s="67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</row>
    <row r="38" spans="1:65" ht="25.5" customHeight="1">
      <c r="A38" s="10" cm="1">
        <f t="array" ref="A38">A37+1</f>
        <v>26</v>
      </c>
      <c r="B38" s="9"/>
      <c r="C38" s="19"/>
      <c r="D38" s="64" t="str" cm="1">
        <f t="array" ref="D38">IF(F38="","",F38-E38)</f>
        <v/>
      </c>
      <c r="E38" s="65"/>
      <c r="F38" s="66" t="str" cm="1">
        <f t="array" ref="F38">IF(I38="","",I38-H38)</f>
        <v/>
      </c>
      <c r="G38" s="67"/>
      <c r="H38" s="65"/>
      <c r="I38" s="66" t="str" cm="1">
        <f t="array" ref="I38">IF(P38="","",P38-K38)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/>
      <c r="AD38" s="66" t="str" cm="1">
        <f t="array" ref="AD38">IF(AG38="","",AG38-AF38)</f>
        <v/>
      </c>
      <c r="AE38" s="67"/>
      <c r="AF38" s="65"/>
      <c r="AG38" s="67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</row>
    <row r="39" spans="1:65" ht="25.5" customHeight="1">
      <c r="A39" s="10" cm="1">
        <f t="array" ref="A39">A38+1</f>
        <v>27</v>
      </c>
      <c r="B39" s="9"/>
      <c r="C39" s="19"/>
      <c r="D39" s="64" t="str" cm="1">
        <f t="array" ref="D39">IF(F39="","",F39-E39)</f>
        <v/>
      </c>
      <c r="E39" s="65"/>
      <c r="F39" s="66" t="str" cm="1">
        <f t="array" ref="F39">IF(I39="","",I39-H39)</f>
        <v/>
      </c>
      <c r="G39" s="67"/>
      <c r="H39" s="65"/>
      <c r="I39" s="66" t="str" cm="1">
        <f t="array" ref="I39">IF(P39="","",P39-K39)</f>
        <v/>
      </c>
      <c r="J39" s="67"/>
      <c r="K39" s="65"/>
      <c r="L39" s="68"/>
      <c r="M39" s="68"/>
      <c r="N39" s="68"/>
      <c r="O39" s="68"/>
      <c r="P39" s="66" t="str" cm="1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/>
      <c r="AD39" s="66" t="str" cm="1">
        <f t="array" ref="AD39">IF(AG39="","",AG39-AF39)</f>
        <v/>
      </c>
      <c r="AE39" s="67"/>
      <c r="AF39" s="65"/>
      <c r="AG39" s="67"/>
      <c r="AH39" s="71"/>
      <c r="AI39" s="70"/>
      <c r="AJ39" s="68"/>
      <c r="AK39" s="68"/>
      <c r="AL39" s="67"/>
      <c r="AM39" s="72"/>
      <c r="AN39" s="73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</row>
    <row r="40" spans="1:65" ht="25.5" customHeight="1">
      <c r="A40" s="10" cm="1">
        <f t="array" ref="A40">A39+1</f>
        <v>28</v>
      </c>
      <c r="B40" s="9"/>
      <c r="C40" s="18"/>
      <c r="D40" s="64" t="str" cm="1">
        <f t="array" ref="D40">IF(F40="","",F40-E40)</f>
        <v/>
      </c>
      <c r="E40" s="65"/>
      <c r="F40" s="66" t="str" cm="1">
        <f t="array" ref="F40">IF(I40="","",I40-H40)</f>
        <v/>
      </c>
      <c r="G40" s="67"/>
      <c r="H40" s="65"/>
      <c r="I40" s="66" t="str" cm="1">
        <f t="array" ref="I40">IF(P40="","",P40-K40)</f>
        <v/>
      </c>
      <c r="J40" s="67"/>
      <c r="K40" s="65"/>
      <c r="L40" s="68"/>
      <c r="M40" s="68"/>
      <c r="N40" s="68"/>
      <c r="O40" s="68"/>
      <c r="P40" s="66" t="str" cm="1">
        <f t="array" ref="P40">IF(AG40="","",AC40-R40-Q40)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/>
      <c r="AD40" s="66" t="str" cm="1">
        <f t="array" ref="AD40">IF(AG40="","",AG40-AF40)</f>
        <v/>
      </c>
      <c r="AE40" s="67"/>
      <c r="AF40" s="65"/>
      <c r="AG40" s="67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</row>
    <row r="41" spans="1:65" ht="25.5" customHeight="1">
      <c r="A41" s="10" cm="1">
        <f t="array" ref="A41">A40+1</f>
        <v>29</v>
      </c>
      <c r="B41" s="9"/>
      <c r="C41" s="19"/>
      <c r="D41" s="64" t="str" cm="1">
        <f t="array" ref="D41">IF(F41="","",F41-E41)</f>
        <v/>
      </c>
      <c r="E41" s="65"/>
      <c r="F41" s="66" t="str" cm="1">
        <f t="array" ref="F41">IF(I41="","",I41-H41)</f>
        <v/>
      </c>
      <c r="G41" s="67"/>
      <c r="H41" s="65"/>
      <c r="I41" s="66" t="str" cm="1">
        <f t="array" ref="I41">IF(P41="","",P41-K41)</f>
        <v/>
      </c>
      <c r="J41" s="67"/>
      <c r="K41" s="65"/>
      <c r="L41" s="68"/>
      <c r="M41" s="68"/>
      <c r="N41" s="68"/>
      <c r="O41" s="68"/>
      <c r="P41" s="66" t="str" cm="1">
        <f t="array" ref="P41">IF(AG41="","",AC41-R41-Q41)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/>
      <c r="AD41" s="66" t="str" cm="1">
        <f t="array" ref="AD41">IF(AG41="","",AG41-AF41)</f>
        <v/>
      </c>
      <c r="AE41" s="67"/>
      <c r="AF41" s="65"/>
      <c r="AG41" s="67"/>
      <c r="AH41" s="71"/>
      <c r="AI41" s="70"/>
      <c r="AJ41" s="68"/>
      <c r="AK41" s="68"/>
      <c r="AL41" s="67"/>
      <c r="AM41" s="72"/>
      <c r="AN41" s="73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</row>
    <row r="42" spans="1:65" ht="25.5" customHeight="1">
      <c r="A42" s="10" cm="1">
        <f t="array" ref="A42">A41+1</f>
        <v>30</v>
      </c>
      <c r="B42" s="9"/>
      <c r="C42" s="19"/>
      <c r="D42" s="64" t="str" cm="1">
        <f t="array" ref="D42">IF(F42="","",F42-E42)</f>
        <v/>
      </c>
      <c r="E42" s="65"/>
      <c r="F42" s="66" t="str" cm="1">
        <f t="array" ref="F42">IF(I42="","",I42-H42)</f>
        <v/>
      </c>
      <c r="G42" s="67"/>
      <c r="H42" s="65"/>
      <c r="I42" s="66" t="str" cm="1">
        <f t="array" ref="I42">IF(P42="","",P42-K42)</f>
        <v/>
      </c>
      <c r="J42" s="67"/>
      <c r="K42" s="65"/>
      <c r="L42" s="68"/>
      <c r="M42" s="68"/>
      <c r="N42" s="68"/>
      <c r="O42" s="68"/>
      <c r="P42" s="66" t="str" cm="1">
        <f t="array" ref="P42">IF(AG42="","",AC42-R42-Q42)</f>
        <v/>
      </c>
      <c r="Q42" s="69"/>
      <c r="R42" s="69"/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/>
      <c r="AD42" s="66" t="str" cm="1">
        <f t="array" ref="AD42">IF(AG42="","",AG42-AF42)</f>
        <v/>
      </c>
      <c r="AE42" s="67"/>
      <c r="AF42" s="65"/>
      <c r="AG42" s="67"/>
      <c r="AH42" s="71"/>
      <c r="AI42" s="70"/>
      <c r="AJ42" s="68"/>
      <c r="AK42" s="68"/>
      <c r="AL42" s="67"/>
      <c r="AM42" s="72"/>
      <c r="AN42" s="73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</row>
    <row r="43" spans="1:65" ht="25.5" customHeight="1">
      <c r="A43" s="10" cm="1">
        <f t="array" ref="A43">A42+1</f>
        <v>31</v>
      </c>
      <c r="B43" s="9"/>
      <c r="C43" s="19"/>
      <c r="D43" s="64" t="str" cm="1">
        <f t="array" ref="D43">IF(F43="","",F43-E43)</f>
        <v/>
      </c>
      <c r="E43" s="65"/>
      <c r="F43" s="66" t="str" cm="1">
        <f t="array" ref="F43">IF(I43="","",I43-H43)</f>
        <v/>
      </c>
      <c r="G43" s="67"/>
      <c r="H43" s="65"/>
      <c r="I43" s="66" t="str" cm="1">
        <f t="array" ref="I43">IF(P43="","",P43-K43)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/>
      <c r="AD43" s="66" t="str" cm="1">
        <f t="array" ref="AD43">IF(AG43="","",AG43-AF43)</f>
        <v/>
      </c>
      <c r="AE43" s="67"/>
      <c r="AF43" s="65"/>
      <c r="AG43" s="67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</row>
    <row r="44" spans="1:65" ht="25.5" customHeight="1">
      <c r="A44" s="10" cm="1">
        <f t="array" ref="A44">A43+1</f>
        <v>32</v>
      </c>
      <c r="B44" s="9"/>
      <c r="C44" s="19"/>
      <c r="D44" s="64" t="str" cm="1">
        <f t="array" ref="D44">IF(F44="","",F44-E44)</f>
        <v/>
      </c>
      <c r="E44" s="65"/>
      <c r="F44" s="66" t="str" cm="1">
        <f t="array" ref="F44">IF(I44="","",I44-H44)</f>
        <v/>
      </c>
      <c r="G44" s="67"/>
      <c r="H44" s="65"/>
      <c r="I44" s="66" t="str" cm="1">
        <f t="array" ref="I44">IF(P44="","",P44-K44)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/>
      <c r="AD44" s="66" t="str" cm="1">
        <f t="array" ref="AD44">IF(AG44="","",AG44-AF44)</f>
        <v/>
      </c>
      <c r="AE44" s="67"/>
      <c r="AF44" s="65"/>
      <c r="AG44" s="67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</row>
    <row r="45" spans="1:65" ht="25.5" customHeight="1">
      <c r="A45" s="10" cm="1">
        <f t="array" ref="A45">A44+1</f>
        <v>33</v>
      </c>
      <c r="B45" s="9"/>
      <c r="C45" s="18"/>
      <c r="D45" s="64" t="str" cm="1">
        <f t="array" ref="D45">IF(F45="","",F45-E45)</f>
        <v/>
      </c>
      <c r="E45" s="65"/>
      <c r="F45" s="66" t="str" cm="1">
        <f t="array" ref="F45">IF(I45="","",I45-H45)</f>
        <v/>
      </c>
      <c r="G45" s="67"/>
      <c r="H45" s="65"/>
      <c r="I45" s="66" t="str" cm="1">
        <f t="array" ref="I45">IF(P45="","",P45-K45)</f>
        <v/>
      </c>
      <c r="J45" s="67"/>
      <c r="K45" s="65"/>
      <c r="L45" s="68"/>
      <c r="M45" s="68"/>
      <c r="N45" s="68"/>
      <c r="O45" s="68"/>
      <c r="P45" s="66" t="str" cm="1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/>
      <c r="AD45" s="66" t="str" cm="1">
        <f t="array" ref="AD45">IF(AG45="","",AG45-AF45)</f>
        <v/>
      </c>
      <c r="AE45" s="67"/>
      <c r="AF45" s="65"/>
      <c r="AG45" s="67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</row>
    <row r="46" spans="1:65" ht="25.5" customHeight="1">
      <c r="A46" s="10" cm="1">
        <f t="array" ref="A46">A45+1</f>
        <v>34</v>
      </c>
      <c r="B46" s="9"/>
      <c r="C46" s="19"/>
      <c r="D46" s="64" t="str" cm="1">
        <f t="array" ref="D46">IF(F46="","",F46-E46)</f>
        <v/>
      </c>
      <c r="E46" s="65"/>
      <c r="F46" s="66" t="str" cm="1">
        <f t="array" ref="F46">IF(I46="","",I46-H46)</f>
        <v/>
      </c>
      <c r="G46" s="67"/>
      <c r="H46" s="65"/>
      <c r="I46" s="66" t="str" cm="1">
        <f t="array" ref="I46">IF(P46="","",P46-K46)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/>
      <c r="AD46" s="66" t="str" cm="1">
        <f t="array" ref="AD46">IF(AG46="","",AG46-AF46)</f>
        <v/>
      </c>
      <c r="AE46" s="67"/>
      <c r="AF46" s="65"/>
      <c r="AG46" s="67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</row>
    <row r="47" spans="1:65" ht="25.5" customHeight="1">
      <c r="A47" s="10" cm="1">
        <f t="array" ref="A47">A46+1</f>
        <v>35</v>
      </c>
      <c r="B47" s="9"/>
      <c r="C47" s="19"/>
      <c r="D47" s="64" t="str" cm="1">
        <f t="array" ref="D47">IF(F47="","",F47-E47)</f>
        <v/>
      </c>
      <c r="E47" s="65"/>
      <c r="F47" s="66" t="str" cm="1">
        <f t="array" ref="F47">IF(I47="","",I47-H47)</f>
        <v/>
      </c>
      <c r="G47" s="67"/>
      <c r="H47" s="65"/>
      <c r="I47" s="66" t="str" cm="1">
        <f t="array" ref="I47">IF(P47="","",P47-K47)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/>
      <c r="AD47" s="66" t="str" cm="1">
        <f t="array" ref="AD47">IF(AG47="","",AG47-AF47)</f>
        <v/>
      </c>
      <c r="AE47" s="67"/>
      <c r="AF47" s="65"/>
      <c r="AG47" s="67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</row>
    <row r="48" spans="1:65" ht="25.5" customHeight="1">
      <c r="A48" s="10" cm="1">
        <f t="array" ref="A48">A47+1</f>
        <v>36</v>
      </c>
      <c r="B48" s="9"/>
      <c r="C48" s="19"/>
      <c r="D48" s="64" t="str" cm="1">
        <f t="array" ref="D48">IF(F48="","",F48-E48)</f>
        <v/>
      </c>
      <c r="E48" s="65"/>
      <c r="F48" s="66" t="str" cm="1">
        <f t="array" ref="F48">IF(I48="","",I48-H48)</f>
        <v/>
      </c>
      <c r="G48" s="67"/>
      <c r="H48" s="65"/>
      <c r="I48" s="66" t="str" cm="1">
        <f t="array" ref="I48">IF(P48="","",P48-K48)</f>
        <v/>
      </c>
      <c r="J48" s="67"/>
      <c r="K48" s="65"/>
      <c r="L48" s="68"/>
      <c r="M48" s="68"/>
      <c r="N48" s="68"/>
      <c r="O48" s="68"/>
      <c r="P48" s="66" t="str" cm="1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/>
      <c r="AD48" s="66" t="str" cm="1">
        <f t="array" ref="AD48">IF(AG48="","",AG48-AF48)</f>
        <v/>
      </c>
      <c r="AE48" s="67"/>
      <c r="AF48" s="65"/>
      <c r="AG48" s="67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</row>
    <row r="49" spans="1:65" ht="25.5" customHeight="1">
      <c r="A49" s="10" cm="1">
        <f t="array" ref="A49">A48+1</f>
        <v>37</v>
      </c>
      <c r="B49" s="9"/>
      <c r="C49" s="19"/>
      <c r="D49" s="64" t="str" cm="1">
        <f t="array" ref="D49">IF(F49="","",F49-E49)</f>
        <v/>
      </c>
      <c r="E49" s="65"/>
      <c r="F49" s="66" t="str" cm="1">
        <f t="array" ref="F49">IF(I49="","",I49-H49)</f>
        <v/>
      </c>
      <c r="G49" s="67"/>
      <c r="H49" s="65"/>
      <c r="I49" s="66" t="str" cm="1">
        <f t="array" ref="I49">IF(P49="","",P49-K49)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/>
      <c r="AD49" s="66" t="str" cm="1">
        <f t="array" ref="AD49">IF(AG49="","",AG49-AF49)</f>
        <v/>
      </c>
      <c r="AE49" s="67"/>
      <c r="AF49" s="65"/>
      <c r="AG49" s="67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</row>
    <row r="50" spans="1:65" ht="25.5" customHeight="1">
      <c r="A50" s="10" cm="1">
        <f t="array" ref="A50">A49+1</f>
        <v>38</v>
      </c>
      <c r="B50" s="9"/>
      <c r="C50" s="19"/>
      <c r="D50" s="64" t="str" cm="1">
        <f t="array" ref="D50">IF(F50="","",F50-E50)</f>
        <v/>
      </c>
      <c r="E50" s="65"/>
      <c r="F50" s="66" t="str" cm="1">
        <f t="array" ref="F50">IF(I50="","",I50-H50)</f>
        <v/>
      </c>
      <c r="G50" s="67"/>
      <c r="H50" s="65"/>
      <c r="I50" s="66" t="str" cm="1">
        <f t="array" ref="I50">IF(P50="","",P50-K50)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/>
      <c r="AD50" s="66" t="str" cm="1">
        <f t="array" ref="AD50">IF(AG50="","",AG50-AF50)</f>
        <v/>
      </c>
      <c r="AE50" s="67"/>
      <c r="AF50" s="65"/>
      <c r="AG50" s="67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</row>
    <row r="51" spans="1:65" ht="25.5" customHeight="1">
      <c r="A51" s="10" cm="1">
        <f t="array" ref="A51">A50+1</f>
        <v>39</v>
      </c>
      <c r="B51" s="9"/>
      <c r="C51" s="19"/>
      <c r="D51" s="64" t="str" cm="1">
        <f t="array" ref="D51">IF(F51="","",F51-E51)</f>
        <v/>
      </c>
      <c r="E51" s="65"/>
      <c r="F51" s="66" t="str" cm="1">
        <f t="array" ref="F51">IF(I51="","",I51-H51)</f>
        <v/>
      </c>
      <c r="G51" s="67"/>
      <c r="H51" s="65"/>
      <c r="I51" s="66" t="str" cm="1">
        <f t="array" ref="I51">IF(P51="","",P51-K51)</f>
        <v/>
      </c>
      <c r="J51" s="67"/>
      <c r="K51" s="65"/>
      <c r="L51" s="68"/>
      <c r="M51" s="68"/>
      <c r="N51" s="68"/>
      <c r="O51" s="68"/>
      <c r="P51" s="66" t="str" cm="1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/>
      <c r="AD51" s="66" t="str" cm="1">
        <f t="array" ref="AD51">IF(AG51="","",AG51-AF51)</f>
        <v/>
      </c>
      <c r="AE51" s="67"/>
      <c r="AF51" s="65"/>
      <c r="AG51" s="67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</row>
    <row r="52" spans="1:65" ht="25.5" customHeight="1">
      <c r="A52" s="10" cm="1">
        <f t="array" ref="A52">A51+1</f>
        <v>40</v>
      </c>
      <c r="B52" s="9"/>
      <c r="C52" s="19"/>
      <c r="D52" s="64" t="str" cm="1">
        <f t="array" ref="D52">IF(F52="","",F52-E52)</f>
        <v/>
      </c>
      <c r="E52" s="65"/>
      <c r="F52" s="66" t="str" cm="1">
        <f t="array" ref="F52">IF(I52="","",I52-H52)</f>
        <v/>
      </c>
      <c r="G52" s="67"/>
      <c r="H52" s="65"/>
      <c r="I52" s="66" t="str" cm="1">
        <f t="array" ref="I52">IF(P52="","",P52-K52)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/>
      <c r="AD52" s="66" t="str" cm="1">
        <f t="array" ref="AD52">IF(AG52="","",AG52-AF52)</f>
        <v/>
      </c>
      <c r="AE52" s="67"/>
      <c r="AF52" s="65"/>
      <c r="AG52" s="67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</row>
    <row r="53" spans="1:65" ht="25.5" customHeight="1">
      <c r="A53" s="10" cm="1">
        <f t="array" ref="A53">A52+1</f>
        <v>41</v>
      </c>
      <c r="B53" s="9"/>
      <c r="C53" s="19"/>
      <c r="D53" s="64" t="str" cm="1">
        <f t="array" ref="D53">IF(F53="","",F53-E53)</f>
        <v/>
      </c>
      <c r="E53" s="65"/>
      <c r="F53" s="66" t="str" cm="1">
        <f t="array" ref="F53">IF(I53="","",I53-H53)</f>
        <v/>
      </c>
      <c r="G53" s="67"/>
      <c r="H53" s="65"/>
      <c r="I53" s="66" t="str" cm="1">
        <f t="array" ref="I53">IF(P53="","",P53-K53)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/>
      <c r="AD53" s="66" t="str" cm="1">
        <f t="array" ref="AD53">IF(AG53="","",AG53-AF53)</f>
        <v/>
      </c>
      <c r="AE53" s="67"/>
      <c r="AF53" s="65"/>
      <c r="AG53" s="67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</row>
    <row r="54" spans="1:65" ht="25.5" customHeight="1">
      <c r="A54" s="10" cm="1">
        <f t="array" ref="A54">A53+1</f>
        <v>42</v>
      </c>
      <c r="B54" s="9"/>
      <c r="C54" s="19"/>
      <c r="D54" s="64" t="str" cm="1">
        <f t="array" ref="D54">IF(F54="","",F54-E54)</f>
        <v/>
      </c>
      <c r="E54" s="65"/>
      <c r="F54" s="66" t="str" cm="1">
        <f t="array" ref="F54">IF(I54="","",I54-H54)</f>
        <v/>
      </c>
      <c r="G54" s="67"/>
      <c r="H54" s="65"/>
      <c r="I54" s="66" t="str" cm="1">
        <f t="array" ref="I54">IF(P54="","",P54-K54)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/>
      <c r="AD54" s="66" t="str" cm="1">
        <f t="array" ref="AD54">IF(AG54="","",AG54-AF54)</f>
        <v/>
      </c>
      <c r="AE54" s="67"/>
      <c r="AF54" s="65"/>
      <c r="AG54" s="67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</row>
    <row r="55" spans="1:65" ht="25.5" customHeight="1">
      <c r="A55" s="10" cm="1">
        <f t="array" ref="A55">A54+1</f>
        <v>43</v>
      </c>
      <c r="B55" s="9"/>
      <c r="C55" s="19"/>
      <c r="D55" s="64" t="str" cm="1">
        <f t="array" ref="D55">IF(F55="","",F55-E55)</f>
        <v/>
      </c>
      <c r="E55" s="65"/>
      <c r="F55" s="66" t="str" cm="1">
        <f t="array" ref="F55">IF(I55="","",I55-H55)</f>
        <v/>
      </c>
      <c r="G55" s="67"/>
      <c r="H55" s="65"/>
      <c r="I55" s="66" t="str" cm="1">
        <f t="array" ref="I55">IF(P55="","",P55-K55)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/>
      <c r="AD55" s="66" t="str" cm="1">
        <f t="array" ref="AD55">IF(AG55="","",AG55-AF55)</f>
        <v/>
      </c>
      <c r="AE55" s="67"/>
      <c r="AF55" s="65"/>
      <c r="AG55" s="67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</row>
    <row r="56" spans="1:65" ht="25.5" customHeight="1">
      <c r="A56" s="10" cm="1">
        <f t="array" ref="A56">A55+1</f>
        <v>44</v>
      </c>
      <c r="B56" s="9"/>
      <c r="C56" s="19"/>
      <c r="D56" s="64" t="str" cm="1">
        <f t="array" ref="D56">IF(F56="","",F56-E56)</f>
        <v/>
      </c>
      <c r="E56" s="65"/>
      <c r="F56" s="66" t="str" cm="1">
        <f t="array" ref="F56">IF(I56="","",I56-H56)</f>
        <v/>
      </c>
      <c r="G56" s="67"/>
      <c r="H56" s="65"/>
      <c r="I56" s="66" t="str" cm="1">
        <f t="array" ref="I56">IF(P56="","",P56-K56)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/>
      <c r="AD56" s="66" t="str" cm="1">
        <f t="array" ref="AD56">IF(AG56="","",AG56-AF56)</f>
        <v/>
      </c>
      <c r="AE56" s="67"/>
      <c r="AF56" s="65"/>
      <c r="AG56" s="67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</row>
    <row r="57" spans="1:65" ht="25.5" customHeight="1">
      <c r="A57" s="10" cm="1">
        <f t="array" ref="A57">A56+1</f>
        <v>45</v>
      </c>
      <c r="B57" s="9"/>
      <c r="C57" s="19"/>
      <c r="D57" s="64" t="str" cm="1">
        <f t="array" ref="D57">IF(F57="","",F57-E57)</f>
        <v/>
      </c>
      <c r="E57" s="65"/>
      <c r="F57" s="66" t="str" cm="1">
        <f t="array" ref="F57">IF(I57="","",I57-H57)</f>
        <v/>
      </c>
      <c r="G57" s="67"/>
      <c r="H57" s="65"/>
      <c r="I57" s="66" t="str" cm="1">
        <f t="array" ref="I57">IF(P57="","",P57-K57)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/>
      <c r="AD57" s="66" t="str" cm="1">
        <f t="array" ref="AD57">IF(AG57="","",AG57-AF57)</f>
        <v/>
      </c>
      <c r="AE57" s="67"/>
      <c r="AF57" s="65"/>
      <c r="AG57" s="67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</row>
    <row r="58" spans="1:65" ht="25.5" customHeight="1">
      <c r="A58" s="10" cm="1">
        <f t="array" ref="A58">A57+1</f>
        <v>46</v>
      </c>
      <c r="B58" s="9"/>
      <c r="C58" s="19"/>
      <c r="D58" s="64" t="str" cm="1">
        <f t="array" ref="D58">IF(F58="","",F58-E58)</f>
        <v/>
      </c>
      <c r="E58" s="65"/>
      <c r="F58" s="66" t="str" cm="1">
        <f t="array" ref="F58">IF(I58="","",I58-H58)</f>
        <v/>
      </c>
      <c r="G58" s="67"/>
      <c r="H58" s="65"/>
      <c r="I58" s="66" t="str" cm="1">
        <f t="array" ref="I58">IF(P58="","",P58-K58)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/>
      <c r="AD58" s="66" t="str" cm="1">
        <f t="array" ref="AD58">IF(AG58="","",AG58-AF58)</f>
        <v/>
      </c>
      <c r="AE58" s="67"/>
      <c r="AF58" s="65"/>
      <c r="AG58" s="67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</row>
    <row r="59" spans="1:65" ht="25.5" customHeight="1">
      <c r="A59" s="10" cm="1">
        <f t="array" ref="A59">A58+1</f>
        <v>47</v>
      </c>
      <c r="B59" s="9"/>
      <c r="C59" s="19"/>
      <c r="D59" s="64" t="str" cm="1">
        <f t="array" ref="D59">IF(F59="","",F59-E59)</f>
        <v/>
      </c>
      <c r="E59" s="65"/>
      <c r="F59" s="66" t="str" cm="1">
        <f t="array" ref="F59">IF(I59="","",I59-H59)</f>
        <v/>
      </c>
      <c r="G59" s="67"/>
      <c r="H59" s="65"/>
      <c r="I59" s="66" t="str" cm="1">
        <f t="array" ref="I59">IF(P59="","",P59-K59)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/>
      <c r="AD59" s="66" t="str" cm="1">
        <f t="array" ref="AD59">IF(AG59="","",AG59-AF59)</f>
        <v/>
      </c>
      <c r="AE59" s="67"/>
      <c r="AF59" s="65"/>
      <c r="AG59" s="67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</row>
    <row r="60" spans="1:65" ht="25.5" customHeight="1">
      <c r="A60" s="10" cm="1">
        <f t="array" ref="A60">A59+1</f>
        <v>48</v>
      </c>
      <c r="B60" s="9"/>
      <c r="C60" s="19"/>
      <c r="D60" s="64" t="str" cm="1">
        <f t="array" ref="D60">IF(F60="","",F60-E60)</f>
        <v/>
      </c>
      <c r="E60" s="65"/>
      <c r="F60" s="66" t="str" cm="1">
        <f t="array" ref="F60">IF(I60="","",I60-H60)</f>
        <v/>
      </c>
      <c r="G60" s="67"/>
      <c r="H60" s="65"/>
      <c r="I60" s="66" t="str" cm="1">
        <f t="array" ref="I60">IF(P60="","",P60-K60)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/>
      <c r="AD60" s="66" t="str" cm="1">
        <f t="array" ref="AD60">IF(AG60="","",AG60-AF60)</f>
        <v/>
      </c>
      <c r="AE60" s="67"/>
      <c r="AF60" s="65"/>
      <c r="AG60" s="67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</row>
    <row r="61" spans="1:65" ht="25.5" customHeight="1">
      <c r="A61" s="10" cm="1">
        <f t="array" ref="A61">A60+1</f>
        <v>49</v>
      </c>
      <c r="B61" s="9"/>
      <c r="C61" s="19"/>
      <c r="D61" s="64" t="str" cm="1">
        <f t="array" ref="D61">IF(F61="","",F61-E61)</f>
        <v/>
      </c>
      <c r="E61" s="65"/>
      <c r="F61" s="66" t="str" cm="1">
        <f t="array" ref="F61">IF(I61="","",I61-H61)</f>
        <v/>
      </c>
      <c r="G61" s="67"/>
      <c r="H61" s="65"/>
      <c r="I61" s="66" t="str" cm="1">
        <f t="array" ref="I61">IF(P61="","",P61-K61)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/>
      <c r="AD61" s="66" t="str" cm="1">
        <f t="array" ref="AD61">IF(AG61="","",AG61-AF61)</f>
        <v/>
      </c>
      <c r="AE61" s="67"/>
      <c r="AF61" s="65"/>
      <c r="AG61" s="67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</row>
    <row r="62" spans="1:65" ht="25.5" customHeight="1">
      <c r="A62" s="10" cm="1">
        <f t="array" ref="A62">A61+1</f>
        <v>50</v>
      </c>
      <c r="B62" s="9"/>
      <c r="C62" s="19"/>
      <c r="D62" s="64" t="str" cm="1">
        <f t="array" ref="D62">IF(F62="","",F62-E62)</f>
        <v/>
      </c>
      <c r="E62" s="65"/>
      <c r="F62" s="66" t="str" cm="1">
        <f t="array" ref="F62">IF(I62="","",I62-H62)</f>
        <v/>
      </c>
      <c r="G62" s="67"/>
      <c r="H62" s="65"/>
      <c r="I62" s="66" t="str" cm="1">
        <f t="array" ref="I62">IF(P62="","",P62-K62)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/>
      <c r="AD62" s="66" t="str" cm="1">
        <f t="array" ref="AD62">IF(AG62="","",AG62-AF62)</f>
        <v/>
      </c>
      <c r="AE62" s="67"/>
      <c r="AF62" s="65"/>
      <c r="AG62" s="67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</row>
    <row r="63" spans="1:65" ht="25.5" customHeight="1">
      <c r="A63" s="10" cm="1">
        <f t="array" ref="A63">A62+1</f>
        <v>51</v>
      </c>
      <c r="B63" s="9"/>
      <c r="C63" s="19"/>
      <c r="D63" s="64" t="str" cm="1">
        <f t="array" ref="D63">IF(F63="","",F63-E63)</f>
        <v/>
      </c>
      <c r="E63" s="65"/>
      <c r="F63" s="66" t="str" cm="1">
        <f t="array" ref="F63">IF(I63="","",I63-H63)</f>
        <v/>
      </c>
      <c r="G63" s="67"/>
      <c r="H63" s="65"/>
      <c r="I63" s="66" t="str" cm="1">
        <f t="array" ref="I63">IF(P63="","",P63-K63)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/>
      <c r="AD63" s="66" t="str" cm="1">
        <f t="array" ref="AD63">IF(AG63="","",AG63-AF63)</f>
        <v/>
      </c>
      <c r="AE63" s="67"/>
      <c r="AF63" s="65"/>
      <c r="AG63" s="67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</row>
    <row r="64" spans="1:65" ht="25.5" customHeight="1">
      <c r="A64" s="10" cm="1">
        <f t="array" ref="A64">A63+1</f>
        <v>52</v>
      </c>
      <c r="B64" s="9"/>
      <c r="C64" s="19"/>
      <c r="D64" s="64" t="str" cm="1">
        <f t="array" ref="D64">IF(F64="","",F64-E64)</f>
        <v/>
      </c>
      <c r="E64" s="65"/>
      <c r="F64" s="66" t="str" cm="1">
        <f t="array" ref="F64">IF(I64="","",I64-H64)</f>
        <v/>
      </c>
      <c r="G64" s="67"/>
      <c r="H64" s="65"/>
      <c r="I64" s="66" t="str" cm="1">
        <f t="array" ref="I64">IF(P64="","",P64-K64)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/>
      <c r="AD64" s="66" t="str" cm="1">
        <f t="array" ref="AD64">IF(AG64="","",AG64-AF64)</f>
        <v/>
      </c>
      <c r="AE64" s="67"/>
      <c r="AF64" s="65"/>
      <c r="AG64" s="67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</row>
    <row r="65" spans="1:65" ht="25.5" customHeight="1">
      <c r="A65" s="10" cm="1">
        <f t="array" ref="A65">A64+1</f>
        <v>53</v>
      </c>
      <c r="B65" s="9"/>
      <c r="C65" s="19"/>
      <c r="D65" s="64" t="str" cm="1">
        <f t="array" ref="D65">IF(F65="","",F65-E65)</f>
        <v/>
      </c>
      <c r="E65" s="65"/>
      <c r="F65" s="66" t="str" cm="1">
        <f t="array" ref="F65">IF(I65="","",I65-H65)</f>
        <v/>
      </c>
      <c r="G65" s="67"/>
      <c r="H65" s="65"/>
      <c r="I65" s="66" t="str" cm="1">
        <f t="array" ref="I65">IF(P65="","",P65-K65)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/>
      <c r="AD65" s="66" t="str" cm="1">
        <f t="array" ref="AD65">IF(AG65="","",AG65-AF65)</f>
        <v/>
      </c>
      <c r="AE65" s="67"/>
      <c r="AF65" s="65"/>
      <c r="AG65" s="67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</row>
    <row r="66" spans="1:65" ht="25.5" customHeight="1">
      <c r="A66" s="10" cm="1">
        <f t="array" ref="A66">A65+1</f>
        <v>54</v>
      </c>
      <c r="B66" s="9"/>
      <c r="C66" s="19"/>
      <c r="D66" s="64" t="str" cm="1">
        <f t="array" ref="D66">IF(F66="","",F66-E66)</f>
        <v/>
      </c>
      <c r="E66" s="65"/>
      <c r="F66" s="66" t="str" cm="1">
        <f t="array" ref="F66">IF(I66="","",I66-H66)</f>
        <v/>
      </c>
      <c r="G66" s="67"/>
      <c r="H66" s="65"/>
      <c r="I66" s="66" t="str" cm="1">
        <f t="array" ref="I66">IF(P66="","",P66-K66)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/>
      <c r="AD66" s="66" t="str" cm="1">
        <f t="array" ref="AD66">IF(AG66="","",AG66-AF66)</f>
        <v/>
      </c>
      <c r="AE66" s="67"/>
      <c r="AF66" s="65"/>
      <c r="AG66" s="67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</row>
    <row r="67" spans="1:65" ht="25.5" customHeight="1">
      <c r="A67" s="10" cm="1">
        <f t="array" ref="A67">A66+1</f>
        <v>55</v>
      </c>
      <c r="B67" s="9"/>
      <c r="C67" s="19"/>
      <c r="D67" s="64" t="str" cm="1">
        <f t="array" ref="D67">IF(F67="","",F67-E67)</f>
        <v/>
      </c>
      <c r="E67" s="65"/>
      <c r="F67" s="66" t="str" cm="1">
        <f t="array" ref="F67">IF(I67="","",I67-H67)</f>
        <v/>
      </c>
      <c r="G67" s="67"/>
      <c r="H67" s="65"/>
      <c r="I67" s="66" t="str" cm="1">
        <f t="array" ref="I67">IF(P67="","",P67-K67)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/>
      <c r="AD67" s="66" t="str" cm="1">
        <f t="array" ref="AD67">IF(AG67="","",AG67-AF67)</f>
        <v/>
      </c>
      <c r="AE67" s="67"/>
      <c r="AF67" s="65"/>
      <c r="AG67" s="67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</row>
    <row r="68" spans="1:65" ht="25.5" customHeight="1">
      <c r="A68" s="10" cm="1">
        <f t="array" ref="A68">A67+1</f>
        <v>56</v>
      </c>
      <c r="B68" s="9"/>
      <c r="C68" s="19"/>
      <c r="D68" s="64" t="str" cm="1">
        <f t="array" ref="D68">IF(F68="","",F68-E68)</f>
        <v/>
      </c>
      <c r="E68" s="65"/>
      <c r="F68" s="66" t="str" cm="1">
        <f t="array" ref="F68">IF(I68="","",I68-H68)</f>
        <v/>
      </c>
      <c r="G68" s="67"/>
      <c r="H68" s="65"/>
      <c r="I68" s="66" t="str" cm="1">
        <f t="array" ref="I68">IF(P68="","",P68-K68)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/>
      <c r="AD68" s="66" t="str" cm="1">
        <f t="array" ref="AD68">IF(AG68="","",AG68-AF68)</f>
        <v/>
      </c>
      <c r="AE68" s="67"/>
      <c r="AF68" s="65"/>
      <c r="AG68" s="67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</row>
    <row r="69" spans="1:65" ht="25.5" customHeight="1">
      <c r="A69" s="10" cm="1">
        <f t="array" ref="A69">A68+1</f>
        <v>57</v>
      </c>
      <c r="B69" s="9"/>
      <c r="C69" s="19"/>
      <c r="D69" s="64" t="str" cm="1">
        <f t="array" ref="D69">IF(F69="","",F69-E69)</f>
        <v/>
      </c>
      <c r="E69" s="65"/>
      <c r="F69" s="66" t="str" cm="1">
        <f t="array" ref="F69">IF(I69="","",I69-H69)</f>
        <v/>
      </c>
      <c r="G69" s="67"/>
      <c r="H69" s="65"/>
      <c r="I69" s="66" t="str" cm="1">
        <f t="array" ref="I69">IF(P69="","",P69-K69)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/>
      <c r="AD69" s="66" t="str" cm="1">
        <f t="array" ref="AD69">IF(AG69="","",AG69-AF69)</f>
        <v/>
      </c>
      <c r="AE69" s="67"/>
      <c r="AF69" s="65"/>
      <c r="AG69" s="67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</row>
    <row r="70" spans="1:65" ht="25.5" customHeight="1">
      <c r="A70" s="10" cm="1">
        <f t="array" ref="A70">A69+1</f>
        <v>58</v>
      </c>
      <c r="B70" s="9"/>
      <c r="C70" s="19"/>
      <c r="D70" s="64" t="str" cm="1">
        <f t="array" ref="D70">IF(F70="","",F70-E70)</f>
        <v/>
      </c>
      <c r="E70" s="65"/>
      <c r="F70" s="66" t="str" cm="1">
        <f t="array" ref="F70">IF(I70="","",I70-H70)</f>
        <v/>
      </c>
      <c r="G70" s="67"/>
      <c r="H70" s="65"/>
      <c r="I70" s="66" t="str" cm="1">
        <f t="array" ref="I70">IF(P70="","",P70-K70)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/>
      <c r="AD70" s="66" t="str" cm="1">
        <f t="array" ref="AD70">IF(AG70="","",AG70-AF70)</f>
        <v/>
      </c>
      <c r="AE70" s="67"/>
      <c r="AF70" s="65"/>
      <c r="AG70" s="67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</row>
    <row r="71" spans="1:65" ht="25.5" customHeight="1">
      <c r="A71" s="10" cm="1">
        <f t="array" ref="A71">A70+1</f>
        <v>59</v>
      </c>
      <c r="B71" s="9"/>
      <c r="C71" s="19"/>
      <c r="D71" s="64" t="str" cm="1">
        <f t="array" ref="D71">IF(F71="","",F71-E71)</f>
        <v/>
      </c>
      <c r="E71" s="65"/>
      <c r="F71" s="66" t="str" cm="1">
        <f t="array" ref="F71">IF(I71="","",I71-H71)</f>
        <v/>
      </c>
      <c r="G71" s="67"/>
      <c r="H71" s="65"/>
      <c r="I71" s="66" t="str" cm="1">
        <f t="array" ref="I71">IF(P71="","",P71-K71)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/>
      <c r="AD71" s="66" t="str" cm="1">
        <f t="array" ref="AD71">IF(AG71="","",AG71-AF71)</f>
        <v/>
      </c>
      <c r="AE71" s="67"/>
      <c r="AF71" s="65"/>
      <c r="AG71" s="67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</row>
    <row r="72" spans="1:65" ht="25.5" customHeight="1">
      <c r="A72" s="10" cm="1">
        <f t="array" ref="A72">A71+1</f>
        <v>60</v>
      </c>
      <c r="B72" s="9"/>
      <c r="C72" s="19"/>
      <c r="D72" s="64" t="str" cm="1">
        <f t="array" ref="D72">IF(F72="","",F72-E72)</f>
        <v/>
      </c>
      <c r="E72" s="65"/>
      <c r="F72" s="66" t="str" cm="1">
        <f t="array" ref="F72">IF(I72="","",I72-H72)</f>
        <v/>
      </c>
      <c r="G72" s="67"/>
      <c r="H72" s="65"/>
      <c r="I72" s="66" t="str" cm="1">
        <f t="array" ref="I72">IF(P72="","",P72-K72)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/>
      <c r="AD72" s="66" t="str" cm="1">
        <f t="array" ref="AD72">IF(AG72="","",AG72-AF72)</f>
        <v/>
      </c>
      <c r="AE72" s="67"/>
      <c r="AF72" s="65"/>
      <c r="AG72" s="67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</row>
    <row r="73" spans="1:65" ht="25.5" customHeight="1">
      <c r="A73" s="10" cm="1">
        <f t="array" ref="A73">A72+1</f>
        <v>61</v>
      </c>
      <c r="B73" s="9"/>
      <c r="C73" s="19"/>
      <c r="D73" s="64" t="str" cm="1">
        <f t="array" ref="D73">IF(F73="","",F73-E73)</f>
        <v/>
      </c>
      <c r="E73" s="65"/>
      <c r="F73" s="66" t="str" cm="1">
        <f t="array" ref="F73">IF(I73="","",I73-H73)</f>
        <v/>
      </c>
      <c r="G73" s="67"/>
      <c r="H73" s="65"/>
      <c r="I73" s="66" t="str" cm="1">
        <f t="array" ref="I73">IF(P73="","",P73-K73)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/>
      <c r="AD73" s="66" t="str" cm="1">
        <f t="array" ref="AD73">IF(AG73="","",AG73-AF73)</f>
        <v/>
      </c>
      <c r="AE73" s="67"/>
      <c r="AF73" s="65"/>
      <c r="AG73" s="67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 spans="1:65" ht="25.5" customHeight="1">
      <c r="A74" s="10" cm="1">
        <f t="array" ref="A74">A73+1</f>
        <v>62</v>
      </c>
      <c r="B74" s="9"/>
      <c r="C74" s="19"/>
      <c r="D74" s="64" t="str" cm="1">
        <f t="array" ref="D74">IF(F74="","",F74-E74)</f>
        <v/>
      </c>
      <c r="E74" s="65"/>
      <c r="F74" s="66" t="str" cm="1">
        <f t="array" ref="F74">IF(I74="","",I74-H74)</f>
        <v/>
      </c>
      <c r="G74" s="67"/>
      <c r="H74" s="65"/>
      <c r="I74" s="66" t="str" cm="1">
        <f t="array" ref="I74">IF(P74="","",P74-K74)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/>
      <c r="AD74" s="66" t="str" cm="1">
        <f t="array" ref="AD74">IF(AG74="","",AG74-AF74)</f>
        <v/>
      </c>
      <c r="AE74" s="67"/>
      <c r="AF74" s="65"/>
      <c r="AG74" s="67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</row>
    <row r="75" spans="1:65" ht="25.5" customHeight="1">
      <c r="A75" s="10" cm="1">
        <f t="array" ref="A75">A74+1</f>
        <v>63</v>
      </c>
      <c r="B75" s="9"/>
      <c r="C75" s="19"/>
      <c r="D75" s="64" t="str" cm="1">
        <f t="array" ref="D75">IF(F75="","",F75-E75)</f>
        <v/>
      </c>
      <c r="E75" s="65"/>
      <c r="F75" s="66" t="str" cm="1">
        <f t="array" ref="F75">IF(I75="","",I75-H75)</f>
        <v/>
      </c>
      <c r="G75" s="67"/>
      <c r="H75" s="65"/>
      <c r="I75" s="66" t="str" cm="1">
        <f t="array" ref="I75">IF(P75="","",P75-K75)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/>
      <c r="AD75" s="66" t="str" cm="1">
        <f t="array" ref="AD75">IF(AG75="","",AG75-AF75)</f>
        <v/>
      </c>
      <c r="AE75" s="67"/>
      <c r="AF75" s="65"/>
      <c r="AG75" s="67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</row>
    <row r="76" spans="1:65" ht="25.5" customHeight="1">
      <c r="A76" s="10" cm="1">
        <f t="array" ref="A76">A75+1</f>
        <v>64</v>
      </c>
      <c r="B76" s="9"/>
      <c r="C76" s="19"/>
      <c r="D76" s="64" t="str" cm="1">
        <f t="array" ref="D76">IF(F76="","",F76-E76)</f>
        <v/>
      </c>
      <c r="E76" s="65"/>
      <c r="F76" s="66" t="str" cm="1">
        <f t="array" ref="F76">IF(I76="","",I76-H76)</f>
        <v/>
      </c>
      <c r="G76" s="67"/>
      <c r="H76" s="65"/>
      <c r="I76" s="66" t="str" cm="1">
        <f t="array" ref="I76">IF(P76="","",P76-K76)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/>
      <c r="AD76" s="66" t="str" cm="1">
        <f t="array" ref="AD76">IF(AG76="","",AG76-AF76)</f>
        <v/>
      </c>
      <c r="AE76" s="67"/>
      <c r="AF76" s="65"/>
      <c r="AG76" s="67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</row>
    <row r="77" spans="1:65" ht="25.5" customHeight="1">
      <c r="A77" s="10" cm="1">
        <f t="array" ref="A77">A76+1</f>
        <v>65</v>
      </c>
      <c r="B77" s="9"/>
      <c r="C77" s="19"/>
      <c r="D77" s="64" t="str" cm="1">
        <f t="array" ref="D77">IF(F77="","",F77-E77)</f>
        <v/>
      </c>
      <c r="E77" s="65"/>
      <c r="F77" s="66" t="str" cm="1">
        <f t="array" ref="F77">IF(I77="","",I77-H77)</f>
        <v/>
      </c>
      <c r="G77" s="67"/>
      <c r="H77" s="65"/>
      <c r="I77" s="66" t="str" cm="1">
        <f t="array" ref="I77">IF(P77="","",P77-K77)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/>
      <c r="AD77" s="66" t="str" cm="1">
        <f t="array" ref="AD77">IF(AG77="","",AG77-AF77)</f>
        <v/>
      </c>
      <c r="AE77" s="67"/>
      <c r="AF77" s="65"/>
      <c r="AG77" s="67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</row>
    <row r="78" spans="1:65" ht="25.5" customHeight="1">
      <c r="A78" s="10" cm="1">
        <f t="array" ref="A78">A77+1</f>
        <v>66</v>
      </c>
      <c r="B78" s="9"/>
      <c r="C78" s="19"/>
      <c r="D78" s="64" t="str" cm="1">
        <f t="array" ref="D78">IF(F78="","",F78-E78)</f>
        <v/>
      </c>
      <c r="E78" s="65"/>
      <c r="F78" s="66" t="str" cm="1">
        <f t="array" ref="F78">IF(I78="","",I78-H78)</f>
        <v/>
      </c>
      <c r="G78" s="67"/>
      <c r="H78" s="65"/>
      <c r="I78" s="66" t="str" cm="1">
        <f t="array" ref="I78">IF(P78="","",P78-K78)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/>
      <c r="AD78" s="66" t="str" cm="1">
        <f t="array" ref="AD78">IF(AG78="","",AG78-AF78)</f>
        <v/>
      </c>
      <c r="AE78" s="67"/>
      <c r="AF78" s="65"/>
      <c r="AG78" s="67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</row>
    <row r="79" spans="1:65" ht="25.5" customHeight="1">
      <c r="A79" s="10" cm="1">
        <f t="array" ref="A79">A78+1</f>
        <v>67</v>
      </c>
      <c r="B79" s="9"/>
      <c r="C79" s="19"/>
      <c r="D79" s="64" t="str" cm="1">
        <f t="array" ref="D79">IF(F79="","",F79-E79)</f>
        <v/>
      </c>
      <c r="E79" s="65"/>
      <c r="F79" s="66" t="str" cm="1">
        <f t="array" ref="F79">IF(I79="","",I79-H79)</f>
        <v/>
      </c>
      <c r="G79" s="67"/>
      <c r="H79" s="65"/>
      <c r="I79" s="66" t="str" cm="1">
        <f t="array" ref="I79">IF(P79="","",P79-K79)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/>
      <c r="AD79" s="66" t="str" cm="1">
        <f t="array" ref="AD79">IF(AG79="","",AG79-AF79)</f>
        <v/>
      </c>
      <c r="AE79" s="67"/>
      <c r="AF79" s="65"/>
      <c r="AG79" s="67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</row>
    <row r="80" spans="1:65" ht="25.5" customHeight="1">
      <c r="A80" s="10" cm="1">
        <f t="array" ref="A80">A79+1</f>
        <v>68</v>
      </c>
      <c r="B80" s="9"/>
      <c r="C80" s="19"/>
      <c r="D80" s="64" t="str" cm="1">
        <f t="array" ref="D80">IF(F80="","",F80-E80)</f>
        <v/>
      </c>
      <c r="E80" s="65"/>
      <c r="F80" s="66" t="str" cm="1">
        <f t="array" ref="F80">IF(I80="","",I80-H80)</f>
        <v/>
      </c>
      <c r="G80" s="67"/>
      <c r="H80" s="65"/>
      <c r="I80" s="66" t="str" cm="1">
        <f t="array" ref="I80">IF(P80="","",P80-K80)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/>
      <c r="AD80" s="66" t="str" cm="1">
        <f t="array" ref="AD80">IF(AG80="","",AG80-AF80)</f>
        <v/>
      </c>
      <c r="AE80" s="67"/>
      <c r="AF80" s="65"/>
      <c r="AG80" s="67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</row>
    <row r="81" spans="1:65" ht="25.5" customHeight="1">
      <c r="A81" s="10" cm="1">
        <f t="array" ref="A81">A80+1</f>
        <v>69</v>
      </c>
      <c r="B81" s="9"/>
      <c r="C81" s="19"/>
      <c r="D81" s="64" t="str" cm="1">
        <f t="array" ref="D81">IF(F81="","",F81-E81)</f>
        <v/>
      </c>
      <c r="E81" s="65"/>
      <c r="F81" s="66" t="str" cm="1">
        <f t="array" ref="F81">IF(I81="","",I81-H81)</f>
        <v/>
      </c>
      <c r="G81" s="67"/>
      <c r="H81" s="65"/>
      <c r="I81" s="66" t="str" cm="1">
        <f t="array" ref="I81">IF(P81="","",P81-K81)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/>
      <c r="AD81" s="66" t="str" cm="1">
        <f t="array" ref="AD81">IF(AG81="","",AG81-AF81)</f>
        <v/>
      </c>
      <c r="AE81" s="67"/>
      <c r="AF81" s="65"/>
      <c r="AG81" s="67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</row>
    <row r="82" spans="1:65" ht="25.95" customHeight="1">
      <c r="A82" s="10" cm="1">
        <f t="array" ref="A82">A81+1</f>
        <v>70</v>
      </c>
      <c r="B82" s="9"/>
      <c r="C82" s="19"/>
      <c r="D82" s="64" t="str" cm="1">
        <f t="array" ref="D82">IF(F82="","",F82-E82)</f>
        <v/>
      </c>
      <c r="E82" s="65"/>
      <c r="F82" s="66" t="str" cm="1">
        <f t="array" ref="F82">IF(I82="","",I82-H82)</f>
        <v/>
      </c>
      <c r="G82" s="67"/>
      <c r="H82" s="65"/>
      <c r="I82" s="66" t="str" cm="1">
        <f t="array" ref="I82">IF(P82="","",P82-K82)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/>
      <c r="AD82" s="66" t="str" cm="1">
        <f t="array" ref="AD82">IF(AG82="","",AG82-AF82)</f>
        <v/>
      </c>
      <c r="AE82" s="67"/>
      <c r="AF82" s="65"/>
      <c r="AG82" s="67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</row>
    <row r="83" spans="1:65" ht="25.5" customHeight="1">
      <c r="A83" s="10" cm="1">
        <f t="array" ref="A83">A82+1</f>
        <v>71</v>
      </c>
      <c r="B83" s="9"/>
      <c r="C83" s="19"/>
      <c r="D83" s="64" t="str" cm="1">
        <f t="array" ref="D83">IF(F83="","",F83-E83)</f>
        <v/>
      </c>
      <c r="E83" s="65"/>
      <c r="F83" s="66" t="str" cm="1">
        <f t="array" ref="F83">IF(I83="","",I83-H83)</f>
        <v/>
      </c>
      <c r="G83" s="67"/>
      <c r="H83" s="65"/>
      <c r="I83" s="66" t="str" cm="1">
        <f t="array" ref="I83">IF(P83="","",P83-K83)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/>
      <c r="AD83" s="66" t="str" cm="1">
        <f t="array" ref="AD83">IF(AG83="","",AG83-AF83)</f>
        <v/>
      </c>
      <c r="AE83" s="67"/>
      <c r="AF83" s="65"/>
      <c r="AG83" s="67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</row>
    <row r="84" spans="1:65" ht="25.5" customHeight="1">
      <c r="A84" s="10" cm="1">
        <f t="array" ref="A84">A83+1</f>
        <v>72</v>
      </c>
      <c r="B84" s="9"/>
      <c r="C84" s="19"/>
      <c r="D84" s="64" t="str" cm="1">
        <f t="array" ref="D84">IF(F84="","",F84-E84)</f>
        <v/>
      </c>
      <c r="E84" s="65"/>
      <c r="F84" s="66" t="str" cm="1">
        <f t="array" ref="F84">IF(I84="","",I84-H84)</f>
        <v/>
      </c>
      <c r="G84" s="67"/>
      <c r="H84" s="65"/>
      <c r="I84" s="66" t="str" cm="1">
        <f t="array" ref="I84">IF(P84="","",P84-K84)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/>
      <c r="AD84" s="66" t="str" cm="1">
        <f t="array" ref="AD84">IF(AG84="","",AG84-AF84)</f>
        <v/>
      </c>
      <c r="AE84" s="67"/>
      <c r="AF84" s="65"/>
      <c r="AG84" s="67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</row>
    <row r="85" spans="1:65" ht="25.5" customHeight="1">
      <c r="A85" s="10" cm="1">
        <f t="array" ref="A85">A84+1</f>
        <v>73</v>
      </c>
      <c r="B85" s="9"/>
      <c r="C85" s="19"/>
      <c r="D85" s="64" t="str" cm="1">
        <f t="array" ref="D85">IF(F85="","",F85-E85)</f>
        <v/>
      </c>
      <c r="E85" s="65"/>
      <c r="F85" s="66" t="str" cm="1">
        <f t="array" ref="F85">IF(I85="","",I85-H85)</f>
        <v/>
      </c>
      <c r="G85" s="67"/>
      <c r="H85" s="65"/>
      <c r="I85" s="66" t="str" cm="1">
        <f t="array" ref="I85">IF(P85="","",P85-K85)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/>
      <c r="AD85" s="66" t="str" cm="1">
        <f t="array" ref="AD85">IF(AG85="","",AG85-AF85)</f>
        <v/>
      </c>
      <c r="AE85" s="67"/>
      <c r="AF85" s="65"/>
      <c r="AG85" s="67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</row>
    <row r="86" spans="1:65" ht="25.5" customHeight="1">
      <c r="A86" s="10" cm="1">
        <f t="array" ref="A86">A85+1</f>
        <v>74</v>
      </c>
      <c r="B86" s="9"/>
      <c r="C86" s="19"/>
      <c r="D86" s="64" t="str" cm="1">
        <f t="array" ref="D86">IF(F86="","",F86-E86)</f>
        <v/>
      </c>
      <c r="E86" s="65"/>
      <c r="F86" s="66" t="str" cm="1">
        <f t="array" ref="F86">IF(I86="","",I86-H86)</f>
        <v/>
      </c>
      <c r="G86" s="67"/>
      <c r="H86" s="65"/>
      <c r="I86" s="66" t="str" cm="1">
        <f t="array" ref="I86">IF(P86="","",P86-K86)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/>
      <c r="AD86" s="66" t="str" cm="1">
        <f t="array" ref="AD86">IF(AG86="","",AG86-AF86)</f>
        <v/>
      </c>
      <c r="AE86" s="67"/>
      <c r="AF86" s="65"/>
      <c r="AG86" s="67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</row>
    <row r="87" spans="1:65" ht="25.5" customHeight="1">
      <c r="A87" s="10" cm="1">
        <f t="array" ref="A87">A86+1</f>
        <v>75</v>
      </c>
      <c r="B87" s="9"/>
      <c r="C87" s="19"/>
      <c r="D87" s="64" t="str" cm="1">
        <f t="array" ref="D87">IF(F87="","",F87-E87)</f>
        <v/>
      </c>
      <c r="E87" s="65"/>
      <c r="F87" s="66" t="str" cm="1">
        <f t="array" ref="F87">IF(I87="","",I87-H87)</f>
        <v/>
      </c>
      <c r="G87" s="67"/>
      <c r="H87" s="65"/>
      <c r="I87" s="66" t="str" cm="1">
        <f t="array" ref="I87">IF(P87="","",P87-K87)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/>
      <c r="AD87" s="66" t="str" cm="1">
        <f t="array" ref="AD87">IF(AG87="","",AG87-AF87)</f>
        <v/>
      </c>
      <c r="AE87" s="67"/>
      <c r="AF87" s="65"/>
      <c r="AG87" s="67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</row>
    <row r="88" spans="1:65" ht="25.5" customHeight="1">
      <c r="A88" s="10" cm="1">
        <f t="array" ref="A88">A87+1</f>
        <v>76</v>
      </c>
      <c r="B88" s="9"/>
      <c r="C88" s="19"/>
      <c r="D88" s="64" t="str" cm="1">
        <f t="array" ref="D88">IF(F88="","",F88-E88)</f>
        <v/>
      </c>
      <c r="E88" s="65"/>
      <c r="F88" s="66" t="str" cm="1">
        <f t="array" ref="F88">IF(I88="","",I88-H88)</f>
        <v/>
      </c>
      <c r="G88" s="67"/>
      <c r="H88" s="65"/>
      <c r="I88" s="66" t="str" cm="1">
        <f t="array" ref="I88">IF(P88="","",P88-K88)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/>
      <c r="AD88" s="66" t="str" cm="1">
        <f t="array" ref="AD88">IF(AG88="","",AG88-AF88)</f>
        <v/>
      </c>
      <c r="AE88" s="67"/>
      <c r="AF88" s="65"/>
      <c r="AG88" s="67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</row>
    <row r="89" spans="1:65" ht="25.5" customHeight="1">
      <c r="A89" s="10" cm="1">
        <f t="array" ref="A89">A88+1</f>
        <v>77</v>
      </c>
      <c r="B89" s="9"/>
      <c r="C89" s="19"/>
      <c r="D89" s="64" t="str" cm="1">
        <f t="array" ref="D89">IF(F89="","",F89-E89)</f>
        <v/>
      </c>
      <c r="E89" s="65"/>
      <c r="F89" s="66" t="str" cm="1">
        <f t="array" ref="F89">IF(I89="","",I89-H89)</f>
        <v/>
      </c>
      <c r="G89" s="67"/>
      <c r="H89" s="65"/>
      <c r="I89" s="66" t="str" cm="1">
        <f t="array" ref="I89">IF(P89="","",P89-K89)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/>
      <c r="AD89" s="66" t="str" cm="1">
        <f t="array" ref="AD89">IF(AG89="","",AG89-AF89)</f>
        <v/>
      </c>
      <c r="AE89" s="67"/>
      <c r="AF89" s="65"/>
      <c r="AG89" s="67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</row>
    <row r="90" spans="1:65" ht="25.5" customHeight="1">
      <c r="A90" s="10" cm="1">
        <f t="array" ref="A90">A89+1</f>
        <v>78</v>
      </c>
      <c r="B90" s="9"/>
      <c r="C90" s="19"/>
      <c r="D90" s="64" t="str" cm="1">
        <f t="array" ref="D90">IF(F90="","",F90-E90)</f>
        <v/>
      </c>
      <c r="E90" s="65"/>
      <c r="F90" s="66" t="str" cm="1">
        <f t="array" ref="F90">IF(I90="","",I90-H90)</f>
        <v/>
      </c>
      <c r="G90" s="67"/>
      <c r="H90" s="65"/>
      <c r="I90" s="66" t="str" cm="1">
        <f t="array" ref="I90">IF(P90="","",P90-K90)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/>
      <c r="AD90" s="66" t="str" cm="1">
        <f t="array" ref="AD90">IF(AG90="","",AG90-AF90)</f>
        <v/>
      </c>
      <c r="AE90" s="67"/>
      <c r="AF90" s="65"/>
      <c r="AG90" s="67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</row>
    <row r="91" spans="1:65" ht="25.5" customHeight="1">
      <c r="A91" s="10" cm="1">
        <f t="array" ref="A91">A90+1</f>
        <v>79</v>
      </c>
      <c r="B91" s="9"/>
      <c r="C91" s="19"/>
      <c r="D91" s="64" t="str" cm="1">
        <f t="array" ref="D91">IF(F91="","",F91-E91)</f>
        <v/>
      </c>
      <c r="E91" s="65"/>
      <c r="F91" s="66" t="str" cm="1">
        <f t="array" ref="F91">IF(I91="","",I91-H91)</f>
        <v/>
      </c>
      <c r="G91" s="67"/>
      <c r="H91" s="65"/>
      <c r="I91" s="66" t="str" cm="1">
        <f t="array" ref="I91">IF(P91="","",P91-K91)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/>
      <c r="AD91" s="66" t="str" cm="1">
        <f t="array" ref="AD91">IF(AG91="","",AG91-AF91)</f>
        <v/>
      </c>
      <c r="AE91" s="67"/>
      <c r="AF91" s="65"/>
      <c r="AG91" s="67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</row>
    <row r="92" spans="1:65" ht="25.5" customHeight="1">
      <c r="A92" s="10" cm="1">
        <f t="array" ref="A92">A91+1</f>
        <v>80</v>
      </c>
      <c r="B92" s="9"/>
      <c r="C92" s="19"/>
      <c r="D92" s="64" t="str" cm="1">
        <f t="array" ref="D92">IF(F92="","",F92-E92)</f>
        <v/>
      </c>
      <c r="E92" s="65"/>
      <c r="F92" s="66" t="str" cm="1">
        <f t="array" ref="F92">IF(I92="","",I92-H92)</f>
        <v/>
      </c>
      <c r="G92" s="67"/>
      <c r="H92" s="65"/>
      <c r="I92" s="66" t="str" cm="1">
        <f t="array" ref="I92">IF(P92="","",P92-K92)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/>
      <c r="AD92" s="66" t="str" cm="1">
        <f t="array" ref="AD92">IF(AG92="","",AG92-AF92)</f>
        <v/>
      </c>
      <c r="AE92" s="67"/>
      <c r="AF92" s="65"/>
      <c r="AG92" s="67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</row>
    <row r="93" spans="1:65" ht="25.5" customHeight="1">
      <c r="A93" s="10" cm="1">
        <f t="array" ref="A93">A92+1</f>
        <v>81</v>
      </c>
      <c r="B93" s="9"/>
      <c r="C93" s="19"/>
      <c r="D93" s="64" t="str" cm="1">
        <f t="array" ref="D93">IF(F93="","",F93-E93)</f>
        <v/>
      </c>
      <c r="E93" s="65"/>
      <c r="F93" s="66" t="str" cm="1">
        <f t="array" ref="F93">IF(I93="","",I93-H93)</f>
        <v/>
      </c>
      <c r="G93" s="67"/>
      <c r="H93" s="65"/>
      <c r="I93" s="66" t="str" cm="1">
        <f t="array" ref="I93">IF(P93="","",P93-K93)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/>
      <c r="AD93" s="66" t="str" cm="1">
        <f t="array" ref="AD93">IF(AG93="","",AG93-AF93)</f>
        <v/>
      </c>
      <c r="AE93" s="67"/>
      <c r="AF93" s="65"/>
      <c r="AG93" s="67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</row>
    <row r="94" spans="1:65" ht="25.5" customHeight="1">
      <c r="A94" s="10" cm="1">
        <f t="array" ref="A94">A93+1</f>
        <v>82</v>
      </c>
      <c r="B94" s="9"/>
      <c r="C94" s="19"/>
      <c r="D94" s="64" t="str" cm="1">
        <f t="array" ref="D94">IF(F94="","",F94-E94)</f>
        <v/>
      </c>
      <c r="E94" s="65"/>
      <c r="F94" s="66" t="str" cm="1">
        <f t="array" ref="F94">IF(I94="","",I94-H94)</f>
        <v/>
      </c>
      <c r="G94" s="67"/>
      <c r="H94" s="65"/>
      <c r="I94" s="66" t="str" cm="1">
        <f t="array" ref="I94">IF(P94="","",P94-K94)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/>
      <c r="AD94" s="66" t="str" cm="1">
        <f t="array" ref="AD94">IF(AG94="","",AG94-AF94)</f>
        <v/>
      </c>
      <c r="AE94" s="67"/>
      <c r="AF94" s="65"/>
      <c r="AG94" s="67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</row>
    <row r="95" spans="1:65" ht="25.5" customHeight="1">
      <c r="A95" s="10" cm="1">
        <f t="array" ref="A95">A94+1</f>
        <v>83</v>
      </c>
      <c r="B95" s="9"/>
      <c r="C95" s="19"/>
      <c r="D95" s="64" t="str" cm="1">
        <f t="array" ref="D95">IF(F95="","",F95-E95)</f>
        <v/>
      </c>
      <c r="E95" s="65"/>
      <c r="F95" s="66" t="str" cm="1">
        <f t="array" ref="F95">IF(I95="","",I95-H95)</f>
        <v/>
      </c>
      <c r="G95" s="67"/>
      <c r="H95" s="65"/>
      <c r="I95" s="66" t="str" cm="1">
        <f t="array" ref="I95">IF(P95="","",P95-K95)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/>
      <c r="AD95" s="66" t="str" cm="1">
        <f t="array" ref="AD95">IF(AG95="","",AG95-AF95)</f>
        <v/>
      </c>
      <c r="AE95" s="67"/>
      <c r="AF95" s="65"/>
      <c r="AG95" s="67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</row>
    <row r="96" spans="1:65" ht="25.5" customHeight="1">
      <c r="A96" s="10" cm="1">
        <f t="array" ref="A96">A95+1</f>
        <v>84</v>
      </c>
      <c r="B96" s="9"/>
      <c r="C96" s="19"/>
      <c r="D96" s="64" t="str" cm="1">
        <f t="array" ref="D96">IF(F96="","",F96-E96)</f>
        <v/>
      </c>
      <c r="E96" s="65"/>
      <c r="F96" s="66" t="str" cm="1">
        <f t="array" ref="F96">IF(I96="","",I96-H96)</f>
        <v/>
      </c>
      <c r="G96" s="67"/>
      <c r="H96" s="65"/>
      <c r="I96" s="66" t="str" cm="1">
        <f t="array" ref="I96">IF(P96="","",P96-K96)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/>
      <c r="AD96" s="66" t="str" cm="1">
        <f t="array" ref="AD96">IF(AG96="","",AG96-AF96)</f>
        <v/>
      </c>
      <c r="AE96" s="67"/>
      <c r="AF96" s="65"/>
      <c r="AG96" s="67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</row>
    <row r="97" spans="1:65" ht="25.5" customHeight="1">
      <c r="A97" s="10" cm="1">
        <f t="array" ref="A97">A96+1</f>
        <v>85</v>
      </c>
      <c r="B97" s="9"/>
      <c r="C97" s="19"/>
      <c r="D97" s="64" t="str" cm="1">
        <f t="array" ref="D97">IF(F97="","",F97-E97)</f>
        <v/>
      </c>
      <c r="E97" s="65"/>
      <c r="F97" s="66" t="str" cm="1">
        <f t="array" ref="F97">IF(I97="","",I97-H97)</f>
        <v/>
      </c>
      <c r="G97" s="67"/>
      <c r="H97" s="65"/>
      <c r="I97" s="66" t="str" cm="1">
        <f t="array" ref="I97">IF(P97="","",P97-K97)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/>
      <c r="AD97" s="66" t="str" cm="1">
        <f t="array" ref="AD97">IF(AG97="","",AG97-AF97)</f>
        <v/>
      </c>
      <c r="AE97" s="67"/>
      <c r="AF97" s="65"/>
      <c r="AG97" s="67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</row>
    <row r="98" spans="1:65" ht="25.5" customHeight="1">
      <c r="A98" s="10" cm="1">
        <f t="array" ref="A98">A97+1</f>
        <v>86</v>
      </c>
      <c r="B98" s="9"/>
      <c r="C98" s="19"/>
      <c r="D98" s="64" t="str" cm="1">
        <f t="array" ref="D98">IF(F98="","",F98-E98)</f>
        <v/>
      </c>
      <c r="E98" s="65"/>
      <c r="F98" s="66" t="str" cm="1">
        <f t="array" ref="F98">IF(I98="","",I98-H98)</f>
        <v/>
      </c>
      <c r="G98" s="67"/>
      <c r="H98" s="65"/>
      <c r="I98" s="66" t="str" cm="1">
        <f t="array" ref="I98">IF(P98="","",P98-K98)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/>
      <c r="AD98" s="66" t="str" cm="1">
        <f t="array" ref="AD98">IF(AG98="","",AG98-AF98)</f>
        <v/>
      </c>
      <c r="AE98" s="67"/>
      <c r="AF98" s="65"/>
      <c r="AG98" s="67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</row>
    <row r="99" spans="1:65" ht="25.5" customHeight="1">
      <c r="A99" s="10" cm="1">
        <f t="array" ref="A99">A98+1</f>
        <v>87</v>
      </c>
      <c r="B99" s="9"/>
      <c r="C99" s="19"/>
      <c r="D99" s="64" t="str" cm="1">
        <f t="array" ref="D99">IF(F99="","",F99-E99)</f>
        <v/>
      </c>
      <c r="E99" s="65"/>
      <c r="F99" s="66" t="str" cm="1">
        <f t="array" ref="F99">IF(I99="","",I99-H99)</f>
        <v/>
      </c>
      <c r="G99" s="67"/>
      <c r="H99" s="65"/>
      <c r="I99" s="66" t="str" cm="1">
        <f t="array" ref="I99">IF(P99="","",P99-K99)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/>
      <c r="AD99" s="66" t="str" cm="1">
        <f t="array" ref="AD99">IF(AG99="","",AG99-AF99)</f>
        <v/>
      </c>
      <c r="AE99" s="67"/>
      <c r="AF99" s="65"/>
      <c r="AG99" s="67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</row>
    <row r="100" spans="1:65" ht="25.5" customHeight="1">
      <c r="A100" s="10" cm="1">
        <f t="array" ref="A100">A99+1</f>
        <v>88</v>
      </c>
      <c r="B100" s="9"/>
      <c r="C100" s="19"/>
      <c r="D100" s="64" t="str" cm="1">
        <f t="array" ref="D100">IF(F100="","",F100-E100)</f>
        <v/>
      </c>
      <c r="E100" s="65"/>
      <c r="F100" s="66" t="str" cm="1">
        <f t="array" ref="F100">IF(I100="","",I100-H100)</f>
        <v/>
      </c>
      <c r="G100" s="67"/>
      <c r="H100" s="65"/>
      <c r="I100" s="66" t="str" cm="1">
        <f t="array" ref="I100">IF(P100="","",P100-K100)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/>
      <c r="AD100" s="66" t="str" cm="1">
        <f t="array" ref="AD100">IF(AG100="","",AG100-AF100)</f>
        <v/>
      </c>
      <c r="AE100" s="67"/>
      <c r="AF100" s="65"/>
      <c r="AG100" s="67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</row>
    <row r="101" spans="1:65" ht="25.5" customHeight="1">
      <c r="A101" s="10" cm="1">
        <f t="array" ref="A101">A100+1</f>
        <v>89</v>
      </c>
      <c r="B101" s="9"/>
      <c r="C101" s="19"/>
      <c r="D101" s="64" t="str" cm="1">
        <f t="array" ref="D101">IF(F101="","",F101-E101)</f>
        <v/>
      </c>
      <c r="E101" s="65"/>
      <c r="F101" s="66" t="str" cm="1">
        <f t="array" ref="F101">IF(I101="","",I101-H101)</f>
        <v/>
      </c>
      <c r="G101" s="67"/>
      <c r="H101" s="65"/>
      <c r="I101" s="66" t="str" cm="1">
        <f t="array" ref="I101">IF(P101="","",P101-K101)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/>
      <c r="AD101" s="66" t="str" cm="1">
        <f t="array" ref="AD101">IF(AG101="","",AG101-AF101)</f>
        <v/>
      </c>
      <c r="AE101" s="67"/>
      <c r="AF101" s="65"/>
      <c r="AG101" s="67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</row>
    <row r="102" spans="1:65" ht="25.5" customHeight="1">
      <c r="A102" s="10" cm="1">
        <f t="array" ref="A102">A101+1</f>
        <v>90</v>
      </c>
      <c r="B102" s="9"/>
      <c r="C102" s="19"/>
      <c r="D102" s="64" t="str" cm="1">
        <f t="array" ref="D102">IF(F102="","",F102-E102)</f>
        <v/>
      </c>
      <c r="E102" s="65"/>
      <c r="F102" s="66" t="str" cm="1">
        <f t="array" ref="F102">IF(I102="","",I102-H102)</f>
        <v/>
      </c>
      <c r="G102" s="67"/>
      <c r="H102" s="65"/>
      <c r="I102" s="66" t="str" cm="1">
        <f t="array" ref="I102">IF(P102="","",P102-K102)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/>
      <c r="AD102" s="66" t="str" cm="1">
        <f t="array" ref="AD102">IF(AG102="","",AG102-AF102)</f>
        <v/>
      </c>
      <c r="AE102" s="67"/>
      <c r="AF102" s="65"/>
      <c r="AG102" s="67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</row>
    <row r="103" spans="1:65" ht="25.5" customHeight="1">
      <c r="A103" s="10" cm="1">
        <f t="array" ref="A103">A102+1</f>
        <v>91</v>
      </c>
      <c r="B103" s="9"/>
      <c r="C103" s="19"/>
      <c r="D103" s="64" t="str" cm="1">
        <f t="array" ref="D103">IF(F103="","",F103-E103)</f>
        <v/>
      </c>
      <c r="E103" s="65"/>
      <c r="F103" s="66" t="str" cm="1">
        <f t="array" ref="F103">IF(I103="","",I103-H103)</f>
        <v/>
      </c>
      <c r="G103" s="67"/>
      <c r="H103" s="65"/>
      <c r="I103" s="66" t="str" cm="1">
        <f t="array" ref="I103">IF(P103="","",P103-K103)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/>
      <c r="AD103" s="66" t="str" cm="1">
        <f t="array" ref="AD103">IF(AG103="","",AG103-AF103)</f>
        <v/>
      </c>
      <c r="AE103" s="67"/>
      <c r="AF103" s="65"/>
      <c r="AG103" s="67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</row>
    <row r="104" spans="1:65" ht="25.5" customHeight="1">
      <c r="A104" s="10" cm="1">
        <f t="array" ref="A104">A103+1</f>
        <v>92</v>
      </c>
      <c r="B104" s="9"/>
      <c r="C104" s="19"/>
      <c r="D104" s="64" t="str" cm="1">
        <f t="array" ref="D104">IF(F104="","",F104-E104)</f>
        <v/>
      </c>
      <c r="E104" s="65"/>
      <c r="F104" s="66" t="str" cm="1">
        <f t="array" ref="F104">IF(I104="","",I104-H104)</f>
        <v/>
      </c>
      <c r="G104" s="67"/>
      <c r="H104" s="65"/>
      <c r="I104" s="66" t="str" cm="1">
        <f t="array" ref="I104">IF(P104="","",P104-K104)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/>
      <c r="AD104" s="66" t="str" cm="1">
        <f t="array" ref="AD104">IF(AG104="","",AG104-AF104)</f>
        <v/>
      </c>
      <c r="AE104" s="67"/>
      <c r="AF104" s="65"/>
      <c r="AG104" s="67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</row>
    <row r="105" spans="1:65" ht="25.5" customHeight="1">
      <c r="A105" s="10" cm="1">
        <f t="array" ref="A105">A104+1</f>
        <v>93</v>
      </c>
      <c r="B105" s="9"/>
      <c r="C105" s="19"/>
      <c r="D105" s="64" t="str" cm="1">
        <f t="array" ref="D105">IF(F105="","",F105-E105)</f>
        <v/>
      </c>
      <c r="E105" s="65"/>
      <c r="F105" s="66" t="str" cm="1">
        <f t="array" ref="F105">IF(I105="","",I105-H105)</f>
        <v/>
      </c>
      <c r="G105" s="67"/>
      <c r="H105" s="65"/>
      <c r="I105" s="66" t="str" cm="1">
        <f t="array" ref="I105">IF(P105="","",P105-K105)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/>
      <c r="AD105" s="66" t="str" cm="1">
        <f t="array" ref="AD105">IF(AG105="","",AG105-AF105)</f>
        <v/>
      </c>
      <c r="AE105" s="67"/>
      <c r="AF105" s="65"/>
      <c r="AG105" s="67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</row>
    <row r="106" spans="1:65" ht="25.5" customHeight="1">
      <c r="A106" s="10" cm="1">
        <f t="array" ref="A106">A105+1</f>
        <v>94</v>
      </c>
      <c r="B106" s="9"/>
      <c r="C106" s="19"/>
      <c r="D106" s="64" t="str" cm="1">
        <f t="array" ref="D106">IF(F106="","",F106-E106)</f>
        <v/>
      </c>
      <c r="E106" s="65"/>
      <c r="F106" s="66" t="str" cm="1">
        <f t="array" ref="F106">IF(I106="","",I106-H106)</f>
        <v/>
      </c>
      <c r="G106" s="67"/>
      <c r="H106" s="65"/>
      <c r="I106" s="66" t="str" cm="1">
        <f t="array" ref="I106">IF(P106="","",P106-K106)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/>
      <c r="AD106" s="66" t="str" cm="1">
        <f t="array" ref="AD106">IF(AG106="","",AG106-AF106)</f>
        <v/>
      </c>
      <c r="AE106" s="67"/>
      <c r="AF106" s="65"/>
      <c r="AG106" s="67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</row>
    <row r="107" spans="1:65" ht="25.5" customHeight="1">
      <c r="A107" s="10" cm="1">
        <f t="array" ref="A107">A106+1</f>
        <v>95</v>
      </c>
      <c r="B107" s="9"/>
      <c r="C107" s="19"/>
      <c r="D107" s="64" t="str" cm="1">
        <f t="array" ref="D107">IF(F107="","",F107-E107)</f>
        <v/>
      </c>
      <c r="E107" s="65"/>
      <c r="F107" s="66" t="str" cm="1">
        <f t="array" ref="F107">IF(I107="","",I107-H107)</f>
        <v/>
      </c>
      <c r="G107" s="67"/>
      <c r="H107" s="65"/>
      <c r="I107" s="66" t="str" cm="1">
        <f t="array" ref="I107">IF(P107="","",P107-K107)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/>
      <c r="AD107" s="66" t="str" cm="1">
        <f t="array" ref="AD107">IF(AG107="","",AG107-AF107)</f>
        <v/>
      </c>
      <c r="AE107" s="67"/>
      <c r="AF107" s="65"/>
      <c r="AG107" s="67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</row>
    <row r="108" spans="1:65" ht="25.2" customHeight="1">
      <c r="A108" s="10" cm="1">
        <f t="array" ref="A108">A107+1</f>
        <v>96</v>
      </c>
      <c r="B108" s="9"/>
      <c r="C108" s="19"/>
      <c r="D108" s="64" t="str" cm="1">
        <f t="array" ref="D108">IF(F108="","",F108-E108)</f>
        <v/>
      </c>
      <c r="E108" s="65"/>
      <c r="F108" s="66" t="str" cm="1">
        <f t="array" ref="F108">IF(I108="","",I108-H108)</f>
        <v/>
      </c>
      <c r="G108" s="67"/>
      <c r="H108" s="65"/>
      <c r="I108" s="66" t="str" cm="1">
        <f t="array" ref="I108">IF(P108="","",P108-K108)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/>
      <c r="AD108" s="66" t="str" cm="1">
        <f t="array" ref="AD108">IF(AG108="","",AG108-AF108)</f>
        <v/>
      </c>
      <c r="AE108" s="67"/>
      <c r="AF108" s="65"/>
      <c r="AG108" s="67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</row>
    <row r="109" spans="1:65" ht="25.2" customHeight="1">
      <c r="A109" s="10" cm="1">
        <f t="array" ref="A109">A108+1</f>
        <v>97</v>
      </c>
      <c r="B109" s="9"/>
      <c r="C109" s="19"/>
      <c r="D109" s="64" t="str" cm="1">
        <f t="array" ref="D109">IF(F109="","",F109-E109)</f>
        <v/>
      </c>
      <c r="E109" s="65"/>
      <c r="F109" s="66" t="str" cm="1">
        <f t="array" ref="F109">IF(I109="","",I109-H109)</f>
        <v/>
      </c>
      <c r="G109" s="67"/>
      <c r="H109" s="65"/>
      <c r="I109" s="66" t="str" cm="1">
        <f t="array" ref="I109">IF(P109="","",P109-K109)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/>
      <c r="AD109" s="66" t="str" cm="1">
        <f t="array" ref="AD109">IF(AG109="","",AG109-AF109)</f>
        <v/>
      </c>
      <c r="AE109" s="67"/>
      <c r="AF109" s="65"/>
      <c r="AG109" s="67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</row>
    <row r="110" spans="1:65" ht="25.2" customHeight="1">
      <c r="A110" s="10" cm="1">
        <f t="array" ref="A110">A109+1</f>
        <v>98</v>
      </c>
      <c r="B110" s="9"/>
      <c r="C110" s="19"/>
      <c r="D110" s="64" t="str" cm="1">
        <f t="array" ref="D110">IF(F110="","",F110-E110)</f>
        <v/>
      </c>
      <c r="E110" s="65"/>
      <c r="F110" s="66" t="str" cm="1">
        <f t="array" ref="F110">IF(I110="","",I110-H110)</f>
        <v/>
      </c>
      <c r="G110" s="67"/>
      <c r="H110" s="65"/>
      <c r="I110" s="66" t="str" cm="1">
        <f t="array" ref="I110">IF(P110="","",P110-K110)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/>
      <c r="AD110" s="66" t="str" cm="1">
        <f t="array" ref="AD110">IF(AG110="","",AG110-AF110)</f>
        <v/>
      </c>
      <c r="AE110" s="67"/>
      <c r="AF110" s="65"/>
      <c r="AG110" s="67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</row>
    <row r="111" spans="1:65" ht="25.2" customHeight="1">
      <c r="A111" s="10" cm="1">
        <f t="array" ref="A111">A110+1</f>
        <v>99</v>
      </c>
      <c r="B111" s="9"/>
      <c r="C111" s="19"/>
      <c r="D111" s="64" t="str" cm="1">
        <f t="array" ref="D111">IF(F111="","",F111-E111)</f>
        <v/>
      </c>
      <c r="E111" s="65"/>
      <c r="F111" s="66" t="str" cm="1">
        <f t="array" ref="F111">IF(I111="","",I111-H111)</f>
        <v/>
      </c>
      <c r="G111" s="67"/>
      <c r="H111" s="65"/>
      <c r="I111" s="66" t="str" cm="1">
        <f t="array" ref="I111">IF(P111="","",P111-K111)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/>
      <c r="AD111" s="66" t="str" cm="1">
        <f t="array" ref="AD111">IF(AG111="","",AG111-AF111)</f>
        <v/>
      </c>
      <c r="AE111" s="67"/>
      <c r="AF111" s="65"/>
      <c r="AG111" s="67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</row>
    <row r="112" spans="1:65" ht="25.2" customHeight="1">
      <c r="A112" s="10" cm="1">
        <f t="array" ref="A112">A111+1</f>
        <v>100</v>
      </c>
      <c r="B112" s="9"/>
      <c r="C112" s="19"/>
      <c r="D112" s="64" t="str" cm="1">
        <f t="array" ref="D112">IF(F112="","",F112-E112)</f>
        <v/>
      </c>
      <c r="E112" s="65"/>
      <c r="F112" s="66" t="str" cm="1">
        <f t="array" ref="F112">IF(I112="","",I112-H112)</f>
        <v/>
      </c>
      <c r="G112" s="67"/>
      <c r="H112" s="65"/>
      <c r="I112" s="66" t="str" cm="1">
        <f t="array" ref="I112">IF(P112="","",P112-K112)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/>
      <c r="AD112" s="66" t="str" cm="1">
        <f t="array" ref="AD112">IF(AG112="","",AG112-AF112)</f>
        <v/>
      </c>
      <c r="AE112" s="67"/>
      <c r="AF112" s="65"/>
      <c r="AG112" s="67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</row>
    <row r="113" spans="1:65" ht="25.2" customHeight="1">
      <c r="A113" s="10" cm="1">
        <f t="array" ref="A113">A112+1</f>
        <v>101</v>
      </c>
      <c r="B113" s="9"/>
      <c r="C113" s="19"/>
      <c r="D113" s="64" t="str" cm="1">
        <f t="array" ref="D113">IF(F113="","",F113-E113)</f>
        <v/>
      </c>
      <c r="E113" s="65"/>
      <c r="F113" s="66" t="str" cm="1">
        <f t="array" ref="F113">IF(I113="","",I113-H113)</f>
        <v/>
      </c>
      <c r="G113" s="67"/>
      <c r="H113" s="65"/>
      <c r="I113" s="66" t="str" cm="1">
        <f t="array" ref="I113">IF(P113="","",P113-K113)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/>
      <c r="AD113" s="66" t="str" cm="1">
        <f t="array" ref="AD113">IF(AG113="","",AG113-AF113)</f>
        <v/>
      </c>
      <c r="AE113" s="67"/>
      <c r="AF113" s="65"/>
      <c r="AG113" s="67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</row>
    <row r="114" spans="1:65" ht="25.2" customHeight="1">
      <c r="A114" s="10" cm="1">
        <f t="array" ref="A114">A113+1</f>
        <v>102</v>
      </c>
      <c r="B114" s="9"/>
      <c r="C114" s="19"/>
      <c r="D114" s="64" t="str" cm="1">
        <f t="array" ref="D114">IF(F114="","",F114-E114)</f>
        <v/>
      </c>
      <c r="E114" s="65"/>
      <c r="F114" s="66" t="str" cm="1">
        <f t="array" ref="F114">IF(I114="","",I114-H114)</f>
        <v/>
      </c>
      <c r="G114" s="67"/>
      <c r="H114" s="65"/>
      <c r="I114" s="66" t="str" cm="1">
        <f t="array" ref="I114">IF(P114="","",P114-K114)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IF(AD114="","",AD114-R114-Q114)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/>
      <c r="AD114" s="66" t="str" cm="1">
        <f t="array" ref="AD114">IF(AG114="","",AG114-AF114)</f>
        <v/>
      </c>
      <c r="AE114" s="67"/>
      <c r="AF114" s="65"/>
      <c r="AG114" s="67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</row>
    <row r="115" spans="1:65" ht="25.2" customHeight="1">
      <c r="A115" s="10" cm="1">
        <f t="array" ref="A115">A114+1</f>
        <v>103</v>
      </c>
      <c r="B115" s="9"/>
      <c r="C115" s="19"/>
      <c r="D115" s="64" t="str" cm="1">
        <f t="array" ref="D115">IF(F115="","",F115-E115)</f>
        <v/>
      </c>
      <c r="E115" s="65"/>
      <c r="F115" s="66" t="str" cm="1">
        <f t="array" ref="F115">IF(I115="","",I115-H115)</f>
        <v/>
      </c>
      <c r="G115" s="67"/>
      <c r="H115" s="65"/>
      <c r="I115" s="66" t="str" cm="1">
        <f t="array" ref="I115">IF(P115="","",P115-K115)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IF(AD115="","",AD115-R115-Q115)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/>
      <c r="AD115" s="66" t="str" cm="1">
        <f t="array" ref="AD115">IF(AG115="","",AG115-AF115)</f>
        <v/>
      </c>
      <c r="AE115" s="67"/>
      <c r="AF115" s="65"/>
      <c r="AG115" s="67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</row>
    <row r="116" spans="1:65" ht="25.2" customHeight="1">
      <c r="A116" s="10" cm="1">
        <f t="array" ref="A116">A115+1</f>
        <v>104</v>
      </c>
      <c r="B116" s="9"/>
      <c r="C116" s="19"/>
      <c r="D116" s="64" t="str" cm="1">
        <f t="array" ref="D116">IF(F116="","",F116-E116)</f>
        <v/>
      </c>
      <c r="E116" s="65"/>
      <c r="F116" s="66" t="str" cm="1">
        <f t="array" ref="F116">IF(I116="","",I116-H116)</f>
        <v/>
      </c>
      <c r="G116" s="67"/>
      <c r="H116" s="65"/>
      <c r="I116" s="66" t="str" cm="1">
        <f t="array" ref="I116">IF(P116="","",P116-K116)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IF(AD116="","",AD116-R116-Q116)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/>
      <c r="AD116" s="66" t="str" cm="1">
        <f t="array" ref="AD116">IF(AG116="","",AG116-AF116)</f>
        <v/>
      </c>
      <c r="AE116" s="67"/>
      <c r="AF116" s="65"/>
      <c r="AG116" s="67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</row>
    <row r="117" spans="1:65" ht="25.2" customHeight="1">
      <c r="A117" s="10" cm="1">
        <f t="array" ref="A117">A116+1</f>
        <v>105</v>
      </c>
      <c r="B117" s="9"/>
      <c r="C117" s="19"/>
      <c r="D117" s="64" t="str" cm="1">
        <f t="array" ref="D117">IF(F117="","",F117-E117)</f>
        <v/>
      </c>
      <c r="E117" s="65"/>
      <c r="F117" s="66" t="str" cm="1">
        <f t="array" ref="F117">IF(I117="","",I117-H117)</f>
        <v/>
      </c>
      <c r="G117" s="67"/>
      <c r="H117" s="65"/>
      <c r="I117" s="66" t="str" cm="1">
        <f t="array" ref="I117">IF(P117="","",P117-K117)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IF(AD117="","",AD117-R117-Q117)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/>
      <c r="AD117" s="66" t="str" cm="1">
        <f t="array" ref="AD117">IF(AG117="","",AG117-AF117)</f>
        <v/>
      </c>
      <c r="AE117" s="67"/>
      <c r="AF117" s="65"/>
      <c r="AG117" s="67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</row>
    <row r="118" spans="1:65" ht="25.2" customHeight="1">
      <c r="A118" s="10" cm="1">
        <f t="array" ref="A118">A117+1</f>
        <v>106</v>
      </c>
      <c r="B118" s="9"/>
      <c r="C118" s="19"/>
      <c r="D118" s="64" t="str" cm="1">
        <f t="array" ref="D118">IF(F118="","",F118-E118)</f>
        <v/>
      </c>
      <c r="E118" s="65"/>
      <c r="F118" s="66" t="str" cm="1">
        <f t="array" ref="F118">IF(I118="","",I118-H118)</f>
        <v/>
      </c>
      <c r="G118" s="67"/>
      <c r="H118" s="65"/>
      <c r="I118" s="66" t="str" cm="1">
        <f t="array" ref="I118">IF(P118="","",P118-K118)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IF(AD118="","",AD118-R118-Q118)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/>
      <c r="AD118" s="66" t="str" cm="1">
        <f t="array" ref="AD118">IF(AG118="","",AG118-AF118)</f>
        <v/>
      </c>
      <c r="AE118" s="67"/>
      <c r="AF118" s="65"/>
      <c r="AG118" s="67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</row>
    <row r="119" spans="1:65" ht="25.2" customHeight="1">
      <c r="A119" s="10" cm="1">
        <f t="array" ref="A119">A118+1</f>
        <v>107</v>
      </c>
      <c r="B119" s="9"/>
      <c r="C119" s="19"/>
      <c r="D119" s="64" t="str" cm="1">
        <f t="array" ref="D119">IF(F119="","",F119-E119)</f>
        <v/>
      </c>
      <c r="E119" s="65"/>
      <c r="F119" s="66" t="str" cm="1">
        <f t="array" ref="F119">IF(I119="","",I119-H119)</f>
        <v/>
      </c>
      <c r="G119" s="67"/>
      <c r="H119" s="65"/>
      <c r="I119" s="66" t="str" cm="1">
        <f t="array" ref="I119">IF(P119="","",P119-K119)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IF(AD119="","",AD119-R119-Q119)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/>
      <c r="AD119" s="66" t="str" cm="1">
        <f t="array" ref="AD119">IF(AG119="","",AG119-AF119)</f>
        <v/>
      </c>
      <c r="AE119" s="67"/>
      <c r="AF119" s="65"/>
      <c r="AG119" s="67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</row>
    <row r="120" spans="1:65" ht="25.2" customHeight="1">
      <c r="A120" s="10" cm="1">
        <f t="array" ref="A120">A119+1</f>
        <v>108</v>
      </c>
      <c r="B120" s="9"/>
      <c r="C120" s="19"/>
      <c r="D120" s="64" t="str" cm="1">
        <f t="array" ref="D120">IF(F120="","",F120-E120)</f>
        <v/>
      </c>
      <c r="E120" s="65"/>
      <c r="F120" s="66" t="str" cm="1">
        <f t="array" ref="F120">IF(I120="","",I120-H120)</f>
        <v/>
      </c>
      <c r="G120" s="67"/>
      <c r="H120" s="65"/>
      <c r="I120" s="66" t="str" cm="1">
        <f t="array" ref="I120">IF(P120="","",P120-K120)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IF(AD120="","",AD120-R120-Q120)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/>
      <c r="AD120" s="66" t="str" cm="1">
        <f t="array" ref="AD120">IF(AG120="","",AG120-AF120)</f>
        <v/>
      </c>
      <c r="AE120" s="67"/>
      <c r="AF120" s="65"/>
      <c r="AG120" s="67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</row>
    <row r="121" spans="1:65" ht="25.2" customHeight="1">
      <c r="A121" s="10" cm="1">
        <f t="array" ref="A121">A120+1</f>
        <v>109</v>
      </c>
      <c r="B121" s="9"/>
      <c r="C121" s="19"/>
      <c r="D121" s="64" t="str" cm="1">
        <f t="array" ref="D121">IF(F121="","",F121-E121)</f>
        <v/>
      </c>
      <c r="E121" s="65"/>
      <c r="F121" s="66" t="str" cm="1">
        <f t="array" ref="F121">IF(I121="","",I121-H121)</f>
        <v/>
      </c>
      <c r="G121" s="67"/>
      <c r="H121" s="65"/>
      <c r="I121" s="66" t="str" cm="1">
        <f t="array" ref="I121">IF(P121="","",P121-K121)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IF(AD121="","",AD121-R121-Q121)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/>
      <c r="AD121" s="66" t="str" cm="1">
        <f t="array" ref="AD121">IF(AG121="","",AG121-AF121)</f>
        <v/>
      </c>
      <c r="AE121" s="67"/>
      <c r="AF121" s="65"/>
      <c r="AG121" s="67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</row>
    <row r="122" spans="1:65" ht="25.2" customHeight="1">
      <c r="A122" s="10" cm="1">
        <f t="array" ref="A122">A121+1</f>
        <v>110</v>
      </c>
      <c r="B122" s="9"/>
      <c r="C122" s="19"/>
      <c r="D122" s="64" t="str" cm="1">
        <f t="array" ref="D122">IF(F122="","",F122-E122)</f>
        <v/>
      </c>
      <c r="E122" s="65"/>
      <c r="F122" s="66" t="str" cm="1">
        <f t="array" ref="F122">IF(I122="","",I122-H122)</f>
        <v/>
      </c>
      <c r="G122" s="67"/>
      <c r="H122" s="65"/>
      <c r="I122" s="66" t="str" cm="1">
        <f t="array" ref="I122">IF(P122="","",P122-K122)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IF(AD122="","",AD122-R122-Q122)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/>
      <c r="AD122" s="66" t="str" cm="1">
        <f t="array" ref="AD122">IF(AG122="","",AG122-AF122)</f>
        <v/>
      </c>
      <c r="AE122" s="67"/>
      <c r="AF122" s="65"/>
      <c r="AG122" s="67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</row>
    <row r="123" spans="1:65" ht="25.2" customHeight="1">
      <c r="A123" s="10" cm="1">
        <f t="array" ref="A123">A122+1</f>
        <v>111</v>
      </c>
      <c r="B123" s="9"/>
      <c r="C123" s="19"/>
      <c r="D123" s="64" t="str" cm="1">
        <f t="array" ref="D123">IF(F123="","",F123-E123)</f>
        <v/>
      </c>
      <c r="E123" s="65"/>
      <c r="F123" s="66" t="str" cm="1">
        <f t="array" ref="F123">IF(I123="","",I123-H123)</f>
        <v/>
      </c>
      <c r="G123" s="67"/>
      <c r="H123" s="65"/>
      <c r="I123" s="66" t="str" cm="1">
        <f t="array" ref="I123">IF(P123="","",P123-K123)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IF(AD123="","",AD123-R123-Q123)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/>
      <c r="AD123" s="66" t="str" cm="1">
        <f t="array" ref="AD123">IF(AG123="","",AG123-AF123)</f>
        <v/>
      </c>
      <c r="AE123" s="67"/>
      <c r="AF123" s="65"/>
      <c r="AG123" s="67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</row>
    <row r="124" spans="1:65" ht="25.2" customHeight="1">
      <c r="A124" s="10" cm="1">
        <f t="array" ref="A124">A123+1</f>
        <v>112</v>
      </c>
      <c r="B124" s="9"/>
      <c r="C124" s="19"/>
      <c r="D124" s="64" t="str" cm="1">
        <f t="array" ref="D124">IF(F124="","",F124-E124)</f>
        <v/>
      </c>
      <c r="E124" s="65"/>
      <c r="F124" s="66" t="str" cm="1">
        <f t="array" ref="F124">IF(I124="","",I124-H124)</f>
        <v/>
      </c>
      <c r="G124" s="67"/>
      <c r="H124" s="65"/>
      <c r="I124" s="66" t="str" cm="1">
        <f t="array" ref="I124">IF(P124="","",P124-K124)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IF(AD124="","",AD124-R124-Q124)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/>
      <c r="AD124" s="66" t="str" cm="1">
        <f t="array" ref="AD124">IF(AG124="","",AG124-AF124)</f>
        <v/>
      </c>
      <c r="AE124" s="67"/>
      <c r="AF124" s="65"/>
      <c r="AG124" s="67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</row>
    <row r="125" spans="1:65" ht="25.2" customHeight="1">
      <c r="A125" s="10" cm="1">
        <f t="array" ref="A125">A124+1</f>
        <v>113</v>
      </c>
      <c r="B125" s="9"/>
      <c r="C125" s="19"/>
      <c r="D125" s="64" t="str" cm="1">
        <f t="array" ref="D125">IF(F125="","",F125-E125)</f>
        <v/>
      </c>
      <c r="E125" s="65"/>
      <c r="F125" s="66" t="str" cm="1">
        <f t="array" ref="F125">IF(I125="","",I125-H125)</f>
        <v/>
      </c>
      <c r="G125" s="67"/>
      <c r="H125" s="65"/>
      <c r="I125" s="66" t="str" cm="1">
        <f t="array" ref="I125">IF(P125="","",P125-K125)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IF(AD125="","",AD125-R125-Q125)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/>
      <c r="AD125" s="66" t="str" cm="1">
        <f t="array" ref="AD125">IF(AG125="","",AG125-AF125)</f>
        <v/>
      </c>
      <c r="AE125" s="67"/>
      <c r="AF125" s="65"/>
      <c r="AG125" s="67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</row>
    <row r="126" spans="1:65" ht="25.2" customHeight="1">
      <c r="A126" s="10" cm="1">
        <f t="array" ref="A126">A125+1</f>
        <v>114</v>
      </c>
      <c r="B126" s="9"/>
      <c r="C126" s="19"/>
      <c r="D126" s="64" t="str" cm="1">
        <f t="array" ref="D126">IF(F126="","",F126-E126)</f>
        <v/>
      </c>
      <c r="E126" s="65"/>
      <c r="F126" s="66" t="str" cm="1">
        <f t="array" ref="F126">IF(I126="","",I126-H126)</f>
        <v/>
      </c>
      <c r="G126" s="67"/>
      <c r="H126" s="65"/>
      <c r="I126" s="66" t="str" cm="1">
        <f t="array" ref="I126">IF(P126="","",P126-K126)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IF(AD126="","",AD126-R126-Q126)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/>
      <c r="AD126" s="66" t="str" cm="1">
        <f t="array" ref="AD126">IF(AG126="","",AG126-AF126)</f>
        <v/>
      </c>
      <c r="AE126" s="67"/>
      <c r="AF126" s="65"/>
      <c r="AG126" s="67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</row>
    <row r="127" spans="1:65" ht="25.2" customHeight="1">
      <c r="A127" s="10" cm="1">
        <f t="array" ref="A127">A126+1</f>
        <v>115</v>
      </c>
      <c r="B127" s="9"/>
      <c r="C127" s="19"/>
      <c r="D127" s="64" t="str" cm="1">
        <f t="array" ref="D127">IF(F127="","",F127-E127)</f>
        <v/>
      </c>
      <c r="E127" s="65"/>
      <c r="F127" s="66" t="str" cm="1">
        <f t="array" ref="F127">IF(I127="","",I127-H127)</f>
        <v/>
      </c>
      <c r="G127" s="67"/>
      <c r="H127" s="65"/>
      <c r="I127" s="66" t="str" cm="1">
        <f t="array" ref="I127">IF(P127="","",P127-K127)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IF(AD127="","",AD127-R127-Q127)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/>
      <c r="AD127" s="66" t="str" cm="1">
        <f t="array" ref="AD127">IF(AG127="","",AG127-AF127)</f>
        <v/>
      </c>
      <c r="AE127" s="67"/>
      <c r="AF127" s="65"/>
      <c r="AG127" s="67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</row>
    <row r="128" spans="1:65" ht="25.2" customHeight="1">
      <c r="A128" s="10" cm="1">
        <f t="array" ref="A128">A127+1</f>
        <v>116</v>
      </c>
      <c r="B128" s="9"/>
      <c r="C128" s="19"/>
      <c r="D128" s="64" t="str" cm="1">
        <f t="array" ref="D128">IF(F128="","",F128-E128)</f>
        <v/>
      </c>
      <c r="E128" s="65"/>
      <c r="F128" s="66" t="str" cm="1">
        <f t="array" ref="F128">IF(I128="","",I128-H128)</f>
        <v/>
      </c>
      <c r="G128" s="67"/>
      <c r="H128" s="65"/>
      <c r="I128" s="66" t="str" cm="1">
        <f t="array" ref="I128">IF(P128="","",P128-K128)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IF(AD128="","",AD128-R128-Q128)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/>
      <c r="AD128" s="66" t="str" cm="1">
        <f t="array" ref="AD128">IF(AG128="","",AG128-AF128)</f>
        <v/>
      </c>
      <c r="AE128" s="67"/>
      <c r="AF128" s="65"/>
      <c r="AG128" s="67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   <c r="B129" s="9"/>
      <c r="C129" s="19"/>
      <c r="D129" s="64" t="str" cm="1">
        <f t="array" ref="D129">IF(F129="","",F129-E129)</f>
        <v/>
      </c>
      <c r="E129" s="65"/>
      <c r="F129" s="66" t="str" cm="1">
        <f t="array" ref="F129">IF(I129="","",I129-H129)</f>
        <v/>
      </c>
      <c r="G129" s="67"/>
      <c r="H129" s="65"/>
      <c r="I129" s="66" t="str" cm="1">
        <f t="array" ref="I129">IF(P129="","",P129-K129)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IF(AD129="","",AD129-R129-Q129)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/>
      <c r="AD129" s="66" t="str" cm="1">
        <f t="array" ref="AD129">IF(AG129="","",AG129-AF129)</f>
        <v/>
      </c>
      <c r="AE129" s="67"/>
      <c r="AF129" s="65"/>
      <c r="AG129" s="67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</row>
    <row r="130" spans="1:65" ht="25.2" customHeight="1">
      <c r="A130" s="10" cm="1">
        <f t="array" ref="A130">A129+1</f>
        <v>118</v>
      </c>
      <c r="B130" s="9"/>
      <c r="C130" s="19"/>
      <c r="D130" s="64" t="str" cm="1">
        <f t="array" ref="D130">IF(F130="","",F130-E130)</f>
        <v/>
      </c>
      <c r="E130" s="65"/>
      <c r="F130" s="66" t="str" cm="1">
        <f t="array" ref="F130">IF(I130="","",I130-H130)</f>
        <v/>
      </c>
      <c r="G130" s="67"/>
      <c r="H130" s="65"/>
      <c r="I130" s="66" t="str" cm="1">
        <f t="array" ref="I130">IF(P130="","",P130-K130)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IF(AD130="","",AD130-R130-Q130)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/>
      <c r="AD130" s="66" t="str" cm="1">
        <f t="array" ref="AD130">IF(AG130="","",AG130-AF130)</f>
        <v/>
      </c>
      <c r="AE130" s="67"/>
      <c r="AF130" s="65"/>
      <c r="AG130" s="67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</row>
    <row r="131" spans="1:65" ht="25.2" customHeight="1">
      <c r="A131" s="10" cm="1">
        <f t="array" ref="A131">A130+1</f>
        <v>119</v>
      </c>
      <c r="B131" s="9"/>
      <c r="C131" s="19"/>
      <c r="D131" s="64" t="str" cm="1">
        <f t="array" ref="D131">IF(F131="","",F131-E131)</f>
        <v/>
      </c>
      <c r="E131" s="65"/>
      <c r="F131" s="66" t="str" cm="1">
        <f t="array" ref="F131">IF(I131="","",I131-H131)</f>
        <v/>
      </c>
      <c r="G131" s="67"/>
      <c r="H131" s="65"/>
      <c r="I131" s="66" t="str" cm="1">
        <f t="array" ref="I131">IF(P131="","",P131-K131)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IF(AD131="","",AD131-R131-Q131)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/>
      <c r="AD131" s="66" t="str" cm="1">
        <f t="array" ref="AD131">IF(AG131="","",AG131-AF131)</f>
        <v/>
      </c>
      <c r="AE131" s="67"/>
      <c r="AF131" s="65"/>
      <c r="AG131" s="67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</row>
    <row r="132" spans="1:65" ht="25.2" customHeight="1">
      <c r="A132" s="10" cm="1">
        <f t="array" ref="A132">A131+1</f>
        <v>120</v>
      </c>
      <c r="B132" s="9"/>
      <c r="C132" s="19"/>
      <c r="D132" s="64" t="str" cm="1">
        <f t="array" ref="D132">IF(F132="","",F132-E132)</f>
        <v/>
      </c>
      <c r="E132" s="65"/>
      <c r="F132" s="66" t="str" cm="1">
        <f t="array" ref="F132">IF(I132="","",I132-H132)</f>
        <v/>
      </c>
      <c r="G132" s="67"/>
      <c r="H132" s="65"/>
      <c r="I132" s="66" t="str" cm="1">
        <f t="array" ref="I132">IF(P132="","",P132-K132)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IF(AD132="","",AD132-R132-Q132)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/>
      <c r="AD132" s="66" t="str" cm="1">
        <f t="array" ref="AD132">IF(AG132="","",AG132-AF132)</f>
        <v/>
      </c>
      <c r="AE132" s="67"/>
      <c r="AF132" s="65"/>
      <c r="AG132" s="67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</row>
    <row r="133" spans="1:65" ht="25.2" customHeight="1">
      <c r="A133" s="10" cm="1">
        <f t="array" ref="A133">A132+1</f>
        <v>121</v>
      </c>
      <c r="B133" s="9"/>
      <c r="C133" s="19"/>
      <c r="D133" s="64" t="str" cm="1">
        <f t="array" ref="D133">IF(F133="","",F133-E133)</f>
        <v/>
      </c>
      <c r="E133" s="65"/>
      <c r="F133" s="66" t="str" cm="1">
        <f t="array" ref="F133">IF(I133="","",I133-H133)</f>
        <v/>
      </c>
      <c r="G133" s="67"/>
      <c r="H133" s="65"/>
      <c r="I133" s="66" t="str" cm="1">
        <f t="array" ref="I133">IF(P133="","",P133-K133)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IF(AD133="","",AD133-R133-Q133)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/>
      <c r="AD133" s="66" t="str" cm="1">
        <f t="array" ref="AD133">IF(AG133="","",AG133-AF133)</f>
        <v/>
      </c>
      <c r="AE133" s="67"/>
      <c r="AF133" s="65"/>
      <c r="AG133" s="67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</row>
    <row r="134" spans="1:65" ht="25.2" customHeight="1">
      <c r="A134" s="10" cm="1">
        <f t="array" ref="A134">A133+1</f>
        <v>122</v>
      </c>
      <c r="B134" s="9"/>
      <c r="C134" s="19"/>
      <c r="D134" s="64" t="str" cm="1">
        <f t="array" ref="D134">IF(F134="","",F134-E134)</f>
        <v/>
      </c>
      <c r="E134" s="65"/>
      <c r="F134" s="66" t="str" cm="1">
        <f t="array" ref="F134">IF(I134="","",I134-H134)</f>
        <v/>
      </c>
      <c r="G134" s="67"/>
      <c r="H134" s="65"/>
      <c r="I134" s="66" t="str" cm="1">
        <f t="array" ref="I134">IF(P134="","",P134-K134)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IF(AD134="","",AD134-R134-Q134)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/>
      <c r="AD134" s="66" t="str" cm="1">
        <f t="array" ref="AD134">IF(AG134="","",AG134-AF134)</f>
        <v/>
      </c>
      <c r="AE134" s="67"/>
      <c r="AF134" s="65"/>
      <c r="AG134" s="67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</row>
    <row r="135" spans="1:65" ht="25.2" customHeight="1">
      <c r="A135" s="10" cm="1">
        <f t="array" ref="A135">A134+1</f>
        <v>123</v>
      </c>
      <c r="B135" s="9"/>
      <c r="C135" s="19"/>
      <c r="D135" s="64" t="str" cm="1">
        <f t="array" ref="D135">IF(F135="","",F135-E135)</f>
        <v/>
      </c>
      <c r="E135" s="65"/>
      <c r="F135" s="66" t="str" cm="1">
        <f t="array" ref="F135">IF(I135="","",I135-H135)</f>
        <v/>
      </c>
      <c r="G135" s="67"/>
      <c r="H135" s="65"/>
      <c r="I135" s="66" t="str" cm="1">
        <f t="array" ref="I135">IF(P135="","",P135-K135)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IF(AD135="","",AD135-R135-Q135)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/>
      <c r="AD135" s="66" t="str" cm="1">
        <f t="array" ref="AD135">IF(AG135="","",AG135-AF135)</f>
        <v/>
      </c>
      <c r="AE135" s="67"/>
      <c r="AF135" s="65"/>
      <c r="AG135" s="67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</row>
    <row r="136" spans="1:65" ht="25.2" customHeight="1">
      <c r="A136" s="10" cm="1">
        <f t="array" ref="A136">A135+1</f>
        <v>124</v>
      </c>
      <c r="B136" s="9"/>
      <c r="C136" s="19"/>
      <c r="D136" s="64" t="str" cm="1">
        <f t="array" ref="D136">IF(F136="","",F136-E136)</f>
        <v/>
      </c>
      <c r="E136" s="65"/>
      <c r="F136" s="66" t="str" cm="1">
        <f t="array" ref="F136">IF(I136="","",I136-H136)</f>
        <v/>
      </c>
      <c r="G136" s="67"/>
      <c r="H136" s="65"/>
      <c r="I136" s="66" t="str" cm="1">
        <f t="array" ref="I136">IF(P136="","",P136-K136)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IF(AD136="","",AD136-R136-Q136)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/>
      <c r="AD136" s="66" t="str" cm="1">
        <f t="array" ref="AD136">IF(AG136="","",AG136-AF136)</f>
        <v/>
      </c>
      <c r="AE136" s="67"/>
      <c r="AF136" s="65"/>
      <c r="AG136" s="67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</row>
    <row r="137" spans="1:65" ht="25.2" customHeight="1">
      <c r="A137" s="10" cm="1">
        <f t="array" ref="A137">A136+1</f>
        <v>125</v>
      </c>
      <c r="B137" s="9"/>
      <c r="C137" s="19"/>
      <c r="D137" s="64" t="str" cm="1">
        <f t="array" ref="D137">IF(F137="","",F137-E137)</f>
        <v/>
      </c>
      <c r="E137" s="65"/>
      <c r="F137" s="66" t="str" cm="1">
        <f t="array" ref="F137">IF(I137="","",I137-H137)</f>
        <v/>
      </c>
      <c r="G137" s="67"/>
      <c r="H137" s="65"/>
      <c r="I137" s="66" t="str" cm="1">
        <f t="array" ref="I137">IF(P137="","",P137-K137)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IF(AD137="","",AD137-R137-Q137)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/>
      <c r="AD137" s="66" t="str" cm="1">
        <f t="array" ref="AD137">IF(AG137="","",AG137-AF137)</f>
        <v/>
      </c>
      <c r="AE137" s="67"/>
      <c r="AF137" s="65"/>
      <c r="AG137" s="67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</row>
    <row r="138" spans="1:65" ht="25.2" customHeight="1">
      <c r="A138" s="10" cm="1">
        <f t="array" ref="A138">A137+1</f>
        <v>126</v>
      </c>
      <c r="B138" s="9"/>
      <c r="C138" s="19"/>
      <c r="D138" s="64" t="str" cm="1">
        <f t="array" ref="D138">IF(F138="","",F138-E138)</f>
        <v/>
      </c>
      <c r="E138" s="65"/>
      <c r="F138" s="66" t="str" cm="1">
        <f t="array" ref="F138">IF(I138="","",I138-H138)</f>
        <v/>
      </c>
      <c r="G138" s="67"/>
      <c r="H138" s="65"/>
      <c r="I138" s="66" t="str" cm="1">
        <f t="array" ref="I138">IF(P138="","",P138-K138)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IF(AD138="","",AD138-R138-Q138)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/>
      <c r="AD138" s="66" t="str" cm="1">
        <f t="array" ref="AD138">IF(AG138="","",AG138-AF138)</f>
        <v/>
      </c>
      <c r="AE138" s="67"/>
      <c r="AF138" s="65"/>
      <c r="AG138" s="67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</row>
    <row r="139" spans="1:65" ht="25.2" customHeight="1">
      <c r="A139" s="10" cm="1">
        <f t="array" ref="A139">A138+1</f>
        <v>127</v>
      </c>
      <c r="B139" s="9"/>
      <c r="C139" s="19"/>
      <c r="D139" s="64" t="str" cm="1">
        <f t="array" ref="D139">IF(F139="","",F139-E139)</f>
        <v/>
      </c>
      <c r="E139" s="65"/>
      <c r="F139" s="66" t="str" cm="1">
        <f t="array" ref="F139">IF(I139="","",I139-H139)</f>
        <v/>
      </c>
      <c r="G139" s="67"/>
      <c r="H139" s="65"/>
      <c r="I139" s="66" t="str" cm="1">
        <f t="array" ref="I139">IF(P139="","",P139-K139)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IF(AD139="","",AD139-R139-Q139)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/>
      <c r="AD139" s="66" t="str" cm="1">
        <f t="array" ref="AD139">IF(AG139="","",AG139-AF139)</f>
        <v/>
      </c>
      <c r="AE139" s="67"/>
      <c r="AF139" s="65"/>
      <c r="AG139" s="67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</row>
    <row r="140" spans="1:65" ht="25.2" customHeight="1">
      <c r="A140" s="10" cm="1">
        <f t="array" ref="A140">A139+1</f>
        <v>128</v>
      </c>
      <c r="B140" s="9"/>
      <c r="C140" s="19"/>
      <c r="D140" s="64" t="str" cm="1">
        <f t="array" ref="D140">IF(F140="","",F140-E140)</f>
        <v/>
      </c>
      <c r="E140" s="65"/>
      <c r="F140" s="66" t="str" cm="1">
        <f t="array" ref="F140">IF(I140="","",I140-H140)</f>
        <v/>
      </c>
      <c r="G140" s="67"/>
      <c r="H140" s="65"/>
      <c r="I140" s="66" t="str" cm="1">
        <f t="array" ref="I140">IF(P140="","",P140-K140)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IF(AD140="","",AD140-R140-Q140)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/>
      <c r="AD140" s="66" t="str" cm="1">
        <f t="array" ref="AD140">IF(AG140="","",AG140-AF140)</f>
        <v/>
      </c>
      <c r="AE140" s="67"/>
      <c r="AF140" s="65"/>
      <c r="AG140" s="67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</row>
    <row r="141" spans="1:65" ht="25.2" customHeight="1">
      <c r="A141" s="10" cm="1">
        <f t="array" ref="A141">A140+1</f>
        <v>129</v>
      </c>
      <c r="B141" s="9"/>
      <c r="C141" s="19"/>
      <c r="D141" s="64" t="str" cm="1">
        <f t="array" ref="D141">IF(F141="","",F141-E141)</f>
        <v/>
      </c>
      <c r="E141" s="65"/>
      <c r="F141" s="66" t="str" cm="1">
        <f t="array" ref="F141">IF(I141="","",I141-H141)</f>
        <v/>
      </c>
      <c r="G141" s="67"/>
      <c r="H141" s="65"/>
      <c r="I141" s="66" t="str" cm="1">
        <f t="array" ref="I141">IF(P141="","",P141-K141)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IF(AD141="","",AD141-R141-Q141)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/>
      <c r="AD141" s="66" t="str" cm="1">
        <f t="array" ref="AD141">IF(AG141="","",AG141-AF141)</f>
        <v/>
      </c>
      <c r="AE141" s="67"/>
      <c r="AF141" s="65"/>
      <c r="AG141" s="67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</row>
    <row r="142" spans="1:65" ht="25.2" customHeight="1">
      <c r="A142" s="10" cm="1">
        <f t="array" ref="A142">A141+1</f>
        <v>130</v>
      </c>
      <c r="B142" s="9"/>
      <c r="C142" s="19"/>
      <c r="D142" s="64" t="str" cm="1">
        <f t="array" ref="D142">IF(F142="","",F142-E142)</f>
        <v/>
      </c>
      <c r="E142" s="65"/>
      <c r="F142" s="66" t="str" cm="1">
        <f t="array" ref="F142">IF(I142="","",I142-H142)</f>
        <v/>
      </c>
      <c r="G142" s="67"/>
      <c r="H142" s="65"/>
      <c r="I142" s="66" t="str" cm="1">
        <f t="array" ref="I142">IF(P142="","",P142-K142)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IF(AD142="","",AD142-R142-Q142)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/>
      <c r="AD142" s="66" t="str" cm="1">
        <f t="array" ref="AD142">IF(AG142="","",AG142-AF142)</f>
        <v/>
      </c>
      <c r="AE142" s="67"/>
      <c r="AF142" s="65"/>
      <c r="AG142" s="67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</row>
    <row r="143" spans="1:65" ht="25.2" customHeight="1">
      <c r="A143" s="10" cm="1">
        <f t="array" ref="A143">A142+1</f>
        <v>131</v>
      </c>
      <c r="B143" s="9"/>
      <c r="C143" s="19"/>
      <c r="D143" s="64" t="str" cm="1">
        <f t="array" ref="D143">IF(F143="","",F143-E143)</f>
        <v/>
      </c>
      <c r="E143" s="65"/>
      <c r="F143" s="66" t="str" cm="1">
        <f t="array" ref="F143">IF(I143="","",I143-H143)</f>
        <v/>
      </c>
      <c r="G143" s="67"/>
      <c r="H143" s="65"/>
      <c r="I143" s="66" t="str" cm="1">
        <f t="array" ref="I143">IF(P143="","",P143-K143)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IF(AD143="","",AD143-R143-Q143)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/>
      <c r="AD143" s="66" t="str" cm="1">
        <f t="array" ref="AD143">IF(AG143="","",AG143-AF143)</f>
        <v/>
      </c>
      <c r="AE143" s="67"/>
      <c r="AF143" s="65"/>
      <c r="AG143" s="67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</row>
    <row r="144" spans="1:65" ht="25.2" customHeight="1">
      <c r="A144" s="10" cm="1">
        <f t="array" ref="A144">A143+1</f>
        <v>132</v>
      </c>
      <c r="B144" s="9"/>
      <c r="C144" s="19"/>
      <c r="D144" s="64" t="str" cm="1">
        <f t="array" ref="D144">IF(F144="","",F144-E144)</f>
        <v/>
      </c>
      <c r="E144" s="65"/>
      <c r="F144" s="66" t="str" cm="1">
        <f t="array" ref="F144">IF(I144="","",I144-H144)</f>
        <v/>
      </c>
      <c r="G144" s="67"/>
      <c r="H144" s="65"/>
      <c r="I144" s="66" t="str" cm="1">
        <f t="array" ref="I144">IF(P144="","",P144-K144)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IF(AD144="","",AD144-R144-Q144)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/>
      <c r="AD144" s="66" t="str" cm="1">
        <f t="array" ref="AD144">IF(AG144="","",AG144-AF144)</f>
        <v/>
      </c>
      <c r="AE144" s="67"/>
      <c r="AF144" s="65"/>
      <c r="AG144" s="67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</row>
    <row r="145" spans="1:65" ht="25.2" customHeight="1">
      <c r="A145" s="10" cm="1">
        <f t="array" ref="A145">A144+1</f>
        <v>133</v>
      </c>
      <c r="B145" s="9"/>
      <c r="C145" s="19"/>
      <c r="D145" s="64" t="str" cm="1">
        <f t="array" ref="D145">IF(F145="","",F145-E145)</f>
        <v/>
      </c>
      <c r="E145" s="65"/>
      <c r="F145" s="66" t="str" cm="1">
        <f t="array" ref="F145">IF(I145="","",I145-H145)</f>
        <v/>
      </c>
      <c r="G145" s="67"/>
      <c r="H145" s="65"/>
      <c r="I145" s="66" t="str" cm="1">
        <f t="array" ref="I145">IF(P145="","",P145-K145)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IF(AD145="","",AD145-R145-Q145)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/>
      <c r="AD145" s="66" t="str" cm="1">
        <f t="array" ref="AD145">IF(AG145="","",AG145-AF145)</f>
        <v/>
      </c>
      <c r="AE145" s="67"/>
      <c r="AF145" s="65"/>
      <c r="AG145" s="67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</row>
    <row r="146" spans="1:65" ht="25.2" customHeight="1">
      <c r="A146" s="10" cm="1">
        <f t="array" ref="A146">A145+1</f>
        <v>134</v>
      </c>
      <c r="B146" s="9"/>
      <c r="C146" s="19"/>
      <c r="D146" s="64" t="str" cm="1">
        <f t="array" ref="D146">IF(F146="","",F146-E146)</f>
        <v/>
      </c>
      <c r="E146" s="65"/>
      <c r="F146" s="66" t="str" cm="1">
        <f t="array" ref="F146">IF(I146="","",I146-H146)</f>
        <v/>
      </c>
      <c r="G146" s="67"/>
      <c r="H146" s="65"/>
      <c r="I146" s="66" t="str" cm="1">
        <f t="array" ref="I146">IF(P146="","",P146-K146)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IF(AD146="","",AD146-R146-Q146)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/>
      <c r="AD146" s="66" t="str" cm="1">
        <f t="array" ref="AD146">IF(AG146="","",AG146-AF146)</f>
        <v/>
      </c>
      <c r="AE146" s="67"/>
      <c r="AF146" s="65"/>
      <c r="AG146" s="67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</row>
    <row r="147" spans="1:65" ht="25.2" customHeight="1">
      <c r="A147" s="10" cm="1">
        <f t="array" ref="A147">A146+1</f>
        <v>135</v>
      </c>
      <c r="B147" s="9"/>
      <c r="C147" s="19"/>
      <c r="D147" s="64" t="str" cm="1">
        <f t="array" ref="D147">IF(F147="","",F147-E147)</f>
        <v/>
      </c>
      <c r="E147" s="65"/>
      <c r="F147" s="66" t="str" cm="1">
        <f t="array" ref="F147">IF(I147="","",I147-H147)</f>
        <v/>
      </c>
      <c r="G147" s="67"/>
      <c r="H147" s="65"/>
      <c r="I147" s="66" t="str" cm="1">
        <f t="array" ref="I147">IF(P147="","",P147-K147)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IF(AD147="","",AD147-R147-Q147)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/>
      <c r="AD147" s="66" t="str" cm="1">
        <f t="array" ref="AD147">IF(AG147="","",AG147-AF147)</f>
        <v/>
      </c>
      <c r="AE147" s="67"/>
      <c r="AF147" s="65"/>
      <c r="AG147" s="67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</row>
    <row r="148" spans="1:65" ht="25.2" customHeight="1">
      <c r="A148" s="10" cm="1">
        <f t="array" ref="A148">A147+1</f>
        <v>136</v>
      </c>
      <c r="B148" s="9"/>
      <c r="C148" s="19"/>
      <c r="D148" s="64" t="str" cm="1">
        <f t="array" ref="D148">IF(F148="","",F148-E148)</f>
        <v/>
      </c>
      <c r="E148" s="65"/>
      <c r="F148" s="66" t="str" cm="1">
        <f t="array" ref="F148">IF(I148="","",I148-H148)</f>
        <v/>
      </c>
      <c r="G148" s="67"/>
      <c r="H148" s="65"/>
      <c r="I148" s="66" t="str" cm="1">
        <f t="array" ref="I148">IF(P148="","",P148-K148)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IF(AD148="","",AD148-R148-Q148)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/>
      <c r="AD148" s="66" t="str" cm="1">
        <f t="array" ref="AD148">IF(AG148="","",AG148-AF148)</f>
        <v/>
      </c>
      <c r="AE148" s="67"/>
      <c r="AF148" s="65"/>
      <c r="AG148" s="67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</row>
    <row r="149" spans="1:65" ht="25.2" customHeight="1">
      <c r="A149" s="10" cm="1">
        <f t="array" ref="A149">A148+1</f>
        <v>137</v>
      </c>
      <c r="B149" s="9"/>
      <c r="C149" s="19"/>
      <c r="D149" s="64" t="str" cm="1">
        <f t="array" ref="D149">IF(F149="","",F149-E149)</f>
        <v/>
      </c>
      <c r="E149" s="65"/>
      <c r="F149" s="66" t="str" cm="1">
        <f t="array" ref="F149">IF(I149="","",I149-H149)</f>
        <v/>
      </c>
      <c r="G149" s="67"/>
      <c r="H149" s="65"/>
      <c r="I149" s="66" t="str" cm="1">
        <f t="array" ref="I149">IF(P149="","",P149-K149)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IF(AD149="","",AD149-R149-Q149)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/>
      <c r="AD149" s="66" t="str" cm="1">
        <f t="array" ref="AD149">IF(AG149="","",AG149-AF149)</f>
        <v/>
      </c>
      <c r="AE149" s="67"/>
      <c r="AF149" s="65"/>
      <c r="AG149" s="67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</row>
    <row r="150" spans="1:65" ht="25.2" customHeight="1">
      <c r="A150" s="10" cm="1">
        <f t="array" ref="A150">A149+1</f>
        <v>138</v>
      </c>
      <c r="B150" s="9"/>
      <c r="C150" s="19"/>
      <c r="D150" s="64" t="str" cm="1">
        <f t="array" ref="D150">IF(F150="","",F150-E150)</f>
        <v/>
      </c>
      <c r="E150" s="65"/>
      <c r="F150" s="66" t="str" cm="1">
        <f t="array" ref="F150">IF(I150="","",I150-H150)</f>
        <v/>
      </c>
      <c r="G150" s="67"/>
      <c r="H150" s="65"/>
      <c r="I150" s="66" t="str" cm="1">
        <f t="array" ref="I150">IF(P150="","",P150-K150)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IF(AD150="","",AD150-R150-Q150)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/>
      <c r="AD150" s="66" t="str" cm="1">
        <f t="array" ref="AD150">IF(AG150="","",AG150-AF150)</f>
        <v/>
      </c>
      <c r="AE150" s="67"/>
      <c r="AF150" s="65"/>
      <c r="AG150" s="67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</row>
    <row r="151" spans="1:65" ht="25.5" customHeight="1">
      <c r="A151" s="10" cm="1">
        <f t="array" ref="A151">A150+1</f>
        <v>139</v>
      </c>
      <c r="B151" s="9"/>
      <c r="C151" s="19"/>
      <c r="D151" s="64" t="str" cm="1">
        <f t="array" ref="D151">IF(F151="","",F151-E151)</f>
        <v/>
      </c>
      <c r="E151" s="65"/>
      <c r="F151" s="66" t="str" cm="1">
        <f t="array" ref="F151">IF(I151="","",I151-H151)</f>
        <v/>
      </c>
      <c r="G151" s="67"/>
      <c r="H151" s="65"/>
      <c r="I151" s="66" t="str" cm="1">
        <f t="array" ref="I151">IF(P151="","",P151-K151)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IF(AD151="","",AD151-R151-Q151)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/>
      <c r="AD151" s="66" t="str" cm="1">
        <f t="array" ref="AD151">IF(AG151="","",AG151-AF151)</f>
        <v/>
      </c>
      <c r="AE151" s="67"/>
      <c r="AF151" s="65"/>
      <c r="AG151" s="67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</row>
    <row r="152" spans="1:65" ht="25.5" customHeight="1">
      <c r="A152" s="10" cm="1">
        <f t="array" ref="A152">A151+1</f>
        <v>140</v>
      </c>
      <c r="B152" s="9"/>
      <c r="C152" s="19"/>
      <c r="D152" s="64" t="str" cm="1">
        <f t="array" ref="D152">IF(F152="","",F152-E152)</f>
        <v/>
      </c>
      <c r="E152" s="65"/>
      <c r="F152" s="66" t="str" cm="1">
        <f t="array" ref="F152">IF(I152="","",I152-H152)</f>
        <v/>
      </c>
      <c r="G152" s="67"/>
      <c r="H152" s="65"/>
      <c r="I152" s="66" t="str" cm="1">
        <f t="array" ref="I152">IF(P152="","",P152-K152)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IF(AD152="","",AD152-R152-Q152)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70"/>
      <c r="AD152" s="66" t="str" cm="1">
        <f t="array" ref="AD152">IF(AG152="","",AG152-AF152)</f>
        <v/>
      </c>
      <c r="AE152" s="67"/>
      <c r="AF152" s="65"/>
      <c r="AG152" s="67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</row>
    <row r="153" spans="1:65" ht="25.5" customHeight="1">
      <c r="A153" s="10" cm="1">
        <f t="array" ref="A153">A152+1</f>
        <v>141</v>
      </c>
      <c r="B153" s="9"/>
      <c r="C153" s="19"/>
      <c r="D153" s="64" t="str" cm="1">
        <f t="array" ref="D153">IF(F153="","",F153-E153)</f>
        <v/>
      </c>
      <c r="E153" s="65"/>
      <c r="F153" s="66" t="str" cm="1">
        <f t="array" ref="F153">IF(I153="","",I153-H153)</f>
        <v/>
      </c>
      <c r="G153" s="67"/>
      <c r="H153" s="65"/>
      <c r="I153" s="66" t="str" cm="1">
        <f t="array" ref="I153">IF(P153="","",P153-K153)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IF(AD153="","",AD153-R153-Q153)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70"/>
      <c r="AD153" s="66" t="str" cm="1">
        <f t="array" ref="AD153">IF(AG153="","",AG153-AF153)</f>
        <v/>
      </c>
      <c r="AE153" s="67"/>
      <c r="AF153" s="65"/>
      <c r="AG153" s="67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</row>
    <row r="154" spans="1:65" ht="25.5" customHeight="1">
      <c r="A154" s="10" cm="1">
        <f t="array" ref="A154">A153+1</f>
        <v>142</v>
      </c>
      <c r="B154" s="9"/>
      <c r="C154" s="19"/>
      <c r="D154" s="64" t="str" cm="1">
        <f t="array" ref="D154">IF(F154="","",F154-E154)</f>
        <v/>
      </c>
      <c r="E154" s="65"/>
      <c r="F154" s="66" t="str" cm="1">
        <f t="array" ref="F154">IF(I154="","",I154-H154)</f>
        <v/>
      </c>
      <c r="G154" s="67"/>
      <c r="H154" s="65"/>
      <c r="I154" s="66" t="str" cm="1">
        <f t="array" ref="I154">IF(P154="","",P154-K154)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IF(AD154="","",AD154-R154-Q154)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70"/>
      <c r="AD154" s="66" t="str" cm="1">
        <f t="array" ref="AD154">IF(AG154="","",AG154-AF154)</f>
        <v/>
      </c>
      <c r="AE154" s="67"/>
      <c r="AF154" s="65"/>
      <c r="AG154" s="67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</row>
    <row r="155" spans="1:65" ht="25.5" customHeight="1">
      <c r="A155" s="10" cm="1">
        <f t="array" ref="A155">A154+1</f>
        <v>143</v>
      </c>
      <c r="B155" s="9"/>
      <c r="C155" s="19"/>
      <c r="D155" s="64" t="str" cm="1">
        <f t="array" ref="D155">IF(F155="","",F155-E155)</f>
        <v/>
      </c>
      <c r="E155" s="65"/>
      <c r="F155" s="66" t="str" cm="1">
        <f t="array" ref="F155">IF(I155="","",I155-H155)</f>
        <v/>
      </c>
      <c r="G155" s="67"/>
      <c r="H155" s="65"/>
      <c r="I155" s="66" t="str" cm="1">
        <f t="array" ref="I155">IF(P155="","",P155-K155)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IF(AD155="","",AD155-R155-Q155)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70"/>
      <c r="AD155" s="66" t="str" cm="1">
        <f t="array" ref="AD155">IF(AG155="","",AG155-AF155)</f>
        <v/>
      </c>
      <c r="AE155" s="67"/>
      <c r="AF155" s="65"/>
      <c r="AG155" s="67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</row>
    <row r="156" spans="1:65" ht="25.5" customHeight="1">
      <c r="A156" s="10" cm="1">
        <f t="array" ref="A156">A155+1</f>
        <v>144</v>
      </c>
      <c r="B156" s="9"/>
      <c r="C156" s="19"/>
      <c r="D156" s="64" t="str" cm="1">
        <f t="array" ref="D156">IF(F156="","",F156-E156)</f>
        <v/>
      </c>
      <c r="E156" s="65"/>
      <c r="F156" s="66" t="str" cm="1">
        <f t="array" ref="F156">IF(I156="","",I156-H156)</f>
        <v/>
      </c>
      <c r="G156" s="67"/>
      <c r="H156" s="65"/>
      <c r="I156" s="66" t="str" cm="1">
        <f t="array" ref="I156">IF(P156="","",P156-K156)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IF(AD156="","",AD156-R156-Q156)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70"/>
      <c r="AD156" s="66" t="str" cm="1">
        <f t="array" ref="AD156">IF(AG156="","",AG156-AF156)</f>
        <v/>
      </c>
      <c r="AE156" s="67"/>
      <c r="AF156" s="65"/>
      <c r="AG156" s="67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</row>
    <row r="157" spans="1:65" ht="25.5" customHeight="1">
      <c r="A157" s="10" cm="1">
        <f t="array" ref="A157">A156+1</f>
        <v>145</v>
      </c>
      <c r="B157" s="9"/>
      <c r="C157" s="19"/>
      <c r="D157" s="64" t="str" cm="1">
        <f t="array" ref="D157">IF(F157="","",F157-E157)</f>
        <v/>
      </c>
      <c r="E157" s="65"/>
      <c r="F157" s="66" t="str" cm="1">
        <f t="array" ref="F157">IF(I157="","",I157-H157)</f>
        <v/>
      </c>
      <c r="G157" s="67"/>
      <c r="H157" s="65"/>
      <c r="I157" s="66" t="str" cm="1">
        <f t="array" ref="I157">IF(P157="","",P157-K157)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IF(AD157="","",AD157-R157-Q157)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70"/>
      <c r="AD157" s="66" t="str" cm="1">
        <f t="array" ref="AD157">IF(AG157="","",AG157-AF157)</f>
        <v/>
      </c>
      <c r="AE157" s="67"/>
      <c r="AF157" s="65"/>
      <c r="AG157" s="67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 spans="1:65" ht="25.5" customHeight="1">
      <c r="A158" s="10" cm="1">
        <f t="array" ref="A158">A157+1</f>
        <v>146</v>
      </c>
      <c r="B158" s="9"/>
      <c r="C158" s="19"/>
      <c r="D158" s="64" t="str" cm="1">
        <f t="array" ref="D158">IF(F158="","",F158-E158)</f>
        <v/>
      </c>
      <c r="E158" s="65"/>
      <c r="F158" s="66" t="str" cm="1">
        <f t="array" ref="F158">IF(I158="","",I158-H158)</f>
        <v/>
      </c>
      <c r="G158" s="67"/>
      <c r="H158" s="65"/>
      <c r="I158" s="66" t="str" cm="1">
        <f t="array" ref="I158">IF(P158="","",P158-K158)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IF(AD158="","",AD158-R158-Q158)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70"/>
      <c r="AD158" s="66" t="str" cm="1">
        <f t="array" ref="AD158">IF(AG158="","",AG158-AF158)</f>
        <v/>
      </c>
      <c r="AE158" s="67"/>
      <c r="AF158" s="65"/>
      <c r="AG158" s="67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</row>
    <row r="159" spans="1:65" ht="25.5" customHeight="1">
      <c r="A159" s="10" cm="1">
        <f t="array" ref="A159">A158+1</f>
        <v>147</v>
      </c>
      <c r="B159" s="9"/>
      <c r="C159" s="19"/>
      <c r="D159" s="64" t="str" cm="1">
        <f t="array" ref="D159">IF(F159="","",F159-E159)</f>
        <v/>
      </c>
      <c r="E159" s="65"/>
      <c r="F159" s="66" t="str" cm="1">
        <f t="array" ref="F159">IF(I159="","",I159-H159)</f>
        <v/>
      </c>
      <c r="G159" s="67"/>
      <c r="H159" s="65"/>
      <c r="I159" s="66" t="str" cm="1">
        <f t="array" ref="I159">IF(P159="","",P159-K159)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IF(AD159="","",AD159-R159-Q159)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70"/>
      <c r="AD159" s="66" t="str" cm="1">
        <f t="array" ref="AD159">IF(AG159="","",AG159-AF159)</f>
        <v/>
      </c>
      <c r="AE159" s="67"/>
      <c r="AF159" s="65"/>
      <c r="AG159" s="67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</row>
  </sheetData>
  <sheetProtection password="CC6F" sheet="1" objects="1" scenarios="1"/>
  <mergeCells count="71">
    <mergeCell ref="AP2:BD2"/>
    <mergeCell ref="W4:X4"/>
    <mergeCell ref="Y4:Z4"/>
    <mergeCell ref="AA4:AB4"/>
    <mergeCell ref="W5:W9"/>
    <mergeCell ref="X5:X9"/>
    <mergeCell ref="Y5:Y9"/>
    <mergeCell ref="Z5:Z9"/>
    <mergeCell ref="AA5:AA9"/>
    <mergeCell ref="AB5:AB9"/>
    <mergeCell ref="AQ3:AQ9"/>
    <mergeCell ref="AR3:AR9"/>
    <mergeCell ref="AS3:AS9"/>
    <mergeCell ref="AT3:AU4"/>
    <mergeCell ref="AV3:AW4"/>
    <mergeCell ref="AV5:AV9"/>
    <mergeCell ref="H3:J3"/>
    <mergeCell ref="D4:D9"/>
    <mergeCell ref="E4:E9"/>
    <mergeCell ref="F4:F9"/>
    <mergeCell ref="J4:J9"/>
    <mergeCell ref="I4:I9"/>
    <mergeCell ref="H4:H9"/>
    <mergeCell ref="G4:G9"/>
    <mergeCell ref="D3:G3"/>
    <mergeCell ref="AD4:AD9"/>
    <mergeCell ref="U4:V4"/>
    <mergeCell ref="U5:U9"/>
    <mergeCell ref="V5:V9"/>
    <mergeCell ref="AW5:AW9"/>
    <mergeCell ref="AU5:AU9"/>
    <mergeCell ref="AT5:AT9"/>
    <mergeCell ref="AG3:AG6"/>
    <mergeCell ref="AH3:AH6"/>
    <mergeCell ref="AI5:AI9"/>
    <mergeCell ref="K3:T3"/>
    <mergeCell ref="Q4:Q9"/>
    <mergeCell ref="R4:R9"/>
    <mergeCell ref="N5:N9"/>
    <mergeCell ref="O5:O9"/>
    <mergeCell ref="S5:S9"/>
    <mergeCell ref="T5:T9"/>
    <mergeCell ref="P4:P9"/>
    <mergeCell ref="AL1:AN1"/>
    <mergeCell ref="AI4:AJ4"/>
    <mergeCell ref="AL2:AN2"/>
    <mergeCell ref="AI3:AL3"/>
    <mergeCell ref="AI1:AK1"/>
    <mergeCell ref="AI2:AK2"/>
    <mergeCell ref="AM3:AM9"/>
    <mergeCell ref="AK5:AK9"/>
    <mergeCell ref="AL5:AL9"/>
    <mergeCell ref="AK4:AL4"/>
    <mergeCell ref="AN3:AN9"/>
    <mergeCell ref="AJ5:AJ9"/>
    <mergeCell ref="A1:AH1"/>
    <mergeCell ref="C2:AH2"/>
    <mergeCell ref="L5:L9"/>
    <mergeCell ref="M5:M9"/>
    <mergeCell ref="L4:M4"/>
    <mergeCell ref="N4:O4"/>
    <mergeCell ref="S4:T4"/>
    <mergeCell ref="AC4:AC9"/>
    <mergeCell ref="AE4:AE9"/>
    <mergeCell ref="A2:B2"/>
    <mergeCell ref="B4:B9"/>
    <mergeCell ref="A4:A9"/>
    <mergeCell ref="A3:B3"/>
    <mergeCell ref="K4:K9"/>
    <mergeCell ref="AC3:AE3"/>
    <mergeCell ref="AF3:AF9"/>
  </mergeCells>
  <phoneticPr fontId="17"/>
  <conditionalFormatting sqref="C11:C159">
    <cfRule type="expression" dxfId="131" priority="54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D11:D159">
    <cfRule type="expression" dxfId="130" priority="17">
      <formula>AND(ISNUMBER(D11),YEAR(D11)=$AH$7)</formula>
    </cfRule>
    <cfRule type="expression" dxfId="129" priority="18">
      <formula>AND(ISNUMBER(D11),YEAR(D11)=$AH$8)</formula>
    </cfRule>
    <cfRule type="expression" dxfId="128" priority="19">
      <formula>AND(ISNUMBER(D11),YEAR(D11)=$AH$9)</formula>
    </cfRule>
  </conditionalFormatting>
  <conditionalFormatting sqref="E11:E159 H11:H159 K11:K159 Q11:R159 AF11:AF159">
    <cfRule type="cellIs" dxfId="127" priority="1" stopIfTrue="1" operator="lessThan">
      <formula>0</formula>
    </cfRule>
    <cfRule type="notContainsBlanks" dxfId="126" priority="2" stopIfTrue="1">
      <formula>NOT(ISBLANK(E11))</formula>
    </cfRule>
  </conditionalFormatting>
  <conditionalFormatting sqref="F11:F159">
    <cfRule type="expression" dxfId="125" priority="24">
      <formula>AND(ISNUMBER(F11),YEAR(F11)=$AH$7)</formula>
    </cfRule>
    <cfRule type="expression" dxfId="124" priority="25">
      <formula>AND(ISNUMBER(F11),YEAR(F11)=$AH$8)</formula>
    </cfRule>
    <cfRule type="expression" dxfId="123" priority="26">
      <formula>AND(ISNUMBER(F11),YEAR(F11)=$AH$9)</formula>
    </cfRule>
    <cfRule type="expression" dxfId="122" priority="20" stopIfTrue="1">
      <formula>AND(AND(ISNUMBER(F11),F11&lt;=TODAY(),G11=""),YEAR(F11)=$AH$7)</formula>
    </cfRule>
    <cfRule type="expression" dxfId="121" priority="21" stopIfTrue="1">
      <formula>AND(AND(ISNUMBER(F11),F11&lt;=TODAY(),G11=""),YEAR(F11)=$AH$8)</formula>
    </cfRule>
    <cfRule type="expression" dxfId="120" priority="22" stopIfTrue="1">
      <formula>AND(AND(ISNUMBER(F11),F11&lt;=TODAY(),G11=""),YEAR(F11)=$AH$9)</formula>
    </cfRule>
    <cfRule type="expression" dxfId="119" priority="23">
      <formula>AND(ISNUMBER(F11),F11&lt;=TODAY(),G11="")</formula>
    </cfRule>
  </conditionalFormatting>
  <conditionalFormatting sqref="G11:G159">
    <cfRule type="expression" dxfId="118" priority="5" stopIfTrue="1">
      <formula>AND(G11="",ISNUMBER(F11),F11&lt;=TODAY())</formula>
    </cfRule>
    <cfRule type="expression" dxfId="117" priority="6" stopIfTrue="1">
      <formula>AND(G11="",ISNUMBER(F11),F11&gt;TODAY(),F11&lt;=TODAY()+7)</formula>
    </cfRule>
  </conditionalFormatting>
  <conditionalFormatting sqref="I11:I159">
    <cfRule type="expression" dxfId="116" priority="27" stopIfTrue="1">
      <formula>AND(AND(ISNUMBER(I11),I11&lt;=TODAY(),J11=""),YEAR(I11)=$AH$7)</formula>
    </cfRule>
    <cfRule type="expression" dxfId="115" priority="33">
      <formula>AND(ISNUMBER(I11),YEAR(I11)=$AH$9)</formula>
    </cfRule>
    <cfRule type="expression" dxfId="114" priority="32">
      <formula>AND(ISNUMBER(I11),YEAR(I11)=$AH$8)</formula>
    </cfRule>
    <cfRule type="expression" dxfId="113" priority="31">
      <formula>AND(ISNUMBER(I11),YEAR(I11)=$AH$7)</formula>
    </cfRule>
    <cfRule type="expression" dxfId="112" priority="30">
      <formula>AND(ISNUMBER(I11),I11&lt;=TODAY(),J11="")</formula>
    </cfRule>
    <cfRule type="expression" dxfId="111" priority="29" stopIfTrue="1">
      <formula>AND(AND(ISNUMBER(I11),I11&lt;=TODAY(),J11=""),YEAR(I11)=$AH$9)</formula>
    </cfRule>
    <cfRule type="expression" dxfId="110" priority="28" stopIfTrue="1">
      <formula>AND(AND(ISNUMBER(I11),I11&lt;=TODAY(),J11=""),YEAR(I11)=$AH$8)</formula>
    </cfRule>
  </conditionalFormatting>
  <conditionalFormatting sqref="J11:J159">
    <cfRule type="expression" dxfId="109" priority="8" stopIfTrue="1">
      <formula>AND(J11="",ISNUMBER(I11),I11&gt;TODAY(),I11&lt;=TODAY()+7)</formula>
    </cfRule>
    <cfRule type="expression" dxfId="108" priority="7" stopIfTrue="1">
      <formula>AND(J11="",ISNUMBER(I11),I11&lt;=TODAY())</formula>
    </cfRule>
  </conditionalFormatting>
  <conditionalFormatting sqref="L11:L159">
    <cfRule type="expression" dxfId="107" priority="9" stopIfTrue="1">
      <formula>AND(L11="",ISNUMBER(P11),P11&lt;=TODAY())</formula>
    </cfRule>
    <cfRule type="expression" dxfId="106" priority="10" stopIfTrue="1">
      <formula>AND(L11="",ISNUMBER(P11),P11&gt;TODAY(),P11&lt;=TODAY()+7)</formula>
    </cfRule>
  </conditionalFormatting>
  <conditionalFormatting sqref="M11:M159">
    <cfRule type="expression" dxfId="105" priority="12" stopIfTrue="1">
      <formula>AND(M11="",ISNUMBER(P11),P11&gt;TODAY(),P11&lt;=TODAY()+7)</formula>
    </cfRule>
    <cfRule type="expression" dxfId="104" priority="11" stopIfTrue="1">
      <formula>AND(M11="",ISNUMBER(P11),P11&lt;=TODAY())</formula>
    </cfRule>
  </conditionalFormatting>
  <conditionalFormatting sqref="P11:P159">
    <cfRule type="expression" dxfId="103" priority="34" stopIfTrue="1">
      <formula>AND(AND(ISNUMBER(P11),P11&lt;=TODAY(),OR(L11="",M11="")),YEAR(P11)=$AH$7)</formula>
    </cfRule>
    <cfRule type="expression" dxfId="102" priority="35" stopIfTrue="1">
      <formula>AND(AND(ISNUMBER(P11),P11&lt;=TODAY(),OR(L11="",M11="")),YEAR(P11)=$AH$8)</formula>
    </cfRule>
    <cfRule type="expression" dxfId="101" priority="36" stopIfTrue="1">
      <formula>AND(AND(ISNUMBER(P11),P11&lt;=TODAY(),OR(L11="",M11="")),YEAR(P11)=$AH$9)</formula>
    </cfRule>
    <cfRule type="expression" dxfId="100" priority="37">
      <formula>AND(ISNUMBER(P11),P11&lt;=TODAY(),OR(L11="",M11=""))</formula>
    </cfRule>
    <cfRule type="expression" dxfId="99" priority="38">
      <formula>AND(ISNUMBER(P11),YEAR(P11)=$AH$7)</formula>
    </cfRule>
    <cfRule type="expression" dxfId="98" priority="40">
      <formula>AND(ISNUMBER(P11),YEAR(P11)=$AH$9)</formula>
    </cfRule>
    <cfRule type="expression" dxfId="97" priority="39">
      <formula>AND(ISNUMBER(P11),YEAR(P11)=$AH$8)</formula>
    </cfRule>
  </conditionalFormatting>
  <conditionalFormatting sqref="S11:S159">
    <cfRule type="expression" dxfId="96" priority="14" stopIfTrue="1">
      <formula>AND(S11="",ISNUMBER(AC11),AC11&gt;TODAY(),AC11&lt;=TODAY()+7)</formula>
    </cfRule>
    <cfRule type="expression" dxfId="95" priority="13" stopIfTrue="1">
      <formula>AND(S11="",ISNUMBER(AC11),AC11&lt;=TODAY())</formula>
    </cfRule>
  </conditionalFormatting>
  <conditionalFormatting sqref="S11:AB159">
    <cfRule type="notContainsBlanks" dxfId="94" priority="4" stopIfTrue="1">
      <formula>NOT(ISBLANK(S11))</formula>
    </cfRule>
  </conditionalFormatting>
  <conditionalFormatting sqref="T11:T159">
    <cfRule type="expression" dxfId="93" priority="16" stopIfTrue="1">
      <formula>AND(T11="",ISNUMBER(AC11),AC11&gt;TODAY(),AC11&lt;=TODAY()+7)</formula>
    </cfRule>
    <cfRule type="expression" dxfId="92" priority="15" stopIfTrue="1">
      <formula>AND(T11="",ISNUMBER(AC11),AC11&lt;=TODAY())</formula>
    </cfRule>
  </conditionalFormatting>
  <conditionalFormatting sqref="AC11:AC159">
    <cfRule type="expression" dxfId="91" priority="41" stopIfTrue="1">
      <formula>AND(AND(ISNUMBER(AC11),AC11&lt;=TODAY(),OR(S11="",T11="")),YEAR(AC11)=$AH$7)</formula>
    </cfRule>
    <cfRule type="expression" dxfId="90" priority="42" stopIfTrue="1">
      <formula>AND(AND(ISNUMBER(AC11),AC11&lt;=TODAY(),OR(S11="",T11="")),YEAR(AC11)=$AH$8)</formula>
    </cfRule>
    <cfRule type="expression" dxfId="89" priority="43" stopIfTrue="1">
      <formula>AND(AND(ISNUMBER(AC11),AC11&lt;=TODAY(),OR(S11="",T11="")),YEAR(AC11)=$AH$9)</formula>
    </cfRule>
    <cfRule type="expression" dxfId="88" priority="44">
      <formula>AND(ISNUMBER(AC11),AC11&lt;=TODAY(),OR(S11="",T11=""))</formula>
    </cfRule>
  </conditionalFormatting>
  <conditionalFormatting sqref="AC11:AD159">
    <cfRule type="expression" dxfId="87" priority="46">
      <formula>AND(ISNUMBER(AC11),YEAR(AC11)=$AH$8)</formula>
    </cfRule>
    <cfRule type="expression" dxfId="86" priority="47">
      <formula>AND(ISNUMBER(AC11),YEAR(AC11)=$AH$9)</formula>
    </cfRule>
    <cfRule type="expression" dxfId="85" priority="45">
      <formula>AND(ISNUMBER(AC11),YEAR(AC11)=$AH$7)</formula>
    </cfRule>
  </conditionalFormatting>
  <conditionalFormatting sqref="AG11:AG159">
    <cfRule type="expression" dxfId="84" priority="51">
      <formula>AND(ISNUMBER(AG11),YEAR(AG11)=$AH$7)</formula>
    </cfRule>
    <cfRule type="expression" dxfId="83" priority="52">
      <formula>AND(ISNUMBER(AG11),YEAR(AG11)=$AH$8)</formula>
    </cfRule>
    <cfRule type="expression" dxfId="82" priority="53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BL210"/>
  <sheetViews>
    <sheetView showGridLines="0" workbookViewId="0">
      <selection activeCell="W5" sqref="W1:AB1048576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4" width="5.109375" style="76" customWidth="1"/>
    <col min="5" max="5" width="6" style="76" customWidth="1"/>
    <col min="6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42" width="5.77734375" style="76" customWidth="1"/>
    <col min="43" max="52" width="7.33203125" style="76" customWidth="1"/>
    <col min="53" max="58" width="5.77734375" style="76" customWidth="1"/>
    <col min="59" max="59" width="3.77734375" style="76" customWidth="1"/>
    <col min="60" max="62" width="6.77734375" style="76" customWidth="1"/>
    <col min="63" max="63" width="8.33203125" style="76" customWidth="1"/>
    <col min="64" max="65" width="6.77734375" style="76" customWidth="1"/>
    <col min="66" max="16384" width="6.77734375" style="76"/>
  </cols>
  <sheetData>
    <row r="1" spans="1:64" ht="24.75" customHeight="1">
      <c r="A1" s="172" cm="1" t="str">
        <f t="array" ref="A1">①施工図リスト!A1</f>
        <v>現場／統括：、現場責任者：金子主任、主任：、担当：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</row>
    <row r="2" spans="1:64" ht="56.7" customHeight="1">
      <c r="A2" s="232" t="s">
        <v>3</v>
      </c>
      <c r="B2" s="233"/>
      <c r="C2" s="339" cm="1" t="str">
        <f t="array" ref="C2">①施工図リスト!C2</f>
        <v>椙山女学園　星が丘キャンパス大学会館食堂リニューアル工事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28"/>
      <c r="BI2" s="28"/>
      <c r="BJ2" s="30" t="s">
        <v>6</v>
      </c>
      <c r="BK2" s="31" cm="1">
        <f t="array" ref="BK2">BI3/BH3</f>
        <v>0.257142857142857</v>
      </c>
      <c r="BL2" s="32"/>
    </row>
    <row r="3" spans="1:64" ht="30" customHeight="1">
      <c r="A3" s="240"/>
      <c r="B3" s="241"/>
      <c r="C3" s="5" t="str">
        <f>①施工図リスト!C3</f>
        <v>工期：2026/11/9～2027/03/31</v>
      </c>
      <c r="D3" s="77" t="s">
        <v>74</v>
      </c>
      <c r="E3" s="78" t="s">
        <v>75</v>
      </c>
      <c r="F3" s="303" t="s">
        <v>76</v>
      </c>
      <c r="G3" s="305"/>
      <c r="H3" s="288" t="s">
        <v>9</v>
      </c>
      <c r="I3" s="289"/>
      <c r="J3" s="290"/>
      <c r="K3" s="270" t="s">
        <v>10</v>
      </c>
      <c r="L3" s="327"/>
      <c r="M3" s="289"/>
      <c r="N3" s="289"/>
      <c r="O3" s="328"/>
      <c r="P3" s="329"/>
      <c r="Q3" s="329"/>
      <c r="R3" s="327"/>
      <c r="S3" s="289"/>
      <c r="T3" s="289"/>
      <c r="U3" s="33"/>
      <c r="V3" s="33"/>
      <c r="W3" s="33"/>
      <c r="X3" s="33"/>
      <c r="Y3" s="33"/>
      <c r="Z3" s="33"/>
      <c r="AA3" s="33"/>
      <c r="AB3" s="34"/>
      <c r="AC3" s="245" t="s">
        <v>11</v>
      </c>
      <c r="AD3" s="246"/>
      <c r="AE3" s="247"/>
      <c r="AF3" s="248" t="s">
        <v>12</v>
      </c>
      <c r="AG3" s="340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77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79"/>
      <c r="BF3" s="79"/>
      <c r="BG3" s="28"/>
      <c r="BH3" s="40" cm="1">
        <f t="array" ref="BH3">COUNTA($AG$10:$AG$210)*6</f>
        <v>210</v>
      </c>
      <c r="BI3" s="40" cm="1">
        <f t="array" ref="BI3">COUNTA($G$10:$G$210)+COUNTA($J$10:$J$210)+COUNTA($L$10:$L$210)+COUNTA($M$10:$M$210)+COUNTA($S$10:$S$210)+COUNTA($T$10:$T$210)</f>
        <v>54</v>
      </c>
      <c r="BJ3" s="30" t="s">
        <v>23</v>
      </c>
      <c r="BK3" s="32" cm="1">
        <f t="array" ref="BK3">1-BK2</f>
        <v>0.742857142857143</v>
      </c>
      <c r="BL3" s="32"/>
    </row>
    <row r="4" spans="1:64" ht="15" customHeight="1">
      <c r="A4" s="237" t="s">
        <v>24</v>
      </c>
      <c r="B4" s="234" t="s">
        <v>25</v>
      </c>
      <c r="C4" s="6" t="str">
        <f>①施工図リスト!C4</f>
        <v>敷地：m2</v>
      </c>
      <c r="D4" s="330" t="s">
        <v>78</v>
      </c>
      <c r="E4" s="336" t="s">
        <v>79</v>
      </c>
      <c r="F4" s="333" t="s">
        <v>29</v>
      </c>
      <c r="G4" s="263" t="s">
        <v>80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81</v>
      </c>
      <c r="T4" s="225"/>
      <c r="U4" s="224" t="s">
        <v>82</v>
      </c>
      <c r="V4" s="343"/>
      <c r="W4" s="224" t="s">
        <v>83</v>
      </c>
      <c r="X4" s="343"/>
      <c r="Y4" s="224" t="s">
        <v>84</v>
      </c>
      <c r="Z4" s="343"/>
      <c r="AA4" s="224" t="s">
        <v>85</v>
      </c>
      <c r="AB4" s="344"/>
      <c r="AC4" s="226" t="s">
        <v>43</v>
      </c>
      <c r="AD4" s="297" t="s">
        <v>44</v>
      </c>
      <c r="AE4" s="229" t="s">
        <v>45</v>
      </c>
      <c r="AF4" s="249"/>
      <c r="AG4" s="341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3"/>
      <c r="BF4" s="43"/>
      <c r="BG4" s="44"/>
      <c r="BH4" s="28"/>
      <c r="BI4" s="28"/>
      <c r="BJ4" s="30" t="s">
        <v>46</v>
      </c>
      <c r="BK4" s="40" cm="1">
        <f t="array" aca="1" ref="BK4" ca="1">COUNTIFS($F$10:$F$116,"&lt;="&amp;TODAY(),$F$10:$F$116,"&gt;"&amp;0,$G$10:$G$116,"="&amp;"")+COUNTIFS($I$10:$I$116,"&lt;="&amp;TODAY(),$I$10:$I$116,"&gt;"&amp;0,$J$10:$J$116,"="&amp;"")+COUNTIFS($P$10:$P$116,"&lt;="&amp;TODAY(),$P$10:$P$116,"&gt;"&amp;0,$L$10:$L$116,"="&amp;"")+COUNTIFS($P$10:$P$116,"&lt;="&amp;TODAY(),$P$10:$P$116,"&gt;"&amp;0,$M$10:$M$116,"="&amp;"")+COUNTIFS($AC$10:$AC$116,"&lt;="&amp;TODAY(),$AC$10:$AC$116,"&gt;"&amp;0,$S$10:$S$116,"="&amp;"")+COUNTIFS($AC$10:$AC$116,"&lt;="&amp;TODAY(),$AC$10:$AC$116,"&gt;"&amp;0,$T$10:$T$116,"="&amp;"")</f>
        <v>10</v>
      </c>
      <c r="BL4" s="28" cm="1" t="str">
        <f t="array" aca="1" ref="BL4" ca="1">BJ4&amp;": "&amp;BK4&amp;"個"</f>
        <v>赤色: 10個</v>
      </c>
    </row>
    <row r="5" spans="1:64" ht="15" customHeight="1">
      <c r="A5" s="238"/>
      <c r="B5" s="235"/>
      <c r="C5" s="6" t="str">
        <f>①施工図リスト!C5</f>
        <v>建面：m2</v>
      </c>
      <c r="D5" s="331"/>
      <c r="E5" s="337"/>
      <c r="F5" s="334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98"/>
      <c r="AE5" s="230"/>
      <c r="AF5" s="249"/>
      <c r="AG5" s="341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3"/>
      <c r="BF5" s="43"/>
      <c r="BG5" s="44"/>
      <c r="BH5" s="28"/>
      <c r="BI5" s="28"/>
      <c r="BJ5" s="30" t="s">
        <v>52</v>
      </c>
      <c r="BK5" s="40" cm="1">
        <f t="array" aca="1" ref="BK5" ca="1">COUNTIFS($F$10:$F$116,"&lt;="&amp;TODAY()+7,$F$10:$F$116,"&gt;"&amp;0,$G$10:$G$116,"="&amp;"")+COUNTIFS($I$10:$I$116,"&lt;="&amp;TODAY()+7,$I$10:$I$116,"&gt;"&amp;0,$J$10:$J$116,"="&amp;"")+COUNTIFS($P$10:$P$116,"&lt;="&amp;TODAY()+7,$P$10:$P$116,"&gt;"&amp;0,$L$10:$L$116,"="&amp;"")+COUNTIFS($P$10:$P$116,"&lt;="&amp;TODAY()+7,$P$10:$P$116,"&gt;"&amp;0,$M$10:$M$116,"="&amp;"")+COUNTIFS($AC$10:$AC$116,"&lt;="&amp;TODAY()+7,$AC$10:$AC$116,"&gt;"&amp;0,$S$10:$S$116,"="&amp;"")+COUNTIFS($AC$10:$AC$116,"&lt;="&amp;TODAY()+7,$AC$10:$AC$116,"&gt;"&amp;0,$T$10:$T$116,"="&amp;"")-BK4</f>
        <v>8</v>
      </c>
      <c r="BL5" s="28" cm="1" t="str">
        <f t="array" aca="1" ref="BL5" ca="1">BJ5&amp;": "&amp;BK5&amp;"個"</f>
        <v>黄色: 8個</v>
      </c>
    </row>
    <row r="6" spans="1:64" ht="15" customHeight="1">
      <c r="A6" s="238"/>
      <c r="B6" s="235"/>
      <c r="C6" s="6" t="str">
        <f>①施工図リスト!C6</f>
        <v>改修面積：675m2</v>
      </c>
      <c r="D6" s="331"/>
      <c r="E6" s="337"/>
      <c r="F6" s="334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98"/>
      <c r="AE6" s="230"/>
      <c r="AF6" s="249"/>
      <c r="AG6" s="342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3"/>
      <c r="BF6" s="43"/>
      <c r="BG6" s="44"/>
      <c r="BH6" s="28"/>
      <c r="BI6" s="28"/>
      <c r="BJ6" s="28"/>
      <c r="BK6" s="28"/>
      <c r="BL6" s="28"/>
    </row>
    <row r="7" spans="1:64" ht="15" customHeight="1">
      <c r="A7" s="238"/>
      <c r="B7" s="235"/>
      <c r="C7" s="6" t="str">
        <f>①施工図リスト!C7</f>
        <v>構造：RC造</v>
      </c>
      <c r="D7" s="331"/>
      <c r="E7" s="337"/>
      <c r="F7" s="334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98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3"/>
      <c r="BF7" s="43"/>
      <c r="BG7" s="44"/>
      <c r="BH7" s="28"/>
      <c r="BI7" s="28"/>
      <c r="BJ7" s="28"/>
      <c r="BK7" s="28"/>
      <c r="BL7" s="28"/>
    </row>
    <row r="8" spans="1:64" ht="15" customHeight="1">
      <c r="A8" s="238"/>
      <c r="B8" s="235"/>
      <c r="C8" s="7" t="str">
        <f>①施工図リスト!C8</f>
        <v>設計者：日建設計</v>
      </c>
      <c r="D8" s="331"/>
      <c r="E8" s="337"/>
      <c r="F8" s="334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98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3"/>
      <c r="BF8" s="43"/>
      <c r="BG8" s="44"/>
      <c r="BH8" s="28"/>
      <c r="BI8" s="28"/>
      <c r="BJ8" s="28"/>
      <c r="BK8" s="28"/>
      <c r="BL8" s="28"/>
    </row>
    <row r="9" spans="1:64" ht="15" customHeight="1">
      <c r="A9" s="239"/>
      <c r="B9" s="236"/>
      <c r="C9" s="2" t="s">
        <v>56</v>
      </c>
      <c r="D9" s="332"/>
      <c r="E9" s="338"/>
      <c r="F9" s="335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99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3"/>
      <c r="BF9" s="43"/>
      <c r="BG9" s="44"/>
      <c r="BH9" s="28"/>
      <c r="BI9" s="28"/>
      <c r="BJ9" s="28"/>
      <c r="BK9" s="28"/>
      <c r="BL9" s="28"/>
    </row>
    <row r="10" spans="1:64" ht="7.95" customHeight="1">
      <c r="A10" s="3"/>
      <c r="B10" s="8"/>
      <c r="C10" s="3"/>
      <c r="D10" s="80"/>
      <c r="E10" s="81"/>
      <c r="F10" s="51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2"/>
      <c r="V10" s="52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63"/>
      <c r="BF10" s="63"/>
      <c r="BG10" s="28"/>
      <c r="BH10" s="28"/>
      <c r="BI10" s="28"/>
      <c r="BJ10" s="28"/>
      <c r="BK10" s="28"/>
      <c r="BL10" s="28"/>
    </row>
    <row r="11" spans="1:64" ht="25.5" customHeight="1">
      <c r="A11" s="10">
        <v>0</v>
      </c>
      <c r="B11" s="9"/>
      <c r="C11" s="18" t="s">
        <v>86</v>
      </c>
      <c r="D11" s="72"/>
      <c r="E11" s="71"/>
      <c r="F11" s="82" t="str">
        <f>IF(AG11="","",WORKDAY(I11-H11+1,-1,{46329,46349,46384,46385,46386,46387,46388,46391,46398,46429,46441,46468}))</f>
        <v/>
      </c>
      <c r="G11" s="67"/>
      <c r="H11" s="65"/>
      <c r="I11" s="66" t="str">
        <f>IF(AG11="","",WORKDAY(P11-K11+1,-1,{46329,46349,46384,46385,46386,46387,46388,46391,46398,46429,46441,46468}))</f>
        <v/>
      </c>
      <c r="J11" s="67"/>
      <c r="K11" s="65"/>
      <c r="L11" s="68"/>
      <c r="M11" s="68"/>
      <c r="N11" s="68"/>
      <c r="O11" s="68"/>
      <c r="P11" s="66" t="str">
        <f>IF(AG11="","",WORKDAY(AC11-R11-Q11+1,-1,{46329,46349,46384,46385,46386,46387,46388,46391,46398,46429,46441,46468}))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 t="str">
        <f>IF(AG11="","",WORKDAY(AG11-AF11+1,-1,{46329,46349,46384,46385,46386,46387,46388,46391,46398,46429,46441,46468}))</f>
        <v/>
      </c>
      <c r="AD11" s="66" cm="1" t="str">
        <f t="array" ref="AD11">IF(AG11="","",$AG11-$AF11)</f>
        <v/>
      </c>
      <c r="AE11" s="67"/>
      <c r="AF11" s="83"/>
      <c r="AG11" s="72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 spans="1:64" ht="25.5" customHeight="1">
      <c r="A12" s="10">
        <f t="shared" ref="A12:A26" si="0">A11+1</f>
        <v>1</v>
      </c>
      <c r="B12" s="11" t="s">
        <v>92</v>
      </c>
      <c r="C12" s="18" t="s">
        <v>246</v>
      </c>
      <c r="D12" s="72"/>
      <c r="E12" s="71"/>
      <c r="F12" s="70">
        <f>IF(AG12="","",WORKDAY(I12-H12+1,-1,{46329,46349,46384,46385,46386,46387,46388,46391,46398,46429,46441,46468}))</f>
        <v>46357</v>
      </c>
      <c r="G12" s="67">
        <v>46301</v>
      </c>
      <c r="H12" s="65">
        <v>7</v>
      </c>
      <c r="I12" s="68">
        <f>IF(AG12="","",WORKDAY(P12-K12+1,-1,{46329,46349,46384,46385,46386,46387,46388,46391,46398,46429,46441,46468}))</f>
        <v>46364</v>
      </c>
      <c r="J12" s="67">
        <v>46302</v>
      </c>
      <c r="K12" s="65">
        <v>7</v>
      </c>
      <c r="L12" s="68">
        <v>46302</v>
      </c>
      <c r="M12" s="68">
        <v>46314</v>
      </c>
      <c r="N12" s="68"/>
      <c r="O12" s="68"/>
      <c r="P12" s="68">
        <f>IF(AG12="","",WORKDAY(AC12-R12-Q12+1,-1,{46329,46349,46384,46385,46386,46387,46388,46391,46398,46429,46441,46468}))</f>
        <v>46371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f>IF(AG12="","",WORKDAY(AG12-AF12+1,-1,{46329,46349,46384,46385,46386,46387,46388,46391,46398,46429,46441,46468}))</f>
        <v>46392</v>
      </c>
      <c r="AD12" s="68">
        <f t="shared" ref="AD12:AD26" si="4">IF(AG12="","",$AG12-$AF12)</f>
        <v>46392</v>
      </c>
      <c r="AE12" s="67"/>
      <c r="AF12" s="83">
        <v>14</v>
      </c>
      <c r="AG12" s="72">
        <v>46406</v>
      </c>
      <c r="AH12" s="71"/>
      <c r="AI12" s="70"/>
      <c r="AJ12" s="68"/>
      <c r="AK12" s="68"/>
      <c r="AL12" s="67"/>
      <c r="AM12" s="72"/>
      <c r="AN12" s="75"/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spans="1:64" ht="25.5" customHeight="1">
      <c r="A13" s="10">
        <f t="shared" si="0"/>
        <v>2</v>
      </c>
      <c r="B13" s="11" t="s">
        <v>247</v>
      </c>
      <c r="C13" s="18" t="s">
        <v>87</v>
      </c>
      <c r="D13" s="72"/>
      <c r="E13" s="71"/>
      <c r="F13" s="70">
        <f>IF(AG13="","",WORKDAY(I13-H13+1,-1,{46329,46349,46384,46385,46386,46387,46388,46391,46398,46429,46441,46468}))</f>
        <v>46367</v>
      </c>
      <c r="G13" s="67">
        <v>46310</v>
      </c>
      <c r="H13" s="65">
        <v>7</v>
      </c>
      <c r="I13" s="68">
        <f>IF(AG13="","",WORKDAY(P13-K13+1,-1,{46329,46349,46384,46385,46386,46387,46388,46391,46398,46429,46441,46468}))</f>
        <v>46374</v>
      </c>
      <c r="J13" s="67">
        <v>46321</v>
      </c>
      <c r="K13" s="65">
        <v>7</v>
      </c>
      <c r="L13" s="68">
        <v>46324</v>
      </c>
      <c r="M13" s="68"/>
      <c r="N13" s="68"/>
      <c r="O13" s="68"/>
      <c r="P13" s="68">
        <f>IF(AG13="","",WORKDAY(AC13-R13-Q13+1,-1,{46329,46349,46384,46385,46386,46387,46388,46391,46398,46429,46441,46468}))</f>
        <v>46381</v>
      </c>
      <c r="Q13" s="69">
        <v>7</v>
      </c>
      <c r="R13" s="69">
        <v>14</v>
      </c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>
        <f>IF(AG13="","",WORKDAY(AG13-AF13+1,-1,{46329,46349,46384,46385,46386,46387,46388,46391,46398,46429,46441,46468}))</f>
        <v>46405</v>
      </c>
      <c r="AD13" s="68">
        <f t="shared" si="4"/>
        <v>46405</v>
      </c>
      <c r="AE13" s="67"/>
      <c r="AF13" s="83">
        <v>14</v>
      </c>
      <c r="AG13" s="72">
        <v>46419</v>
      </c>
      <c r="AH13" s="71"/>
      <c r="AI13" s="70"/>
      <c r="AJ13" s="68"/>
      <c r="AK13" s="68"/>
      <c r="AL13" s="67"/>
      <c r="AM13" s="72"/>
      <c r="AN13" s="75" t="s">
        <v>88</v>
      </c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spans="1:64" ht="25.5" customHeight="1">
      <c r="A14" s="10">
        <f t="shared" si="0"/>
        <v>3</v>
      </c>
      <c r="B14" s="11" t="s">
        <v>248</v>
      </c>
      <c r="C14" s="18" t="s">
        <v>91</v>
      </c>
      <c r="D14" s="72"/>
      <c r="E14" s="71"/>
      <c r="F14" s="70">
        <f>IF(AG14="","",WORKDAY(I14-H14+1,-1,{46329,46349,46384,46385,46386,46387,46388,46391,46398,46429,46441,46468}))</f>
        <v>46325</v>
      </c>
      <c r="G14" s="67"/>
      <c r="H14" s="65">
        <v>7</v>
      </c>
      <c r="I14" s="68">
        <f>IF(AG14="","",WORKDAY(P14-K14+1,-1,{46329,46349,46384,46385,46386,46387,46388,46391,46398,46429,46441,46468}))</f>
        <v>46332</v>
      </c>
      <c r="J14" s="67"/>
      <c r="K14" s="65">
        <v>7</v>
      </c>
      <c r="L14" s="68"/>
      <c r="M14" s="68"/>
      <c r="N14" s="68"/>
      <c r="O14" s="68"/>
      <c r="P14" s="68">
        <f>IF(AG14="","",WORKDAY(AC14-R14-Q14+1,-1,{46329,46349,46384,46385,46386,46387,46388,46391,46398,46429,46441,46468}))</f>
        <v>46339</v>
      </c>
      <c r="Q14" s="69">
        <v>7</v>
      </c>
      <c r="R14" s="69">
        <v>14</v>
      </c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>
        <f>IF(AG14="","",WORKDAY(AG14-AF14+1,-1,{46329,46349,46384,46385,46386,46387,46388,46391,46398,46429,46441,46468}))</f>
        <v>46360</v>
      </c>
      <c r="AD14" s="68">
        <f t="shared" si="4"/>
        <v>46360</v>
      </c>
      <c r="AE14" s="67"/>
      <c r="AF14" s="83">
        <v>14</v>
      </c>
      <c r="AG14" s="72">
        <v>46374</v>
      </c>
      <c r="AH14" s="71"/>
      <c r="AI14" s="70"/>
      <c r="AJ14" s="68"/>
      <c r="AK14" s="68"/>
      <c r="AL14" s="67"/>
      <c r="AM14" s="72"/>
      <c r="AN14" s="75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:64" ht="25.5" customHeight="1">
      <c r="A15" s="10">
        <f t="shared" si="0"/>
        <v>4</v>
      </c>
      <c r="B15" s="11" t="s">
        <v>249</v>
      </c>
      <c r="C15" s="18" t="s">
        <v>93</v>
      </c>
      <c r="D15" s="72"/>
      <c r="E15" s="71"/>
      <c r="F15" s="70">
        <f>IF(AG15="","",WORKDAY(I15-H15+1,-1,{46329,46349,46384,46385,46386,46387,46388,46391,46398,46429,46441,46468}))</f>
        <v>46325</v>
      </c>
      <c r="G15" s="67">
        <v>46301</v>
      </c>
      <c r="H15" s="65">
        <v>7</v>
      </c>
      <c r="I15" s="68">
        <f>IF(AG15="","",WORKDAY(P15-K15+1,-1,{46329,46349,46384,46385,46386,46387,46388,46391,46398,46429,46441,46468}))</f>
        <v>46332</v>
      </c>
      <c r="J15" s="67">
        <v>46302</v>
      </c>
      <c r="K15" s="65">
        <v>7</v>
      </c>
      <c r="L15" s="68">
        <v>46302</v>
      </c>
      <c r="M15" s="68">
        <v>46309</v>
      </c>
      <c r="N15" s="68"/>
      <c r="O15" s="68"/>
      <c r="P15" s="68">
        <f>IF(AG15="","",WORKDAY(AC15-R15-Q15+1,-1,{46329,46349,46384,46385,46386,46387,46388,46391,46398,46429,46441,46468}))</f>
        <v>46339</v>
      </c>
      <c r="Q15" s="69">
        <v>7</v>
      </c>
      <c r="R15" s="69">
        <v>14</v>
      </c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>
        <f>IF(AG15="","",WORKDAY(AG15-AF15+1,-1,{46329,46349,46384,46385,46386,46387,46388,46391,46398,46429,46441,46468}))</f>
        <v>46360</v>
      </c>
      <c r="AD15" s="68">
        <f t="shared" si="4"/>
        <v>46360</v>
      </c>
      <c r="AE15" s="67"/>
      <c r="AF15" s="83">
        <v>14</v>
      </c>
      <c r="AG15" s="72">
        <v>46374</v>
      </c>
      <c r="AH15" s="71"/>
      <c r="AI15" s="70"/>
      <c r="AJ15" s="68"/>
      <c r="AK15" s="68"/>
      <c r="AL15" s="67"/>
      <c r="AM15" s="72"/>
      <c r="AN15" s="75" t="s">
        <v>88</v>
      </c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spans="1:64" ht="25.5" customHeight="1">
      <c r="A16" s="10">
        <f t="shared" si="0"/>
        <v>5</v>
      </c>
      <c r="B16" s="11" t="s">
        <v>250</v>
      </c>
      <c r="C16" s="18" t="s">
        <v>251</v>
      </c>
      <c r="D16" s="72"/>
      <c r="E16" s="71"/>
      <c r="F16" s="70">
        <f>IF(AG16="","",WORKDAY(I16-H16+1,-1,{46329,46349,46384,46385,46386,46387,46388,46391,46398,46429,46441,46468}))</f>
        <v>46325</v>
      </c>
      <c r="G16" s="67"/>
      <c r="H16" s="65">
        <v>7</v>
      </c>
      <c r="I16" s="68">
        <f>IF(AG16="","",WORKDAY(P16-K16+1,-1,{46329,46349,46384,46385,46386,46387,46388,46391,46398,46429,46441,46468}))</f>
        <v>46332</v>
      </c>
      <c r="J16" s="67"/>
      <c r="K16" s="65">
        <v>7</v>
      </c>
      <c r="L16" s="68"/>
      <c r="M16" s="68"/>
      <c r="N16" s="68"/>
      <c r="O16" s="68"/>
      <c r="P16" s="68">
        <f>IF(AG16="","",WORKDAY(AC16-R16-Q16+1,-1,{46329,46349,46384,46385,46386,46387,46388,46391,46398,46429,46441,46468}))</f>
        <v>46339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f>IF(AG16="","",WORKDAY(AG16-AF16+1,-1,{46329,46349,46384,46385,46386,46387,46388,46391,46398,46429,46441,46468}))</f>
        <v>46360</v>
      </c>
      <c r="AD16" s="68">
        <f t="shared" si="4"/>
        <v>46360</v>
      </c>
      <c r="AE16" s="67"/>
      <c r="AF16" s="83">
        <v>14</v>
      </c>
      <c r="AG16" s="72">
        <v>46374</v>
      </c>
      <c r="AH16" s="71"/>
      <c r="AI16" s="70"/>
      <c r="AJ16" s="68"/>
      <c r="AK16" s="68"/>
      <c r="AL16" s="67"/>
      <c r="AM16" s="72"/>
      <c r="AN16" s="75"/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spans="1:64" ht="25.5" customHeight="1">
      <c r="A17" s="10">
        <f t="shared" si="0"/>
        <v>6</v>
      </c>
      <c r="B17" s="11" t="s">
        <v>252</v>
      </c>
      <c r="C17" s="18" t="s">
        <v>94</v>
      </c>
      <c r="D17" s="72"/>
      <c r="E17" s="71"/>
      <c r="F17" s="70">
        <f>IF(AG17="","",WORKDAY(I17-H17+1,-1,{46329,46349,46384,46385,46386,46387,46388,46391,46398,46429,46441,46468}))</f>
        <v>46336</v>
      </c>
      <c r="G17" s="67">
        <v>46304</v>
      </c>
      <c r="H17" s="65">
        <v>7</v>
      </c>
      <c r="I17" s="68">
        <f>IF(AG17="","",WORKDAY(P17-K17+1,-1,{46329,46349,46384,46385,46386,46387,46388,46391,46398,46429,46441,46468}))</f>
        <v>46343</v>
      </c>
      <c r="J17" s="67">
        <v>46309</v>
      </c>
      <c r="K17" s="65">
        <v>7</v>
      </c>
      <c r="L17" s="68">
        <v>46310</v>
      </c>
      <c r="M17" s="68">
        <v>46318</v>
      </c>
      <c r="N17" s="68"/>
      <c r="O17" s="68"/>
      <c r="P17" s="68">
        <f>IF(AG17="","",WORKDAY(AC17-R17-Q17+1,-1,{46329,46349,46384,46385,46386,46387,46388,46391,46398,46429,46441,46468}))</f>
        <v>46350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f>IF(AG17="","",WORKDAY(AG17-AF17+1,-1,{46329,46349,46384,46385,46386,46387,46388,46391,46398,46429,46441,46468}))</f>
        <v>46371</v>
      </c>
      <c r="AD17" s="68">
        <f t="shared" si="4"/>
        <v>46371</v>
      </c>
      <c r="AE17" s="67"/>
      <c r="AF17" s="83">
        <v>21</v>
      </c>
      <c r="AG17" s="72">
        <v>46392</v>
      </c>
      <c r="AH17" s="71"/>
      <c r="AI17" s="70"/>
      <c r="AJ17" s="68"/>
      <c r="AK17" s="68"/>
      <c r="AL17" s="67"/>
      <c r="AM17" s="72"/>
      <c r="AN17" s="75" t="s">
        <v>95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 spans="1:64" ht="25.5" customHeight="1">
      <c r="A18" s="10">
        <f t="shared" si="0"/>
        <v>7</v>
      </c>
      <c r="B18" s="11" t="s">
        <v>253</v>
      </c>
      <c r="C18" s="18" t="s">
        <v>254</v>
      </c>
      <c r="D18" s="72"/>
      <c r="E18" s="71"/>
      <c r="F18" s="70">
        <f>IF(AG18="","",WORKDAY(I18-H18+1,-1,{46329,46349,46384,46385,46386,46387,46388,46391,46398,46429,46441,46468}))</f>
        <v>46346</v>
      </c>
      <c r="G18" s="67"/>
      <c r="H18" s="65">
        <v>7</v>
      </c>
      <c r="I18" s="68">
        <f>IF(AG18="","",WORKDAY(P18-K18+1,-1,{46329,46349,46384,46385,46386,46387,46388,46391,46398,46429,46441,46468}))</f>
        <v>46353</v>
      </c>
      <c r="J18" s="67"/>
      <c r="K18" s="65">
        <v>7</v>
      </c>
      <c r="L18" s="68"/>
      <c r="M18" s="68"/>
      <c r="N18" s="68"/>
      <c r="O18" s="68"/>
      <c r="P18" s="68">
        <f>IF(AG18="","",WORKDAY(AC18-R18-Q18+1,-1,{46329,46349,46384,46385,46386,46387,46388,46391,46398,46429,46441,46468}))</f>
        <v>46360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f>IF(AG18="","",WORKDAY(AG18-AF18+1,-1,{46329,46349,46384,46385,46386,46387,46388,46391,46398,46429,46441,46468}))</f>
        <v>46381</v>
      </c>
      <c r="AD18" s="68">
        <f t="shared" si="4"/>
        <v>46391</v>
      </c>
      <c r="AE18" s="67"/>
      <c r="AF18" s="83">
        <v>14</v>
      </c>
      <c r="AG18" s="72">
        <v>46405</v>
      </c>
      <c r="AH18" s="71"/>
      <c r="AI18" s="70"/>
      <c r="AJ18" s="68"/>
      <c r="AK18" s="68"/>
      <c r="AL18" s="67"/>
      <c r="AM18" s="72"/>
      <c r="AN18" s="75"/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 spans="1:64" ht="25.5" customHeight="1">
      <c r="A19" s="10">
        <f t="shared" si="0"/>
        <v>8</v>
      </c>
      <c r="B19" s="11" t="s">
        <v>255</v>
      </c>
      <c r="C19" s="18" t="s">
        <v>256</v>
      </c>
      <c r="D19" s="72"/>
      <c r="E19" s="71"/>
      <c r="F19" s="70">
        <f>IF(AG19="","",WORKDAY(I19-H19+1,-1,{46329,46349,46384,46385,46386,46387,46388,46391,46398,46429,46441,46468}))</f>
        <v>46343</v>
      </c>
      <c r="G19" s="67"/>
      <c r="H19" s="65">
        <v>7</v>
      </c>
      <c r="I19" s="68">
        <f>IF(AG19="","",WORKDAY(P19-K19+1,-1,{46329,46349,46384,46385,46386,46387,46388,46391,46398,46429,46441,46468}))</f>
        <v>46350</v>
      </c>
      <c r="J19" s="67"/>
      <c r="K19" s="65">
        <v>7</v>
      </c>
      <c r="L19" s="68"/>
      <c r="M19" s="68"/>
      <c r="N19" s="68"/>
      <c r="O19" s="68"/>
      <c r="P19" s="68">
        <f>IF(AG19="","",WORKDAY(AC19-R19-Q19+1,-1,{46329,46349,46384,46385,46386,46387,46388,46391,46398,46429,46441,46468}))</f>
        <v>46357</v>
      </c>
      <c r="Q19" s="69">
        <v>7</v>
      </c>
      <c r="R19" s="69">
        <v>14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f>IF(AG19="","",WORKDAY(AG19-AF19+1,-1,{46329,46349,46384,46385,46386,46387,46388,46391,46398,46429,46441,46468}))</f>
        <v>46378</v>
      </c>
      <c r="AD19" s="68">
        <f t="shared" si="4"/>
        <v>46378</v>
      </c>
      <c r="AE19" s="67"/>
      <c r="AF19" s="83">
        <v>14</v>
      </c>
      <c r="AG19" s="72">
        <v>46392</v>
      </c>
      <c r="AH19" s="71"/>
      <c r="AI19" s="70"/>
      <c r="AJ19" s="68"/>
      <c r="AK19" s="68"/>
      <c r="AL19" s="67"/>
      <c r="AM19" s="72"/>
      <c r="AN19" s="75"/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 spans="1:64" ht="25.5" customHeight="1">
      <c r="A20" s="10">
        <f t="shared" si="0"/>
        <v>9</v>
      </c>
      <c r="B20" s="11" t="s">
        <v>257</v>
      </c>
      <c r="C20" s="18" t="s">
        <v>258</v>
      </c>
      <c r="D20" s="72"/>
      <c r="E20" s="71"/>
      <c r="F20" s="70">
        <f>IF(AG20="","",WORKDAY(I20-H20+1,-1,{46329,46349,46384,46385,46386,46387,46388,46391,46398,46429,46441,46468}))</f>
        <v>46367</v>
      </c>
      <c r="G20" s="67">
        <v>46310</v>
      </c>
      <c r="H20" s="65">
        <v>7</v>
      </c>
      <c r="I20" s="68">
        <f>IF(AG20="","",WORKDAY(P20-K20+1,-1,{46329,46349,46384,46385,46386,46387,46388,46391,46398,46429,46441,46468}))</f>
        <v>46374</v>
      </c>
      <c r="J20" s="67">
        <v>46318</v>
      </c>
      <c r="K20" s="65">
        <v>7</v>
      </c>
      <c r="L20" s="68">
        <v>46318</v>
      </c>
      <c r="M20" s="68"/>
      <c r="N20" s="68"/>
      <c r="O20" s="68"/>
      <c r="P20" s="68">
        <f>IF(AG20="","",WORKDAY(AC20-R20-Q20+1,-1,{46329,46349,46384,46385,46386,46387,46388,46391,46398,46429,46441,46468}))</f>
        <v>46381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f>IF(AG20="","",WORKDAY(AG20-AF20+1,-1,{46329,46349,46384,46385,46386,46387,46388,46391,46398,46429,46441,46468}))</f>
        <v>46402</v>
      </c>
      <c r="AD20" s="68">
        <f t="shared" si="4"/>
        <v>46402</v>
      </c>
      <c r="AE20" s="67"/>
      <c r="AF20" s="83">
        <v>14</v>
      </c>
      <c r="AG20" s="72">
        <v>46416</v>
      </c>
      <c r="AH20" s="71"/>
      <c r="AI20" s="70"/>
      <c r="AJ20" s="68"/>
      <c r="AK20" s="68"/>
      <c r="AL20" s="67"/>
      <c r="AM20" s="72"/>
      <c r="AN20" s="75"/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 spans="1:64" ht="25.5" customHeight="1">
      <c r="A21" s="10">
        <f t="shared" si="0"/>
        <v>10</v>
      </c>
      <c r="B21" s="11" t="s">
        <v>259</v>
      </c>
      <c r="C21" s="18" t="s">
        <v>89</v>
      </c>
      <c r="D21" s="72"/>
      <c r="E21" s="71"/>
      <c r="F21" s="70">
        <f>IF(AG21="","",WORKDAY(I21-H21+1,-1,{46329,46349,46384,46385,46386,46387,46388,46391,46398,46429,46441,46468}))</f>
        <v>46275</v>
      </c>
      <c r="G21" s="67">
        <v>46301</v>
      </c>
      <c r="H21" s="65">
        <v>7</v>
      </c>
      <c r="I21" s="68">
        <f>IF(AG21="","",WORKDAY(P21-K21+1,-1,{46329,46349,46384,46385,46386,46387,46388,46391,46398,46429,46441,46468}))</f>
        <v>46282</v>
      </c>
      <c r="J21" s="67">
        <v>46302</v>
      </c>
      <c r="K21" s="65">
        <v>7</v>
      </c>
      <c r="L21" s="68">
        <v>46302</v>
      </c>
      <c r="M21" s="68">
        <v>46314</v>
      </c>
      <c r="N21" s="68"/>
      <c r="O21" s="68"/>
      <c r="P21" s="68">
        <f>IF(AG21="","",WORKDAY(AC21-R21-Q21+1,-1,{46329,46349,46384,46385,46386,46387,46388,46391,46398,46429,46441,46468}))</f>
        <v>46289</v>
      </c>
      <c r="Q21" s="69">
        <v>7</v>
      </c>
      <c r="R21" s="69">
        <v>14</v>
      </c>
      <c r="S21" s="68">
        <v>46318</v>
      </c>
      <c r="T21" s="68"/>
      <c r="U21" s="68"/>
      <c r="V21" s="68"/>
      <c r="W21" s="68"/>
      <c r="X21" s="68"/>
      <c r="Y21" s="68"/>
      <c r="Z21" s="68"/>
      <c r="AA21" s="68"/>
      <c r="AB21" s="67"/>
      <c r="AC21" s="70">
        <f>IF(AG21="","",WORKDAY(AG21-AF21+1,-1,{46329,46349,46384,46385,46386,46387,46388,46391,46398,46429,46441,46468}))</f>
        <v>46310</v>
      </c>
      <c r="AD21" s="68">
        <f t="shared" si="4"/>
        <v>46310</v>
      </c>
      <c r="AE21" s="67"/>
      <c r="AF21" s="83">
        <v>60</v>
      </c>
      <c r="AG21" s="72">
        <v>46370</v>
      </c>
      <c r="AH21" s="71"/>
      <c r="AI21" s="70"/>
      <c r="AJ21" s="68"/>
      <c r="AK21" s="68"/>
      <c r="AL21" s="67"/>
      <c r="AM21" s="72"/>
      <c r="AN21" s="133" t="inlineStr">
        <is>
          <t>製作２か月、9/30初回作図、発注済み</t>
        </is>
      </c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spans="1:64" ht="25.5" customHeight="1">
      <c r="A22" s="10">
        <f t="shared" si="0"/>
        <v>11</v>
      </c>
      <c r="B22" s="11" t="s">
        <v>260</v>
      </c>
      <c r="C22" s="18" t="s">
        <v>261</v>
      </c>
      <c r="D22" s="72"/>
      <c r="E22" s="71"/>
      <c r="F22" s="70">
        <f>IF(AG22="","",WORKDAY(I22-H22+1,-1,{46329,46349,46384,46385,46386,46387,46388,46391,46398,46429,46441,46468}))</f>
        <v>46328</v>
      </c>
      <c r="G22" s="67"/>
      <c r="H22" s="65">
        <v>7</v>
      </c>
      <c r="I22" s="68">
        <f>IF(AG22="","",WORKDAY(P22-K22+1,-1,{46329,46349,46384,46385,46386,46387,46388,46391,46398,46429,46441,46468}))</f>
        <v>46335</v>
      </c>
      <c r="J22" s="67"/>
      <c r="K22" s="65">
        <v>7</v>
      </c>
      <c r="L22" s="68"/>
      <c r="M22" s="68"/>
      <c r="N22" s="68"/>
      <c r="O22" s="68"/>
      <c r="P22" s="68">
        <f>IF(AG22="","",WORKDAY(AC22-R22-Q22+1,-1,{46329,46349,46384,46385,46386,46387,46388,46391,46398,46429,46441,46468}))</f>
        <v>46342</v>
      </c>
      <c r="Q22" s="69">
        <v>7</v>
      </c>
      <c r="R22" s="69">
        <v>14</v>
      </c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>
        <f>IF(AG22="","",WORKDAY(AG22-AF22+1,-1,{46329,46349,46384,46385,46386,46387,46388,46391,46398,46429,46441,46468}))</f>
        <v>46363</v>
      </c>
      <c r="AD22" s="68">
        <f t="shared" si="4"/>
        <v>46363</v>
      </c>
      <c r="AE22" s="67"/>
      <c r="AF22" s="83">
        <v>14</v>
      </c>
      <c r="AG22" s="72">
        <v>46377</v>
      </c>
      <c r="AH22" s="71"/>
      <c r="AI22" s="70"/>
      <c r="AJ22" s="68"/>
      <c r="AK22" s="68"/>
      <c r="AL22" s="67"/>
      <c r="AM22" s="72"/>
      <c r="AN22" s="75" t="s">
        <v>276</v>
      </c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 spans="1:64" ht="25.5" customHeight="1">
      <c r="A23" s="10">
        <f t="shared" si="0"/>
        <v>12</v>
      </c>
      <c r="B23" s="11" t="s">
        <v>262</v>
      </c>
      <c r="C23" s="18" t="s">
        <v>263</v>
      </c>
      <c r="D23" s="72"/>
      <c r="E23" s="71"/>
      <c r="F23" s="70">
        <f>IF(AG23="","",WORKDAY(I23-H23+1,-1,{46329,46349,46384,46385,46386,46387,46388,46391,46398,46429,46441,46468}))</f>
        <v>46346</v>
      </c>
      <c r="G23" s="67"/>
      <c r="H23" s="65">
        <v>7</v>
      </c>
      <c r="I23" s="68">
        <f>IF(AG23="","",WORKDAY(P23-K23+1,-1,{46329,46349,46384,46385,46386,46387,46388,46391,46398,46429,46441,46468}))</f>
        <v>46353</v>
      </c>
      <c r="J23" s="67"/>
      <c r="K23" s="65">
        <v>7</v>
      </c>
      <c r="L23" s="68"/>
      <c r="M23" s="68"/>
      <c r="N23" s="68"/>
      <c r="O23" s="68"/>
      <c r="P23" s="68">
        <f>IF(AG23="","",WORKDAY(AC23-R23-Q23+1,-1,{46329,46349,46384,46385,46386,46387,46388,46391,46398,46429,46441,46468}))</f>
        <v>46360</v>
      </c>
      <c r="Q23" s="69">
        <v>7</v>
      </c>
      <c r="R23" s="69">
        <v>14</v>
      </c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>
        <f>IF(AG23="","",WORKDAY(AG23-AF23+1,-1,{46329,46349,46384,46385,46386,46387,46388,46391,46398,46429,46441,46468}))</f>
        <v>46381</v>
      </c>
      <c r="AD23" s="68">
        <f t="shared" si="4"/>
        <v>46388</v>
      </c>
      <c r="AE23" s="67"/>
      <c r="AF23" s="83">
        <v>14</v>
      </c>
      <c r="AG23" s="72">
        <v>46402</v>
      </c>
      <c r="AH23" s="71"/>
      <c r="AI23" s="70"/>
      <c r="AJ23" s="68"/>
      <c r="AK23" s="68"/>
      <c r="AL23" s="67"/>
      <c r="AM23" s="72"/>
      <c r="AN23" s="75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spans="1:64" ht="25.5" customHeight="1">
      <c r="A24" s="10">
        <f t="shared" si="0"/>
        <v>13</v>
      </c>
      <c r="B24" s="11" t="s">
        <v>264</v>
      </c>
      <c r="C24" s="18" t="s">
        <v>265</v>
      </c>
      <c r="D24" s="72"/>
      <c r="E24" s="71"/>
      <c r="F24" s="70">
        <f>IF(AG24="","",WORKDAY(I24-H24+1,-1,{46329,46349,46384,46385,46386,46387,46388,46391,46398,46429,46441,46468}))</f>
        <v>46367</v>
      </c>
      <c r="G24" s="67"/>
      <c r="H24" s="65">
        <v>7</v>
      </c>
      <c r="I24" s="68">
        <f>IF(AG24="","",WORKDAY(P24-K24+1,-1,{46329,46349,46384,46385,46386,46387,46388,46391,46398,46429,46441,46468}))</f>
        <v>46374</v>
      </c>
      <c r="J24" s="67"/>
      <c r="K24" s="65">
        <v>7</v>
      </c>
      <c r="L24" s="68"/>
      <c r="M24" s="68"/>
      <c r="N24" s="68"/>
      <c r="O24" s="68"/>
      <c r="P24" s="68">
        <f>IF(AG24="","",WORKDAY(AC24-R24-Q24+1,-1,{46329,46349,46384,46385,46386,46387,46388,46391,46398,46429,46441,46468}))</f>
        <v>46381</v>
      </c>
      <c r="Q24" s="69">
        <v>7</v>
      </c>
      <c r="R24" s="69">
        <v>14</v>
      </c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>
        <f>IF(AG24="","",WORKDAY(AG24-AF24+1,-1,{46329,46349,46384,46385,46386,46387,46388,46391,46398,46429,46441,46468}))</f>
        <v>46402</v>
      </c>
      <c r="AD24" s="68">
        <f t="shared" si="4"/>
        <v>46402</v>
      </c>
      <c r="AE24" s="67"/>
      <c r="AF24" s="83">
        <v>14</v>
      </c>
      <c r="AG24" s="72">
        <v>46416</v>
      </c>
      <c r="AH24" s="71"/>
      <c r="AI24" s="70"/>
      <c r="AJ24" s="68"/>
      <c r="AK24" s="68"/>
      <c r="AL24" s="67"/>
      <c r="AM24" s="72"/>
      <c r="AN24" s="75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spans="1:64" ht="25.5" customHeight="1">
      <c r="A25" s="10">
        <f t="shared" si="0"/>
        <v>14</v>
      </c>
      <c r="B25" s="11" t="s">
        <v>266</v>
      </c>
      <c r="C25" s="346" t="s">
        <v>267</v>
      </c>
      <c r="D25" s="72"/>
      <c r="E25" s="71"/>
      <c r="F25" s="70"/>
      <c r="G25" s="67"/>
      <c r="H25" s="65"/>
      <c r="I25" s="68"/>
      <c r="J25" s="67"/>
      <c r="K25" s="65"/>
      <c r="L25" s="68"/>
      <c r="M25" s="68"/>
      <c r="N25" s="68"/>
      <c r="O25" s="68"/>
      <c r="P25" s="68"/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8"/>
      <c r="AE25" s="67"/>
      <c r="AF25" s="83"/>
      <c r="AG25" s="72">
        <v>46372</v>
      </c>
      <c r="AH25" s="71"/>
      <c r="AI25" s="70"/>
      <c r="AJ25" s="68"/>
      <c r="AK25" s="68"/>
      <c r="AL25" s="67"/>
      <c r="AM25" s="72"/>
      <c r="AN25" s="133" t="inlineStr">
        <is>
          <t>電気工事</t>
        </is>
      </c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 spans="1:64" ht="25.5" customHeight="1">
      <c r="A26" s="10">
        <f t="shared" si="0"/>
        <v>15</v>
      </c>
      <c r="B26" s="11" t="s">
        <v>268</v>
      </c>
      <c r="C26" s="346" t="s">
        <v>269</v>
      </c>
      <c r="D26" s="72"/>
      <c r="E26" s="71"/>
      <c r="F26" s="70"/>
      <c r="G26" s="67"/>
      <c r="H26" s="65"/>
      <c r="I26" s="68"/>
      <c r="J26" s="67"/>
      <c r="K26" s="65"/>
      <c r="L26" s="68"/>
      <c r="M26" s="68"/>
      <c r="N26" s="68"/>
      <c r="O26" s="68"/>
      <c r="P26" s="68"/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8"/>
      <c r="AE26" s="67"/>
      <c r="AF26" s="83"/>
      <c r="AG26" s="72">
        <v>46379</v>
      </c>
      <c r="AH26" s="71"/>
      <c r="AI26" s="70"/>
      <c r="AJ26" s="68"/>
      <c r="AK26" s="68"/>
      <c r="AL26" s="67"/>
      <c r="AM26" s="72"/>
      <c r="AN26" s="133" t="inlineStr">
        <is>
          <t>電気工事</t>
        </is>
      </c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 spans="1:64" ht="25.5" customHeight="1">
      <c r="A27" s="10">
        <f>A26+1</f>
        <v>16</v>
      </c>
      <c r="B27" s="11" t="s">
        <v>280</v>
      </c>
      <c r="C27" s="18" t="inlineStr">
        <is>
          <t>ハンガードア下地鉄骨（追加）</t>
        </is>
      </c>
      <c r="D27" s="72"/>
      <c r="E27" s="71"/>
      <c r="F27" s="70">
        <f>IF(AG27="","",WORKDAY(I27-H27+1,-1,{46329,46349,46384,46385,46386,46387,46388,46391,46398,46429,46441,46468}))</f>
        <v>46328</v>
      </c>
      <c r="G27" s="67">
        <v>46322</v>
      </c>
      <c r="H27" s="65">
        <v>7</v>
      </c>
      <c r="I27" s="68">
        <f>IF(AG27="","",WORKDAY(P27-K27+1,-1,{46329,46349,46384,46385,46386,46387,46388,46391,46398,46429,46441,46468}))</f>
        <v>46335</v>
      </c>
      <c r="J27" s="67">
        <v>46324</v>
      </c>
      <c r="K27" s="65">
        <v>7</v>
      </c>
      <c r="L27" s="68">
        <v>46324</v>
      </c>
      <c r="M27" s="68"/>
      <c r="N27" s="68"/>
      <c r="O27" s="68"/>
      <c r="P27" s="68">
        <f>IF(AG27="","",WORKDAY(AC27-R27-Q27+1,-1,{46329,46349,46384,46385,46386,46387,46388,46391,46398,46429,46441,46468}))</f>
        <v>46342</v>
      </c>
      <c r="Q27" s="69">
        <v>7</v>
      </c>
      <c r="R27" s="69">
        <v>14</v>
      </c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>
        <f>IF(AG27="","",WORKDAY(AG27-AF27+1,-1,{46329,46349,46384,46385,46386,46387,46388,46391,46398,46429,46441,46468}))</f>
        <v>46363</v>
      </c>
      <c r="AD27" s="68">
        <f>IF(AG27="","",$AG27-$AF27)</f>
        <v>46363</v>
      </c>
      <c r="AE27" s="67"/>
      <c r="AF27" s="83">
        <v>14</v>
      </c>
      <c r="AG27" s="72">
        <v>46377</v>
      </c>
      <c r="AH27" s="71"/>
      <c r="AI27" s="70"/>
      <c r="AJ27" s="68"/>
      <c r="AK27" s="68"/>
      <c r="AL27" s="67"/>
      <c r="AM27" s="72"/>
      <c r="AN27" s="75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 spans="1:64" ht="25.5" customHeight="1">
      <c r="A28" s="10">
        <f>A27+1</f>
        <v>17</v>
      </c>
      <c r="B28" s="11" t="inlineStr">
        <is>
          <t>三友-25</t>
        </is>
      </c>
      <c r="C28" s="18" t="inlineStr">
        <is>
          <t>東側　デッキ下鉄骨架台（追加）</t>
        </is>
      </c>
      <c r="D28" s="72"/>
      <c r="E28" s="71"/>
      <c r="F28" s="70">
        <f>IF(AG28="","",WORKDAY(I28-H28+1,-1,{46329,46349,46384,46385,46386,46387,46388,46391,46398,46429,46441,46468}))</f>
        <v>46336</v>
      </c>
      <c r="G28" s="67"/>
      <c r="H28" s="65">
        <v>7</v>
      </c>
      <c r="I28" s="68">
        <f>IF(AG28="","",WORKDAY(P28-K28+1,-1,{46329,46349,46384,46385,46386,46387,46388,46391,46398,46429,46441,46468}))</f>
        <v>46343</v>
      </c>
      <c r="J28" s="67"/>
      <c r="K28" s="65">
        <v>7</v>
      </c>
      <c r="L28" s="68"/>
      <c r="M28" s="68"/>
      <c r="N28" s="68"/>
      <c r="O28" s="68"/>
      <c r="P28" s="68">
        <f>IF(AG28="","",WORKDAY(AC28-R28-Q28+1,-1,{46329,46349,46384,46385,46386,46387,46388,46391,46398,46429,46441,46468}))</f>
        <v>46350</v>
      </c>
      <c r="Q28" s="69">
        <v>7</v>
      </c>
      <c r="R28" s="69">
        <v>14</v>
      </c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>
        <f>IF(AG28="","",WORKDAY(AG28-AF28+1,-1,{46329,46349,46384,46385,46386,46387,46388,46391,46398,46429,46441,46468}))</f>
        <v>46371</v>
      </c>
      <c r="AD28" s="68">
        <f>IF(AG28="","",$AG28-$AF28)</f>
        <v>46371</v>
      </c>
      <c r="AE28" s="67"/>
      <c r="AF28" s="83">
        <v>21</v>
      </c>
      <c r="AG28" s="72">
        <v>46392</v>
      </c>
      <c r="AH28" s="71"/>
      <c r="AI28" s="70"/>
      <c r="AJ28" s="68"/>
      <c r="AK28" s="68"/>
      <c r="AL28" s="67"/>
      <c r="AM28" s="72"/>
      <c r="AN28" s="75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spans="1:64" ht="25.5" customHeight="1">
      <c r="A29" s="10" cm="1">
        <f t="array" ref="A29">A28+1</f>
        <v>18</v>
      </c>
      <c r="B29" s="9"/>
      <c r="C29" s="19"/>
      <c r="D29" s="72"/>
      <c r="E29" s="71"/>
      <c r="F29" s="82" t="str">
        <f>IF(AG29="","",WORKDAY(I29-H29+1,-1,{46329,46349,46384,46385,46386,46387,46388,46391,46398,46429,46441,46468}))</f>
        <v/>
      </c>
      <c r="G29" s="67"/>
      <c r="H29" s="65"/>
      <c r="I29" s="66" t="str">
        <f>IF(AG29="","",WORKDAY(P29-K29+1,-1,{46329,46349,46384,46385,46386,46387,46388,46391,46398,46429,46441,46468}))</f>
        <v/>
      </c>
      <c r="J29" s="67"/>
      <c r="K29" s="65"/>
      <c r="L29" s="68"/>
      <c r="M29" s="68"/>
      <c r="N29" s="68"/>
      <c r="O29" s="68"/>
      <c r="P29" s="66" t="str">
        <f>IF(AG29="","",WORKDAY(AC29-R29-Q29+1,-1,{46329,46349,46384,46385,46386,46387,46388,46391,46398,46429,46441,46468}))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 t="str">
        <f>IF(AG29="","",WORKDAY(AG29-AF29+1,-1,{46329,46349,46384,46385,46386,46387,46388,46391,46398,46429,46441,46468}))</f>
        <v/>
      </c>
      <c r="AD29" s="66" cm="1" t="str">
        <f t="array" ref="AD29">IF(AG29="","",$AG29-$AF29)</f>
        <v/>
      </c>
      <c r="AE29" s="67"/>
      <c r="AF29" s="83"/>
      <c r="AG29" s="72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</row>
    <row r="30" spans="1:64" ht="25.5" customHeight="1">
      <c r="A30" s="10" cm="1">
        <f t="array" ref="A30">A29+1</f>
        <v>19</v>
      </c>
      <c r="B30" s="9"/>
      <c r="C30" s="18" t="s">
        <v>96</v>
      </c>
      <c r="D30" s="72"/>
      <c r="E30" s="71"/>
      <c r="F30" s="82" t="str">
        <f>IF(AG30="","",WORKDAY(I30-H30+1,-1,{46329,46349,46384,46385,46386,46387,46388,46391,46398,46429,46441,46468}))</f>
        <v/>
      </c>
      <c r="G30" s="67"/>
      <c r="H30" s="65"/>
      <c r="I30" s="66" t="str">
        <f>IF(AG30="","",WORKDAY(P30-K30+1,-1,{46329,46349,46384,46385,46386,46387,46388,46391,46398,46429,46441,46468}))</f>
        <v/>
      </c>
      <c r="J30" s="67"/>
      <c r="K30" s="65"/>
      <c r="L30" s="68"/>
      <c r="M30" s="68"/>
      <c r="N30" s="68"/>
      <c r="O30" s="68"/>
      <c r="P30" s="66" t="str">
        <f>IF(AG30="","",WORKDAY(AC30-R30-Q30+1,-1,{46329,46349,46384,46385,46386,46387,46388,46391,46398,46429,46441,46468}))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 t="str">
        <f>IF(AG30="","",WORKDAY(AG30-AF30+1,-1,{46329,46349,46384,46385,46386,46387,46388,46391,46398,46429,46441,46468}))</f>
        <v/>
      </c>
      <c r="AD30" s="66" cm="1" t="str">
        <f t="array" ref="AD30">IF(AG30="","",$AG30-$AF30)</f>
        <v/>
      </c>
      <c r="AE30" s="67"/>
      <c r="AF30" s="83"/>
      <c r="AG30" s="72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</row>
    <row r="31" spans="1:64" ht="25.5" customHeight="1">
      <c r="A31" s="10" cm="1">
        <f t="array" ref="A31">A30+1</f>
        <v>20</v>
      </c>
      <c r="B31" s="11" t="s">
        <v>97</v>
      </c>
      <c r="C31" s="18" t="s">
        <v>98</v>
      </c>
      <c r="D31" s="72"/>
      <c r="E31" s="71"/>
      <c r="F31" s="70">
        <f>IF(AG31="","",WORKDAY(I31-H31+1,-1,{46329,46349,46384,46385,46386,46387,46388,46391,46398,46429,46441,46468}))</f>
        <v>46297</v>
      </c>
      <c r="G31" s="67">
        <v>46301</v>
      </c>
      <c r="H31" s="65">
        <v>7</v>
      </c>
      <c r="I31" s="68">
        <f>IF(AG31="","",WORKDAY(P31-K31+1,-1,{46329,46349,46384,46385,46386,46387,46388,46391,46398,46429,46441,46468}))</f>
        <v>46304</v>
      </c>
      <c r="J31" s="67">
        <v>46302</v>
      </c>
      <c r="K31" s="65">
        <v>7</v>
      </c>
      <c r="L31" s="68">
        <v>46302</v>
      </c>
      <c r="M31" s="68">
        <v>46314</v>
      </c>
      <c r="N31" s="68"/>
      <c r="O31" s="68"/>
      <c r="P31" s="68">
        <f>IF(AG31="","",WORKDAY(AC31-R31-Q31+1,-1,{46329,46349,46384,46385,46386,46387,46388,46391,46398,46429,46441,46468}))</f>
        <v>46311</v>
      </c>
      <c r="Q31" s="69">
        <v>7</v>
      </c>
      <c r="R31" s="69">
        <v>14</v>
      </c>
      <c r="S31" s="68">
        <v>46325</v>
      </c>
      <c r="T31" s="68"/>
      <c r="U31" s="68"/>
      <c r="V31" s="68"/>
      <c r="W31" s="68"/>
      <c r="X31" s="68"/>
      <c r="Y31" s="68"/>
      <c r="Z31" s="68"/>
      <c r="AA31" s="68"/>
      <c r="AB31" s="67"/>
      <c r="AC31" s="70">
        <f>IF(AG31="","",WORKDAY(AG31-AF31+1,-1,{46329,46349,46384,46385,46386,46387,46388,46391,46398,46429,46441,46468}))</f>
        <v>46332</v>
      </c>
      <c r="AD31" s="68" cm="1">
        <f t="array" ref="AD31">IF(AG31="","",$AG31-$AF31)</f>
        <v>46332</v>
      </c>
      <c r="AE31" s="67"/>
      <c r="AF31" s="83">
        <v>60</v>
      </c>
      <c r="AG31" s="72">
        <v>46392</v>
      </c>
      <c r="AH31" s="71"/>
      <c r="AI31" s="70"/>
      <c r="AJ31" s="68"/>
      <c r="AK31" s="68"/>
      <c r="AL31" s="67"/>
      <c r="AM31" s="72"/>
      <c r="AN31" s="84" t="s">
        <v>99</v>
      </c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</row>
    <row r="32" spans="1:64" ht="25.5" customHeight="1">
      <c r="A32" s="10" cm="1">
        <f t="array" ref="A32">A31+1</f>
        <v>21</v>
      </c>
      <c r="B32" s="11" t="s">
        <v>100</v>
      </c>
      <c r="C32" s="24" t="s">
        <v>101</v>
      </c>
      <c r="D32" s="72"/>
      <c r="E32" s="71"/>
      <c r="F32" s="82" t="str">
        <f>IF(AG32="","",WORKDAY(I32-H32+1,-1,{46329,46349,46384,46385,46386,46387,46388,46391,46398,46429,46441,46468}))</f>
        <v/>
      </c>
      <c r="G32" s="67"/>
      <c r="H32" s="65"/>
      <c r="I32" s="66" t="str">
        <f>IF(AG32="","",WORKDAY(P32-K32+1,-1,{46329,46349,46384,46385,46386,46387,46388,46391,46398,46429,46441,46468}))</f>
        <v/>
      </c>
      <c r="J32" s="67"/>
      <c r="K32" s="65"/>
      <c r="L32" s="68"/>
      <c r="M32" s="68"/>
      <c r="N32" s="68"/>
      <c r="O32" s="68"/>
      <c r="P32" s="66" t="str">
        <f>IF(AG32="","",WORKDAY(AC32-R32-Q32+1,-1,{46329,46349,46384,46385,46386,46387,46388,46391,46398,46429,46441,46468}))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 t="str">
        <f>IF(AG32="","",WORKDAY(AG32-AF32+1,-1,{46329,46349,46384,46385,46386,46387,46388,46391,46398,46429,46441,46468}))</f>
        <v/>
      </c>
      <c r="AD32" s="66" cm="1" t="str">
        <f t="array" ref="AD32">IF(AG32="","",$AG32-$AF32)</f>
        <v/>
      </c>
      <c r="AE32" s="67"/>
      <c r="AF32" s="83"/>
      <c r="AG32" s="72"/>
      <c r="AH32" s="71"/>
      <c r="AI32" s="70"/>
      <c r="AJ32" s="68"/>
      <c r="AK32" s="68"/>
      <c r="AL32" s="67"/>
      <c r="AM32" s="72"/>
      <c r="AN32" s="84" t="s">
        <v>102</v>
      </c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</row>
    <row r="33" spans="1:64" ht="25.5" customHeight="1">
      <c r="A33" s="10" cm="1">
        <f t="array" ref="A33">A32+1</f>
        <v>22</v>
      </c>
      <c r="B33" s="11" t="s">
        <v>103</v>
      </c>
      <c r="C33" s="24" t="s">
        <v>104</v>
      </c>
      <c r="D33" s="72"/>
      <c r="E33" s="71"/>
      <c r="F33" s="70">
        <f>IF(AG33="","",WORKDAY(I33-H33+1,-1,{46329,46349,46384,46385,46386,46387,46388,46391,46398,46429,46441,46468}))</f>
        <v>46297</v>
      </c>
      <c r="G33" s="67">
        <v>46290</v>
      </c>
      <c r="H33" s="65">
        <v>7</v>
      </c>
      <c r="I33" s="68">
        <f>IF(AG33="","",WORKDAY(P33-K33+1,-1,{46329,46349,46384,46385,46386,46387,46388,46391,46398,46429,46441,46468}))</f>
        <v>46304</v>
      </c>
      <c r="J33" s="67">
        <v>46290</v>
      </c>
      <c r="K33" s="65">
        <v>7</v>
      </c>
      <c r="L33" s="68">
        <v>46293</v>
      </c>
      <c r="M33" s="68">
        <v>46297</v>
      </c>
      <c r="N33" s="68">
        <v>46302</v>
      </c>
      <c r="O33" s="68">
        <v>46314</v>
      </c>
      <c r="P33" s="68">
        <f>IF(AG33="","",WORKDAY(AC33-R33-Q33+1,-1,{46329,46349,46384,46385,46386,46387,46388,46391,46398,46429,46441,46468}))</f>
        <v>46311</v>
      </c>
      <c r="Q33" s="69">
        <v>7</v>
      </c>
      <c r="R33" s="69">
        <v>14</v>
      </c>
      <c r="S33" s="68">
        <v>46317</v>
      </c>
      <c r="T33" s="68"/>
      <c r="U33" s="68"/>
      <c r="V33" s="68"/>
      <c r="W33" s="68"/>
      <c r="X33" s="68"/>
      <c r="Y33" s="68"/>
      <c r="Z33" s="68"/>
      <c r="AA33" s="68"/>
      <c r="AB33" s="67"/>
      <c r="AC33" s="70">
        <f>IF(AG33="","",WORKDAY(AG33-AF33+1,-1,{46329,46349,46384,46385,46386,46387,46388,46391,46398,46429,46441,46468}))</f>
        <v>46332</v>
      </c>
      <c r="AD33" s="68" cm="1">
        <f t="array" ref="AD33">IF(AG33="","",$AG33-$AF33)</f>
        <v>46334</v>
      </c>
      <c r="AE33" s="67"/>
      <c r="AF33" s="83">
        <v>60</v>
      </c>
      <c r="AG33" s="72">
        <v>46394</v>
      </c>
      <c r="AH33" s="71"/>
      <c r="AI33" s="70"/>
      <c r="AJ33" s="68"/>
      <c r="AK33" s="68"/>
      <c r="AL33" s="67"/>
      <c r="AM33" s="72"/>
      <c r="AN33" s="84" t="s">
        <v>105</v>
      </c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</row>
    <row r="34" spans="1:64" ht="25.5" customHeight="1">
      <c r="A34" s="10" cm="1">
        <f t="array" ref="A34">A33+1</f>
        <v>23</v>
      </c>
      <c r="B34" s="11" t="s">
        <v>106</v>
      </c>
      <c r="C34" s="20" t="s">
        <v>107</v>
      </c>
      <c r="D34" s="72"/>
      <c r="E34" s="71"/>
      <c r="F34" s="82" t="str">
        <f>IF(AG34="","",WORKDAY(I34-H34+1,-1,{46329,46349,46384,46385,46386,46387,46388,46391,46398,46429,46441,46468}))</f>
        <v/>
      </c>
      <c r="G34" s="67"/>
      <c r="H34" s="65"/>
      <c r="I34" s="66" t="str">
        <f>IF(AG34="","",WORKDAY(P34-K34+1,-1,{46329,46349,46384,46385,46386,46387,46388,46391,46398,46429,46441,46468}))</f>
        <v/>
      </c>
      <c r="J34" s="67"/>
      <c r="K34" s="65"/>
      <c r="L34" s="68"/>
      <c r="M34" s="68"/>
      <c r="N34" s="68"/>
      <c r="O34" s="68"/>
      <c r="P34" s="66" t="str">
        <f>IF(AG34="","",WORKDAY(AC34-R34-Q34+1,-1,{46329,46349,46384,46385,46386,46387,46388,46391,46398,46429,46441,46468}))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 t="str">
        <f>IF(AG34="","",WORKDAY(AG34-AF34+1,-1,{46329,46349,46384,46385,46386,46387,46388,46391,46398,46429,46441,46468}))</f>
        <v/>
      </c>
      <c r="AD34" s="66" cm="1" t="str">
        <f t="array" ref="AD34">IF(AG34="","",$AG34-$AF34)</f>
        <v/>
      </c>
      <c r="AE34" s="67"/>
      <c r="AF34" s="83"/>
      <c r="AG34" s="72"/>
      <c r="AH34" s="71"/>
      <c r="AI34" s="70"/>
      <c r="AJ34" s="68"/>
      <c r="AK34" s="68"/>
      <c r="AL34" s="67"/>
      <c r="AM34" s="72"/>
      <c r="AN34" s="75" t="s">
        <v>108</v>
      </c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</row>
    <row r="35" spans="1:64" ht="25.5" customHeight="1">
      <c r="A35" s="10">
        <f>A34+1</f>
        <v>24</v>
      </c>
      <c r="B35" s="11" t="inlineStr">
        <is>
          <t>三和-5</t>
        </is>
      </c>
      <c r="C35" s="18" t="inlineStr">
        <is>
          <t>SD点検口（東側デッキ）（追加）</t>
        </is>
      </c>
      <c r="D35" s="72"/>
      <c r="E35" s="71"/>
      <c r="F35" s="70">
        <f>IF(AG35="","",WORKDAY(I35-H35+1,-1,{46329,46349,46384,46385,46386,46387,46388,46391,46398,46429,46441,46468}))</f>
        <v>46310</v>
      </c>
      <c r="G35" s="67">
        <v>46316</v>
      </c>
      <c r="H35" s="65">
        <v>7</v>
      </c>
      <c r="I35" s="68">
        <f>IF(AG35="","",WORKDAY(P35-K35+1,-1,{46329,46349,46384,46385,46386,46387,46388,46391,46398,46429,46441,46468}))</f>
        <v>46317</v>
      </c>
      <c r="J35" s="67">
        <v>46317</v>
      </c>
      <c r="K35" s="65">
        <v>7</v>
      </c>
      <c r="L35" s="68">
        <v>46318</v>
      </c>
      <c r="M35" s="68"/>
      <c r="N35" s="68"/>
      <c r="O35" s="68"/>
      <c r="P35" s="68">
        <f>IF(AG35="","",WORKDAY(AC35-R35-Q35+1,-1,{46329,46349,46384,46385,46386,46387,46388,46391,46398,46429,46441,46468}))</f>
        <v>46324</v>
      </c>
      <c r="Q35" s="69">
        <v>7</v>
      </c>
      <c r="R35" s="69">
        <v>14</v>
      </c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>
        <f>IF(AG35="","",WORKDAY(AG35-AF35+1,-1,{46329,46349,46384,46385,46386,46387,46388,46391,46398,46429,46441,46468}))</f>
        <v>46345</v>
      </c>
      <c r="AD35" s="68">
        <f>IF(AG35="","",$AG35-$AF35)</f>
        <v>46345</v>
      </c>
      <c r="AE35" s="67"/>
      <c r="AF35" s="83">
        <v>60</v>
      </c>
      <c r="AG35" s="72">
        <v>46405</v>
      </c>
      <c r="AH35" s="71"/>
      <c r="AI35" s="70"/>
      <c r="AJ35" s="68"/>
      <c r="AK35" s="68"/>
      <c r="AL35" s="67"/>
      <c r="AM35" s="72"/>
      <c r="AN35" s="84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 spans="1:64" ht="25.5" customHeight="1">
      <c r="A36" s="10">
        <f>A35+1</f>
        <v>25</v>
      </c>
      <c r="B36" s="11" t="inlineStr">
        <is>
          <t>三和-6</t>
        </is>
      </c>
      <c r="C36" s="18" t="inlineStr">
        <is>
          <t>ガラリ（東側デッキ）（追加）</t>
        </is>
      </c>
      <c r="D36" s="72"/>
      <c r="E36" s="71"/>
      <c r="F36" s="70">
        <f>IF(AG36="","",WORKDAY(I36-H36+1,-1,{46329,46349,46384,46385,46386,46387,46388,46391,46398,46429,46441,46468}))</f>
        <v>46310</v>
      </c>
      <c r="G36" s="67"/>
      <c r="H36" s="65">
        <v>7</v>
      </c>
      <c r="I36" s="68">
        <f>IF(AG36="","",WORKDAY(P36-K36+1,-1,{46329,46349,46384,46385,46386,46387,46388,46391,46398,46429,46441,46468}))</f>
        <v>46317</v>
      </c>
      <c r="J36" s="67"/>
      <c r="K36" s="65">
        <v>7</v>
      </c>
      <c r="L36" s="68"/>
      <c r="M36" s="68"/>
      <c r="N36" s="68"/>
      <c r="O36" s="68"/>
      <c r="P36" s="68">
        <f>IF(AG36="","",WORKDAY(AC36-R36-Q36+1,-1,{46329,46349,46384,46385,46386,46387,46388,46391,46398,46429,46441,46468}))</f>
        <v>46324</v>
      </c>
      <c r="Q36" s="69">
        <v>7</v>
      </c>
      <c r="R36" s="69">
        <v>14</v>
      </c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>
        <f>IF(AG36="","",WORKDAY(AG36-AF36+1,-1,{46329,46349,46384,46385,46386,46387,46388,46391,46398,46429,46441,46468}))</f>
        <v>46345</v>
      </c>
      <c r="AD36" s="68">
        <f>IF(AG36="","",$AG36-$AF36)</f>
        <v>46345</v>
      </c>
      <c r="AE36" s="67"/>
      <c r="AF36" s="83">
        <v>60</v>
      </c>
      <c r="AG36" s="72">
        <v>46405</v>
      </c>
      <c r="AH36" s="71"/>
      <c r="AI36" s="70"/>
      <c r="AJ36" s="68"/>
      <c r="AK36" s="68"/>
      <c r="AL36" s="67"/>
      <c r="AM36" s="72"/>
      <c r="AN36" s="84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</row>
    <row r="37" spans="1:64" ht="25.5" customHeight="1">
      <c r="A37" s="10" cm="1">
        <f t="array" ref="A37">A36+1</f>
        <v>26</v>
      </c>
      <c r="B37" s="9"/>
      <c r="C37" s="19"/>
      <c r="D37" s="72"/>
      <c r="E37" s="71"/>
      <c r="F37" s="82" t="str">
        <f>IF(AG37="","",WORKDAY(I37-H37+1,-1,{46329,46349,46384,46385,46386,46387,46388,46391,46398,46429,46441,46468}))</f>
        <v/>
      </c>
      <c r="G37" s="67"/>
      <c r="H37" s="65"/>
      <c r="I37" s="66" t="str">
        <f>IF(AG37="","",WORKDAY(P37-K37+1,-1,{46329,46349,46384,46385,46386,46387,46388,46391,46398,46429,46441,46468}))</f>
        <v/>
      </c>
      <c r="J37" s="67"/>
      <c r="K37" s="65"/>
      <c r="L37" s="68"/>
      <c r="M37" s="68"/>
      <c r="N37" s="68"/>
      <c r="O37" s="68"/>
      <c r="P37" s="66" t="str">
        <f>IF(AG37="","",WORKDAY(AC37-R37-Q37+1,-1,{46329,46349,46384,46385,46386,46387,46388,46391,46398,46429,46441,46468}))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 t="str">
        <f>IF(AG37="","",WORKDAY(AG37-AF37+1,-1,{46329,46349,46384,46385,46386,46387,46388,46391,46398,46429,46441,46468}))</f>
        <v/>
      </c>
      <c r="AD37" s="66" cm="1" t="str">
        <f t="array" ref="AD37">IF(AG37="","",$AG37-$AF37)</f>
        <v/>
      </c>
      <c r="AE37" s="67"/>
      <c r="AF37" s="83"/>
      <c r="AG37" s="72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 spans="1:64" ht="25.5" customHeight="1">
      <c r="A38" s="10" cm="1">
        <f t="array" ref="A38">A37+1</f>
        <v>27</v>
      </c>
      <c r="B38" s="9"/>
      <c r="C38" s="18" t="s">
        <v>109</v>
      </c>
      <c r="D38" s="72"/>
      <c r="E38" s="71"/>
      <c r="F38" s="82" t="str">
        <f>IF(AG38="","",WORKDAY(I38-H38+1,-1,{46329,46349,46384,46385,46386,46387,46388,46391,46398,46429,46441,46468}))</f>
        <v/>
      </c>
      <c r="G38" s="67"/>
      <c r="H38" s="65"/>
      <c r="I38" s="66" t="str">
        <f>IF(AG38="","",WORKDAY(P38-K38+1,-1,{46329,46349,46384,46385,46386,46387,46388,46391,46398,46429,46441,46468}))</f>
        <v/>
      </c>
      <c r="J38" s="67"/>
      <c r="K38" s="65"/>
      <c r="L38" s="68"/>
      <c r="M38" s="68"/>
      <c r="N38" s="68"/>
      <c r="O38" s="68"/>
      <c r="P38" s="66" t="str">
        <f>IF(AG38="","",WORKDAY(AC38-R38-Q38+1,-1,{46329,46349,46384,46385,46386,46387,46388,46391,46398,46429,46441,46468}))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 t="str">
        <f>IF(AG38="","",WORKDAY(AG38-AF38+1,-1,{46329,46349,46384,46385,46386,46387,46388,46391,46398,46429,46441,46468}))</f>
        <v/>
      </c>
      <c r="AD38" s="66" cm="1" t="str">
        <f t="array" ref="AD38">IF(AG38="","",$AG38-$AF38)</f>
        <v/>
      </c>
      <c r="AE38" s="67"/>
      <c r="AF38" s="83"/>
      <c r="AG38" s="72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</row>
    <row r="39" spans="1:64" ht="25.5" customHeight="1">
      <c r="A39" s="10" cm="1">
        <f t="array" ref="A39">A38+1</f>
        <v>28</v>
      </c>
      <c r="B39" s="11" t="s">
        <v>110</v>
      </c>
      <c r="C39" s="24" t="s">
        <v>111</v>
      </c>
      <c r="D39" s="72"/>
      <c r="E39" s="71"/>
      <c r="F39" s="70">
        <f>IF(AG39="","",WORKDAY(I39-H39+1,-1,{46329,46349,46384,46385,46386,46387,46388,46391,46398,46429,46441,46468}))</f>
        <v>46293</v>
      </c>
      <c r="G39" s="67">
        <v>46282</v>
      </c>
      <c r="H39" s="65">
        <v>7</v>
      </c>
      <c r="I39" s="68">
        <f>IF(AG39="","",WORKDAY(P39-K39+1,-1,{46329,46349,46384,46385,46386,46387,46388,46391,46398,46429,46441,46468}))</f>
        <v>46300</v>
      </c>
      <c r="J39" s="67">
        <v>46289</v>
      </c>
      <c r="K39" s="65">
        <v>7</v>
      </c>
      <c r="L39" s="68">
        <v>46293</v>
      </c>
      <c r="M39" s="68">
        <v>46297</v>
      </c>
      <c r="N39" s="68">
        <v>46302</v>
      </c>
      <c r="O39" s="68">
        <v>46309</v>
      </c>
      <c r="P39" s="68">
        <f>IF(AG39="","",WORKDAY(AC39-R39-Q39+1,-1,{46329,46349,46384,46385,46386,46387,46388,46391,46398,46429,46441,46468}))</f>
        <v>46307</v>
      </c>
      <c r="Q39" s="69">
        <v>7</v>
      </c>
      <c r="R39" s="69">
        <v>7</v>
      </c>
      <c r="S39" s="68">
        <v>46318</v>
      </c>
      <c r="T39" s="68"/>
      <c r="U39" s="68"/>
      <c r="V39" s="68"/>
      <c r="W39" s="68"/>
      <c r="X39" s="68"/>
      <c r="Y39" s="68"/>
      <c r="Z39" s="68"/>
      <c r="AA39" s="68"/>
      <c r="AB39" s="67"/>
      <c r="AC39" s="70">
        <f>IF(AG39="","",WORKDAY(AG39-AF39+1,-1,{46329,46349,46384,46385,46386,46387,46388,46391,46398,46429,46441,46468}))</f>
        <v>46321</v>
      </c>
      <c r="AD39" s="68" cm="1">
        <f t="array" ref="AD39">IF(AG39="","",$AG39-$AF39)</f>
        <v>46321</v>
      </c>
      <c r="AE39" s="67"/>
      <c r="AF39" s="83">
        <v>80</v>
      </c>
      <c r="AG39" s="72">
        <v>46401</v>
      </c>
      <c r="AH39" s="71"/>
      <c r="AI39" s="70"/>
      <c r="AJ39" s="68"/>
      <c r="AK39" s="68"/>
      <c r="AL39" s="67"/>
      <c r="AM39" s="72"/>
      <c r="AN39" s="133" t="inlineStr">
        <is>
          <t>SSD1（東デッキ側）製作２か月+塗装20日、発注済み、工程変更 1/14</t>
        </is>
      </c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</row>
    <row r="40" spans="1:64" ht="25.5" customHeight="1">
      <c r="A40" s="10" cm="1">
        <f t="array" ref="A40">A39+1</f>
        <v>29</v>
      </c>
      <c r="B40" s="9"/>
      <c r="C40" s="19"/>
      <c r="D40" s="72"/>
      <c r="E40" s="71"/>
      <c r="F40" s="82" t="str">
        <f>IF(AG40="","",WORKDAY(I40-H40+1,-1,{46329,46349,46384,46385,46386,46387,46388,46391,46398,46429,46441,46468}))</f>
        <v/>
      </c>
      <c r="G40" s="67"/>
      <c r="H40" s="65"/>
      <c r="I40" s="66" t="str">
        <f>IF(AG40="","",WORKDAY(P40-K40+1,-1,{46329,46349,46384,46385,46386,46387,46388,46391,46398,46429,46441,46468}))</f>
        <v/>
      </c>
      <c r="J40" s="67"/>
      <c r="K40" s="65"/>
      <c r="L40" s="68"/>
      <c r="M40" s="68"/>
      <c r="N40" s="68"/>
      <c r="O40" s="68"/>
      <c r="P40" s="66" t="str">
        <f>IF(AG40="","",WORKDAY(AC40-R40-Q40+1,-1,{46329,46349,46384,46385,46386,46387,46388,46391,46398,46429,46441,46468}))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 t="str">
        <f>IF(AG40="","",WORKDAY(AG40-AF40+1,-1,{46329,46349,46384,46385,46386,46387,46388,46391,46398,46429,46441,46468}))</f>
        <v/>
      </c>
      <c r="AD40" s="66" cm="1" t="str">
        <f t="array" ref="AD40">IF(AG40="","",$AG40-$AF40)</f>
        <v/>
      </c>
      <c r="AE40" s="67"/>
      <c r="AF40" s="83"/>
      <c r="AG40" s="72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 spans="1:64" ht="25.5" customHeight="1">
      <c r="A41" s="10" cm="1">
        <f t="array" ref="A41">A40+1</f>
        <v>30</v>
      </c>
      <c r="B41" s="9"/>
      <c r="C41" s="18" t="s">
        <v>113</v>
      </c>
      <c r="D41" s="72"/>
      <c r="E41" s="71"/>
      <c r="F41" s="82" t="str">
        <f>IF(AG41="","",WORKDAY(I41-H41+1,-1,{46329,46349,46384,46385,46386,46387,46388,46391,46398,46429,46441,46468}))</f>
        <v/>
      </c>
      <c r="G41" s="67"/>
      <c r="H41" s="65"/>
      <c r="I41" s="66" t="str">
        <f>IF(AG41="","",WORKDAY(P41-K41+1,-1,{46329,46349,46384,46385,46386,46387,46388,46391,46398,46429,46441,46468}))</f>
        <v/>
      </c>
      <c r="J41" s="67"/>
      <c r="K41" s="65"/>
      <c r="L41" s="68"/>
      <c r="M41" s="68"/>
      <c r="N41" s="68"/>
      <c r="O41" s="68"/>
      <c r="P41" s="66" t="str">
        <f>IF(AG41="","",WORKDAY(AC41-R41-Q41+1,-1,{46329,46349,46384,46385,46386,46387,46388,46391,46398,46429,46441,46468}))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 t="str">
        <f>IF(AG41="","",WORKDAY(AG41-AF41+1,-1,{46329,46349,46384,46385,46386,46387,46388,46391,46398,46429,46441,46468}))</f>
        <v/>
      </c>
      <c r="AD41" s="66" cm="1" t="str">
        <f t="array" ref="AD41">IF(AG41="","",$AG41-$AF41)</f>
        <v/>
      </c>
      <c r="AE41" s="67"/>
      <c r="AF41" s="83"/>
      <c r="AG41" s="72"/>
      <c r="AH41" s="71"/>
      <c r="AI41" s="70"/>
      <c r="AJ41" s="68"/>
      <c r="AK41" s="68"/>
      <c r="AL41" s="67"/>
      <c r="AM41" s="72"/>
      <c r="AN41" s="85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 spans="1:64" ht="25.5" customHeight="1">
      <c r="A42" s="10" cm="1">
        <f t="array" ref="A42">A41+1</f>
        <v>31</v>
      </c>
      <c r="B42" s="11" t="inlineStr">
        <is>
          <t>MIDIC-1</t>
        </is>
      </c>
      <c r="C42" s="18" t="inlineStr">
        <is>
          <t>西側　窓際カウンター</t>
        </is>
      </c>
      <c r="D42" s="72"/>
      <c r="E42" s="71"/>
      <c r="F42" s="70">
        <f>IF(AG42="","",WORKDAY(I42-H42+1,-1,{46329,46349,46384,46385,46386,46387,46388,46391,46398,46429,46441,46468}))</f>
        <v>46346</v>
      </c>
      <c r="G42" s="67"/>
      <c r="H42" s="65">
        <v>7</v>
      </c>
      <c r="I42" s="68">
        <f>IF(AG42="","",WORKDAY(P42-K42+1,-1,{46329,46349,46384,46385,46386,46387,46388,46391,46398,46429,46441,46468}))</f>
        <v>46353</v>
      </c>
      <c r="J42" s="67"/>
      <c r="K42" s="65">
        <v>7</v>
      </c>
      <c r="L42" s="68"/>
      <c r="M42" s="68"/>
      <c r="N42" s="68"/>
      <c r="O42" s="68"/>
      <c r="P42" s="68">
        <f>IF(AG42="","",WORKDAY(AC42-R42-Q42+1,-1,{46329,46349,46384,46385,46386,46387,46388,46391,46398,46429,46441,46468}))</f>
        <v>46360</v>
      </c>
      <c r="Q42" s="69">
        <v>7</v>
      </c>
      <c r="R42" s="69">
        <v>14</v>
      </c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>
        <f>IF(AG42="","",WORKDAY(AG42-AF42+1,-1,{46329,46349,46384,46385,46386,46387,46388,46391,46398,46429,46441,46468}))</f>
        <v>46381</v>
      </c>
      <c r="AD42" s="68" cm="1">
        <f t="array" ref="AD42">IF(AG42="","",$AG42-$AF42)</f>
        <v>46391</v>
      </c>
      <c r="AE42" s="67"/>
      <c r="AF42" s="83">
        <v>14</v>
      </c>
      <c r="AG42" s="72">
        <v>46405</v>
      </c>
      <c r="AH42" s="71"/>
      <c r="AI42" s="70"/>
      <c r="AJ42" s="68"/>
      <c r="AK42" s="68"/>
      <c r="AL42" s="67"/>
      <c r="AM42" s="72"/>
      <c r="AN42" s="75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 spans="1:64" ht="25.5" customHeight="1">
      <c r="A43" s="10" cm="1">
        <f t="array" ref="A43">A42+1</f>
        <v>32</v>
      </c>
      <c r="B43" s="11" t="inlineStr">
        <is>
          <t>MIDIC-2</t>
        </is>
      </c>
      <c r="C43" s="18" t="inlineStr">
        <is>
          <t>西側　ボックス席</t>
        </is>
      </c>
      <c r="D43" s="72"/>
      <c r="E43" s="71"/>
      <c r="F43" s="70">
        <f>IF(AG43="","",WORKDAY(I43-H43+1,-1,{46329,46349,46384,46385,46386,46387,46388,46391,46398,46429,46441,46468}))</f>
        <v>46359</v>
      </c>
      <c r="G43" s="67"/>
      <c r="H43" s="65">
        <v>7</v>
      </c>
      <c r="I43" s="68">
        <f>IF(AG43="","",WORKDAY(P43-K43+1,-1,{46329,46349,46384,46385,46386,46387,46388,46391,46398,46429,46441,46468}))</f>
        <v>46366</v>
      </c>
      <c r="J43" s="67"/>
      <c r="K43" s="65">
        <v>7</v>
      </c>
      <c r="L43" s="68"/>
      <c r="M43" s="68"/>
      <c r="N43" s="68"/>
      <c r="O43" s="68"/>
      <c r="P43" s="68">
        <f>IF(AG43="","",WORKDAY(AC43-R43-Q43+1,-1,{46329,46349,46384,46385,46386,46387,46388,46391,46398,46429,46441,46468}))</f>
        <v>46373</v>
      </c>
      <c r="Q43" s="69">
        <v>7</v>
      </c>
      <c r="R43" s="69">
        <v>14</v>
      </c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>
        <f>IF(AG43="","",WORKDAY(AG43-AF43+1,-1,{46329,46349,46384,46385,46386,46387,46388,46391,46398,46429,46441,46468}))</f>
        <v>46394</v>
      </c>
      <c r="AD43" s="68" cm="1">
        <f t="array" ref="AD43">IF(AG43="","",$AG43-$AF43)</f>
        <v>46394</v>
      </c>
      <c r="AE43" s="67"/>
      <c r="AF43" s="83">
        <v>28</v>
      </c>
      <c r="AG43" s="72">
        <v>46422</v>
      </c>
      <c r="AH43" s="71"/>
      <c r="AI43" s="70"/>
      <c r="AJ43" s="68"/>
      <c r="AK43" s="68"/>
      <c r="AL43" s="67"/>
      <c r="AM43" s="72"/>
      <c r="AN43" s="75" t="s">
        <v>119</v>
      </c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</row>
    <row r="44" spans="1:64" ht="25.5" customHeight="1">
      <c r="A44" s="10" cm="1">
        <f t="array" ref="A44">A43+1</f>
        <v>33</v>
      </c>
      <c r="B44" s="11" t="inlineStr">
        <is>
          <t>MIDIC-3</t>
        </is>
      </c>
      <c r="C44" s="18" t="inlineStr">
        <is>
          <t>西側　ステンレスカウンター</t>
        </is>
      </c>
      <c r="D44" s="72"/>
      <c r="E44" s="71"/>
      <c r="F44" s="70">
        <f>IF(AG44="","",WORKDAY(I44-H44+1,-1,{46329,46349,46384,46385,46386,46387,46388,46391,46398,46429,46441,46468}))</f>
        <v>46328</v>
      </c>
      <c r="G44" s="67"/>
      <c r="H44" s="65">
        <v>7</v>
      </c>
      <c r="I44" s="68">
        <f>IF(AG44="","",WORKDAY(P44-K44+1,-1,{46329,46349,46384,46385,46386,46387,46388,46391,46398,46429,46441,46468}))</f>
        <v>46335</v>
      </c>
      <c r="J44" s="67"/>
      <c r="K44" s="65">
        <v>7</v>
      </c>
      <c r="L44" s="68"/>
      <c r="M44" s="68"/>
      <c r="N44" s="68"/>
      <c r="O44" s="68"/>
      <c r="P44" s="68">
        <f>IF(AG44="","",WORKDAY(AC44-R44-Q44+1,-1,{46329,46349,46384,46385,46386,46387,46388,46391,46398,46429,46441,46468}))</f>
        <v>46342</v>
      </c>
      <c r="Q44" s="69">
        <v>7</v>
      </c>
      <c r="R44" s="69">
        <v>14</v>
      </c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>
        <f>IF(AG44="","",WORKDAY(AG44-AF44+1,-1,{46329,46349,46384,46385,46386,46387,46388,46391,46398,46429,46441,46468}))</f>
        <v>46363</v>
      </c>
      <c r="AD44" s="68" cm="1">
        <f t="array" ref="AD44">IF(AG44="","",$AG44-$AF44)</f>
        <v>46363</v>
      </c>
      <c r="AE44" s="67"/>
      <c r="AF44" s="83">
        <v>14</v>
      </c>
      <c r="AG44" s="72">
        <v>46377</v>
      </c>
      <c r="AH44" s="71"/>
      <c r="AI44" s="70"/>
      <c r="AJ44" s="68"/>
      <c r="AK44" s="68"/>
      <c r="AL44" s="67"/>
      <c r="AM44" s="72"/>
      <c r="AN44" s="75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</row>
    <row r="45" spans="1:64" ht="25.5" customHeight="1">
      <c r="A45" s="10" cm="1">
        <f t="array" ref="A45">A44+1</f>
        <v>34</v>
      </c>
      <c r="B45" s="11" t="inlineStr">
        <is>
          <t>MIDIC-4</t>
        </is>
      </c>
      <c r="C45" s="18" t="inlineStr">
        <is>
          <t>西側・正面　木パネル貼り</t>
        </is>
      </c>
      <c r="D45" s="72"/>
      <c r="E45" s="71"/>
      <c r="F45" s="70">
        <f>IF(AG45="","",WORKDAY(I45-H45+1,-1,{46329,46349,46384,46385,46386,46387,46388,46391,46398,46429,46441,46468}))</f>
        <v>46359</v>
      </c>
      <c r="G45" s="67"/>
      <c r="H45" s="65">
        <v>7</v>
      </c>
      <c r="I45" s="68">
        <f>IF(AG45="","",WORKDAY(P45-K45+1,-1,{46329,46349,46384,46385,46386,46387,46388,46391,46398,46429,46441,46468}))</f>
        <v>46366</v>
      </c>
      <c r="J45" s="67"/>
      <c r="K45" s="65">
        <v>7</v>
      </c>
      <c r="L45" s="68"/>
      <c r="M45" s="68"/>
      <c r="N45" s="68"/>
      <c r="O45" s="68"/>
      <c r="P45" s="68">
        <f>IF(AG45="","",WORKDAY(AC45-R45-Q45+1,-1,{46329,46349,46384,46385,46386,46387,46388,46391,46398,46429,46441,46468}))</f>
        <v>46373</v>
      </c>
      <c r="Q45" s="69">
        <v>7</v>
      </c>
      <c r="R45" s="69">
        <v>14</v>
      </c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>
        <f>IF(AG45="","",WORKDAY(AG45-AF45+1,-1,{46329,46349,46384,46385,46386,46387,46388,46391,46398,46429,46441,46468}))</f>
        <v>46394</v>
      </c>
      <c r="AD45" s="68" cm="1">
        <f t="array" ref="AD45">IF(AG45="","",$AG45-$AF45)</f>
        <v>46394</v>
      </c>
      <c r="AE45" s="67"/>
      <c r="AF45" s="83">
        <v>21</v>
      </c>
      <c r="AG45" s="72">
        <v>46415</v>
      </c>
      <c r="AH45" s="71"/>
      <c r="AI45" s="70"/>
      <c r="AJ45" s="68"/>
      <c r="AK45" s="68"/>
      <c r="AL45" s="67"/>
      <c r="AM45" s="72"/>
      <c r="AN45" s="75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</row>
    <row r="46" spans="1:64" ht="25.5" customHeight="1">
      <c r="A46" s="10" cm="1">
        <f t="array" ref="A46">A45+1</f>
        <v>35</v>
      </c>
      <c r="B46" s="11" t="inlineStr">
        <is>
          <t>MIDIC-5</t>
        </is>
      </c>
      <c r="C46" s="18" t="inlineStr">
        <is>
          <t>東側　窓際カウンター</t>
        </is>
      </c>
      <c r="D46" s="72"/>
      <c r="E46" s="71"/>
      <c r="F46" s="70">
        <f>IF(AG46="","",WORKDAY(I46-H46+1,-1,{46329,46349,46384,46385,46386,46387,46388,46391,46398,46429,46441,46468}))</f>
        <v>46393</v>
      </c>
      <c r="G46" s="67"/>
      <c r="H46" s="65">
        <v>7</v>
      </c>
      <c r="I46" s="68">
        <f>IF(AG46="","",WORKDAY(P46-K46+1,-1,{46329,46349,46384,46385,46386,46387,46388,46391,46398,46429,46441,46468}))</f>
        <v>46400</v>
      </c>
      <c r="J46" s="67"/>
      <c r="K46" s="65">
        <v>7</v>
      </c>
      <c r="L46" s="68"/>
      <c r="M46" s="68"/>
      <c r="N46" s="68"/>
      <c r="O46" s="68"/>
      <c r="P46" s="68">
        <f>IF(AG46="","",WORKDAY(AC46-R46-Q46+1,-1,{46329,46349,46384,46385,46386,46387,46388,46391,46398,46429,46441,46468}))</f>
        <v>46407</v>
      </c>
      <c r="Q46" s="69">
        <v>7</v>
      </c>
      <c r="R46" s="69">
        <v>14</v>
      </c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>
        <f>IF(AG46="","",WORKDAY(AG46-AF46+1,-1,{46329,46349,46384,46385,46386,46387,46388,46391,46398,46429,46441,46468}))</f>
        <v>46428</v>
      </c>
      <c r="AD46" s="68" cm="1">
        <f t="array" ref="AD46">IF(AG46="","",$AG46-$AF46)</f>
        <v>46428</v>
      </c>
      <c r="AE46" s="67"/>
      <c r="AF46" s="83">
        <v>14</v>
      </c>
      <c r="AG46" s="72">
        <v>46442</v>
      </c>
      <c r="AH46" s="71"/>
      <c r="AI46" s="70"/>
      <c r="AJ46" s="68"/>
      <c r="AK46" s="68"/>
      <c r="AL46" s="67"/>
      <c r="AM46" s="72"/>
      <c r="AN46" s="75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</row>
    <row r="47" spans="1:64" ht="25.5" customHeight="1">
      <c r="A47" s="10" cm="1">
        <f t="array" ref="A47">A46+1</f>
        <v>36</v>
      </c>
      <c r="B47" s="11" t="inlineStr">
        <is>
          <t>MIDIC-6</t>
        </is>
      </c>
      <c r="C47" s="18" t="inlineStr">
        <is>
          <t>東側　下膳台</t>
        </is>
      </c>
      <c r="D47" s="72"/>
      <c r="E47" s="71"/>
      <c r="F47" s="70">
        <f>IF(AG47="","",WORKDAY(I47-H47+1,-1,{46329,46349,46384,46385,46386,46387,46388,46391,46398,46429,46441,46468}))</f>
        <v>46393</v>
      </c>
      <c r="G47" s="67"/>
      <c r="H47" s="65">
        <v>7</v>
      </c>
      <c r="I47" s="68">
        <f>IF(AG47="","",WORKDAY(P47-K47+1,-1,{46329,46349,46384,46385,46386,46387,46388,46391,46398,46429,46441,46468}))</f>
        <v>46400</v>
      </c>
      <c r="J47" s="67"/>
      <c r="K47" s="65">
        <v>7</v>
      </c>
      <c r="L47" s="68"/>
      <c r="M47" s="68"/>
      <c r="N47" s="68"/>
      <c r="O47" s="68"/>
      <c r="P47" s="68">
        <f>IF(AG47="","",WORKDAY(AC47-R47-Q47+1,-1,{46329,46349,46384,46385,46386,46387,46388,46391,46398,46429,46441,46468}))</f>
        <v>46407</v>
      </c>
      <c r="Q47" s="69">
        <v>7</v>
      </c>
      <c r="R47" s="69">
        <v>14</v>
      </c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>
        <f>IF(AG47="","",WORKDAY(AG47-AF47+1,-1,{46329,46349,46384,46385,46386,46387,46388,46391,46398,46429,46441,46468}))</f>
        <v>46428</v>
      </c>
      <c r="AD47" s="68" cm="1">
        <f t="array" ref="AD47">IF(AG47="","",$AG47-$AF47)</f>
        <v>46428</v>
      </c>
      <c r="AE47" s="67"/>
      <c r="AF47" s="83">
        <v>14</v>
      </c>
      <c r="AG47" s="72">
        <v>46442</v>
      </c>
      <c r="AH47" s="71"/>
      <c r="AI47" s="70"/>
      <c r="AJ47" s="68"/>
      <c r="AK47" s="68"/>
      <c r="AL47" s="67"/>
      <c r="AM47" s="72"/>
      <c r="AN47" s="75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 spans="1:64" ht="25.5" customHeight="1">
      <c r="A48" s="10" cm="1">
        <f t="array" ref="A48">A47+1</f>
        <v>37</v>
      </c>
      <c r="B48" s="11" t="inlineStr">
        <is>
          <t>MIDIC-7</t>
        </is>
      </c>
      <c r="C48" s="18" t="inlineStr">
        <is>
          <t>東側　腰壁</t>
        </is>
      </c>
      <c r="D48" s="72"/>
      <c r="E48" s="71"/>
      <c r="F48" s="70">
        <f>IF(AG48="","",WORKDAY(I48-H48+1,-1,{46329,46349,46384,46385,46386,46387,46388,46391,46398,46429,46441,46468}))</f>
        <v>46367</v>
      </c>
      <c r="G48" s="67"/>
      <c r="H48" s="65">
        <v>7</v>
      </c>
      <c r="I48" s="68">
        <f>IF(AG48="","",WORKDAY(P48-K48+1,-1,{46329,46349,46384,46385,46386,46387,46388,46391,46398,46429,46441,46468}))</f>
        <v>46374</v>
      </c>
      <c r="J48" s="67"/>
      <c r="K48" s="65">
        <v>7</v>
      </c>
      <c r="L48" s="68"/>
      <c r="M48" s="68"/>
      <c r="N48" s="68"/>
      <c r="O48" s="68"/>
      <c r="P48" s="68">
        <f>IF(AG48="","",WORKDAY(AC48-R48-Q48+1,-1,{46329,46349,46384,46385,46386,46387,46388,46391,46398,46429,46441,46468}))</f>
        <v>46381</v>
      </c>
      <c r="Q48" s="69">
        <v>7</v>
      </c>
      <c r="R48" s="69">
        <v>14</v>
      </c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>
        <f>IF(AG48="","",WORKDAY(AG48-AF48+1,-1,{46329,46349,46384,46385,46386,46387,46388,46391,46398,46429,46441,46468}))</f>
        <v>46405</v>
      </c>
      <c r="AD48" s="68" cm="1">
        <f t="array" ref="AD48">IF(AG48="","",$AG48-$AF48)</f>
        <v>46405</v>
      </c>
      <c r="AE48" s="67"/>
      <c r="AF48" s="83">
        <v>14</v>
      </c>
      <c r="AG48" s="72">
        <v>46419</v>
      </c>
      <c r="AH48" s="71"/>
      <c r="AI48" s="70"/>
      <c r="AJ48" s="68"/>
      <c r="AK48" s="68"/>
      <c r="AL48" s="67"/>
      <c r="AM48" s="72"/>
      <c r="AN48" s="75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 spans="1:64" ht="25.5" customHeight="1">
      <c r="A49" s="10" cm="1">
        <f t="array" ref="A49">A48+1</f>
        <v>38</v>
      </c>
      <c r="B49" s="11" t="inlineStr">
        <is>
          <t>MIDIC-8</t>
        </is>
      </c>
      <c r="C49" s="18" t="inlineStr">
        <is>
          <t>正面　手洗いカウンター</t>
        </is>
      </c>
      <c r="D49" s="72"/>
      <c r="E49" s="71"/>
      <c r="F49" s="70">
        <f>IF(AG49="","",WORKDAY(I49-H49+1,-1,{46329,46349,46384,46385,46386,46387,46388,46391,46398,46429,46441,46468}))</f>
        <v>46374</v>
      </c>
      <c r="G49" s="67"/>
      <c r="H49" s="65">
        <v>7</v>
      </c>
      <c r="I49" s="68">
        <f>IF(AG49="","",WORKDAY(P49-K49+1,-1,{46329,46349,46384,46385,46386,46387,46388,46391,46398,46429,46441,46468}))</f>
        <v>46381</v>
      </c>
      <c r="J49" s="67"/>
      <c r="K49" s="65">
        <v>7</v>
      </c>
      <c r="L49" s="68"/>
      <c r="M49" s="68"/>
      <c r="N49" s="68"/>
      <c r="O49" s="68"/>
      <c r="P49" s="68">
        <f>IF(AG49="","",WORKDAY(AC49-R49-Q49+1,-1,{46329,46349,46384,46385,46386,46387,46388,46391,46398,46429,46441,46468}))</f>
        <v>46395</v>
      </c>
      <c r="Q49" s="69">
        <v>7</v>
      </c>
      <c r="R49" s="69">
        <v>14</v>
      </c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>
        <f>IF(AG49="","",WORKDAY(AG49-AF49+1,-1,{46329,46349,46384,46385,46386,46387,46388,46391,46398,46429,46441,46468}))</f>
        <v>46419</v>
      </c>
      <c r="AD49" s="68" cm="1">
        <f t="array" ref="AD49">IF(AG49="","",$AG49-$AF49)</f>
        <v>46419</v>
      </c>
      <c r="AE49" s="67"/>
      <c r="AF49" s="83">
        <v>14</v>
      </c>
      <c r="AG49" s="72">
        <v>46433</v>
      </c>
      <c r="AH49" s="71"/>
      <c r="AI49" s="70"/>
      <c r="AJ49" s="68"/>
      <c r="AK49" s="68"/>
      <c r="AL49" s="67"/>
      <c r="AM49" s="72"/>
      <c r="AN49" s="75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 spans="1:64" ht="25.5" customHeight="1">
      <c r="A50" s="10" cm="1">
        <f t="array" ref="A50">A49+1</f>
        <v>39</v>
      </c>
      <c r="B50" s="11" t="inlineStr">
        <is>
          <t>MIDIC-9</t>
        </is>
      </c>
      <c r="C50" s="18" t="inlineStr">
        <is>
          <t>正面　鏡下地</t>
        </is>
      </c>
      <c r="D50" s="72"/>
      <c r="E50" s="71"/>
      <c r="F50" s="70">
        <f>IF(AG50="","",WORKDAY(I50-H50+1,-1,{46329,46349,46384,46385,46386,46387,46388,46391,46398,46429,46441,46468}))</f>
        <v>46381</v>
      </c>
      <c r="G50" s="67"/>
      <c r="H50" s="65">
        <v>7</v>
      </c>
      <c r="I50" s="68">
        <f>IF(AG50="","",WORKDAY(P50-K50+1,-1,{46329,46349,46384,46385,46386,46387,46388,46391,46398,46429,46441,46468}))</f>
        <v>46395</v>
      </c>
      <c r="J50" s="67"/>
      <c r="K50" s="65">
        <v>7</v>
      </c>
      <c r="L50" s="68"/>
      <c r="M50" s="68"/>
      <c r="N50" s="68"/>
      <c r="O50" s="68"/>
      <c r="P50" s="68">
        <f>IF(AG50="","",WORKDAY(AC50-R50-Q50+1,-1,{46329,46349,46384,46385,46386,46387,46388,46391,46398,46429,46441,46468}))</f>
        <v>46405</v>
      </c>
      <c r="Q50" s="69">
        <v>7</v>
      </c>
      <c r="R50" s="69">
        <v>14</v>
      </c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>
        <f>IF(AG50="","",WORKDAY(AG50-AF50+1,-1,{46329,46349,46384,46385,46386,46387,46388,46391,46398,46429,46441,46468}))</f>
        <v>46426</v>
      </c>
      <c r="AD50" s="68" cm="1">
        <f t="array" ref="AD50">IF(AG50="","",$AG50-$AF50)</f>
        <v>46426</v>
      </c>
      <c r="AE50" s="67"/>
      <c r="AF50" s="83">
        <v>7</v>
      </c>
      <c r="AG50" s="72">
        <v>46433</v>
      </c>
      <c r="AH50" s="71"/>
      <c r="AI50" s="70"/>
      <c r="AJ50" s="68"/>
      <c r="AK50" s="68"/>
      <c r="AL50" s="67"/>
      <c r="AM50" s="72"/>
      <c r="AN50" s="75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1" spans="1:64" ht="25.5" customHeight="1">
      <c r="A51" s="10" cm="1">
        <f t="array" ref="A51">A50+1</f>
        <v>40</v>
      </c>
      <c r="B51" s="11" t="inlineStr">
        <is>
          <t>MIDIC-10</t>
        </is>
      </c>
      <c r="C51" s="24" t="inlineStr">
        <is>
          <t>天井・壁　吸音ルーバー（ヒガノ）</t>
        </is>
      </c>
      <c r="D51" s="72"/>
      <c r="E51" s="71"/>
      <c r="F51" s="70">
        <f>IF(AG51="","",WORKDAY(I51-H51+1,-1,{46329,46349,46384,46385,46386,46387,46388,46391,46398,46429,46441,46468}))</f>
        <v>46280</v>
      </c>
      <c r="G51" s="67">
        <v>46300</v>
      </c>
      <c r="H51" s="65">
        <v>7</v>
      </c>
      <c r="I51" s="68">
        <f>IF(AG51="","",WORKDAY(P51-K51+1,-1,{46329,46349,46384,46385,46386,46387,46388,46391,46398,46429,46441,46468}))</f>
        <v>46287</v>
      </c>
      <c r="J51" s="67">
        <v>46302</v>
      </c>
      <c r="K51" s="65">
        <v>7</v>
      </c>
      <c r="L51" s="68">
        <v>46302</v>
      </c>
      <c r="M51" s="68">
        <v>46309</v>
      </c>
      <c r="N51" s="68"/>
      <c r="O51" s="68"/>
      <c r="P51" s="68">
        <f>IF(AG51="","",WORKDAY(AC51-R51-Q51+1,-1,{46329,46349,46384,46385,46386,46387,46388,46391,46398,46429,46441,46468}))</f>
        <v>46294</v>
      </c>
      <c r="Q51" s="69">
        <v>7</v>
      </c>
      <c r="R51" s="69">
        <v>14</v>
      </c>
      <c r="S51" s="68">
        <v>46318</v>
      </c>
      <c r="T51" s="68"/>
      <c r="U51" s="68"/>
      <c r="V51" s="68"/>
      <c r="W51" s="68"/>
      <c r="X51" s="68"/>
      <c r="Y51" s="68"/>
      <c r="Z51" s="68"/>
      <c r="AA51" s="68"/>
      <c r="AB51" s="67"/>
      <c r="AC51" s="70">
        <f>IF(AG51="","",WORKDAY(AG51-AF51+1,-1,{46329,46349,46384,46385,46386,46387,46388,46391,46398,46429,46441,46468}))</f>
        <v>46315</v>
      </c>
      <c r="AD51" s="68" cm="1">
        <f t="array" ref="AD51">IF(AG51="","",$AG51-$AF51)</f>
        <v>46315</v>
      </c>
      <c r="AE51" s="67"/>
      <c r="AF51" s="83">
        <v>90</v>
      </c>
      <c r="AG51" s="72">
        <v>46405</v>
      </c>
      <c r="AH51" s="71"/>
      <c r="AI51" s="70"/>
      <c r="AJ51" s="68"/>
      <c r="AK51" s="68"/>
      <c r="AL51" s="67"/>
      <c r="AM51" s="72"/>
      <c r="AN51" s="133" t="inlineStr">
        <is>
          <t>製作３か月、9/18～作図、発注済み</t>
        </is>
      </c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</row>
    <row r="52" spans="1:64" ht="25.5" customHeight="1">
      <c r="A52" s="10" cm="1">
        <f t="array" ref="A52">A51+1</f>
        <v>41</v>
      </c>
      <c r="B52" s="9"/>
      <c r="C52" s="19"/>
      <c r="D52" s="72"/>
      <c r="E52" s="71"/>
      <c r="F52" s="82" t="str">
        <f>IF(AG52="","",WORKDAY(I52-H52+1,-1,{46329,46349,46384,46385,46386,46387,46388,46391,46398,46429,46441,46468}))</f>
        <v/>
      </c>
      <c r="G52" s="67"/>
      <c r="H52" s="65"/>
      <c r="I52" s="66" t="str">
        <f>IF(AG52="","",WORKDAY(P52-K52+1,-1,{46329,46349,46384,46385,46386,46387,46388,46391,46398,46429,46441,46468}))</f>
        <v/>
      </c>
      <c r="J52" s="67"/>
      <c r="K52" s="65"/>
      <c r="L52" s="68"/>
      <c r="M52" s="68"/>
      <c r="N52" s="68"/>
      <c r="O52" s="68"/>
      <c r="P52" s="66" t="str">
        <f>IF(AG52="","",WORKDAY(AC52-R52-Q52+1,-1,{46329,46349,46384,46385,46386,46387,46388,46391,46398,46429,46441,46468}))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 t="str">
        <f>IF(AG52="","",WORKDAY(AG52-AF52+1,-1,{46329,46349,46384,46385,46386,46387,46388,46391,46398,46429,46441,46468}))</f>
        <v/>
      </c>
      <c r="AD52" s="66" cm="1" t="str">
        <f t="array" ref="AD52">IF(AG52="","",$AG52-$AF52)</f>
        <v/>
      </c>
      <c r="AE52" s="67"/>
      <c r="AF52" s="83"/>
      <c r="AG52" s="72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</row>
    <row r="53" spans="1:64" ht="25.5" customHeight="1">
      <c r="A53" s="10" cm="1">
        <f t="array" ref="A53">A52+1</f>
        <v>42</v>
      </c>
      <c r="B53" s="9"/>
      <c r="C53" s="18" t="s">
        <v>124</v>
      </c>
      <c r="D53" s="72"/>
      <c r="E53" s="71"/>
      <c r="F53" s="82" t="str">
        <f>IF(AG53="","",WORKDAY(I53-H53+1,-1,{46329,46349,46384,46385,46386,46387,46388,46391,46398,46429,46441,46468}))</f>
        <v/>
      </c>
      <c r="G53" s="67"/>
      <c r="H53" s="65"/>
      <c r="I53" s="66" t="str">
        <f>IF(AG53="","",WORKDAY(P53-K53+1,-1,{46329,46349,46384,46385,46386,46387,46388,46391,46398,46429,46441,46468}))</f>
        <v/>
      </c>
      <c r="J53" s="67"/>
      <c r="K53" s="65"/>
      <c r="L53" s="68"/>
      <c r="M53" s="68"/>
      <c r="N53" s="68"/>
      <c r="O53" s="68"/>
      <c r="P53" s="66" t="str">
        <f>IF(AG53="","",WORKDAY(AC53-R53-Q53+1,-1,{46329,46349,46384,46385,46386,46387,46388,46391,46398,46429,46441,46468}))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 t="str">
        <f>IF(AG53="","",WORKDAY(AG53-AF53+1,-1,{46329,46349,46384,46385,46386,46387,46388,46391,46398,46429,46441,46468}))</f>
        <v/>
      </c>
      <c r="AD53" s="66" cm="1" t="str">
        <f t="array" ref="AD53">IF(AG53="","",$AG53-$AF53)</f>
        <v/>
      </c>
      <c r="AE53" s="67"/>
      <c r="AF53" s="83"/>
      <c r="AG53" s="72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</row>
    <row r="54" spans="1:64" ht="25.5" customHeight="1">
      <c r="A54" s="10" cm="1">
        <f t="array" ref="A54">A53+1</f>
        <v>43</v>
      </c>
      <c r="B54" s="11" t="s">
        <v>125</v>
      </c>
      <c r="C54" s="18" t="s">
        <v>126</v>
      </c>
      <c r="D54" s="72"/>
      <c r="E54" s="71"/>
      <c r="F54" s="70">
        <f>IF(AG54="","",WORKDAY(I54-H54+1,-1,{46329,46349,46384,46385,46386,46387,46388,46391,46398,46429,46441,46468}))</f>
        <v>46317</v>
      </c>
      <c r="G54" s="67">
        <v>46276</v>
      </c>
      <c r="H54" s="65">
        <v>7</v>
      </c>
      <c r="I54" s="68">
        <f>IF(AG54="","",WORKDAY(P54-K54+1,-1,{46329,46349,46384,46385,46386,46387,46388,46391,46398,46429,46441,46468}))</f>
        <v>46324</v>
      </c>
      <c r="J54" s="67">
        <v>46291</v>
      </c>
      <c r="K54" s="65">
        <v>7</v>
      </c>
      <c r="L54" s="68"/>
      <c r="M54" s="68"/>
      <c r="N54" s="68"/>
      <c r="O54" s="68"/>
      <c r="P54" s="68">
        <f>IF(AG54="","",WORKDAY(AC54-R54-Q54+1,-1,{46329,46349,46384,46385,46386,46387,46388,46391,46398,46429,46441,46468}))</f>
        <v>46331</v>
      </c>
      <c r="Q54" s="69">
        <v>7</v>
      </c>
      <c r="R54" s="69">
        <v>14</v>
      </c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>
        <f>IF(AG54="","",WORKDAY(AG54-AF54+1,-1,{46329,46349,46384,46385,46386,46387,46388,46391,46398,46429,46441,46468}))</f>
        <v>46352</v>
      </c>
      <c r="AD54" s="68" cm="1">
        <f t="array" ref="AD54">IF(AG54="","",$AG54-$AF54)</f>
        <v>46352</v>
      </c>
      <c r="AE54" s="67"/>
      <c r="AF54" s="83">
        <v>60</v>
      </c>
      <c r="AG54" s="72">
        <v>46412</v>
      </c>
      <c r="AH54" s="71"/>
      <c r="AI54" s="70"/>
      <c r="AJ54" s="68"/>
      <c r="AK54" s="68"/>
      <c r="AL54" s="67"/>
      <c r="AM54" s="72"/>
      <c r="AN54" s="133" t="inlineStr">
        <is>
          <t>製作２か月、工程変更 1/25</t>
        </is>
      </c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</row>
    <row r="55" spans="1:64" ht="25.5" customHeight="1">
      <c r="A55" s="10" cm="1">
        <f t="array" ref="A55">A54+1</f>
        <v>44</v>
      </c>
      <c r="B55" s="9"/>
      <c r="C55" s="19"/>
      <c r="D55" s="72"/>
      <c r="E55" s="71"/>
      <c r="F55" s="82" t="str">
        <f>IF(AG55="","",WORKDAY(I55-H55+1,-1,{46329,46349,46384,46385,46386,46387,46388,46391,46398,46429,46441,46468}))</f>
        <v/>
      </c>
      <c r="G55" s="67"/>
      <c r="H55" s="65"/>
      <c r="I55" s="66" t="str">
        <f>IF(AG55="","",WORKDAY(P55-K55+1,-1,{46329,46349,46384,46385,46386,46387,46388,46391,46398,46429,46441,46468}))</f>
        <v/>
      </c>
      <c r="J55" s="67"/>
      <c r="K55" s="65"/>
      <c r="L55" s="68"/>
      <c r="M55" s="68"/>
      <c r="N55" s="68"/>
      <c r="O55" s="68"/>
      <c r="P55" s="66" t="str">
        <f>IF(AG55="","",WORKDAY(AC55-R55-Q55+1,-1,{46329,46349,46384,46385,46386,46387,46388,46391,46398,46429,46441,46468}))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 t="str">
        <f>IF(AG55="","",WORKDAY(AG55-AF55+1,-1,{46329,46349,46384,46385,46386,46387,46388,46391,46398,46429,46441,46468}))</f>
        <v/>
      </c>
      <c r="AD55" s="66" cm="1" t="str">
        <f t="array" ref="AD55">IF(AG55="","",$AG55-$AF55)</f>
        <v/>
      </c>
      <c r="AE55" s="67"/>
      <c r="AF55" s="83"/>
      <c r="AG55" s="72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</row>
    <row r="56" spans="1:64" ht="25.5" customHeight="1">
      <c r="A56" s="10" cm="1">
        <f t="array" ref="A56">A55+1</f>
        <v>45</v>
      </c>
      <c r="B56" s="9"/>
      <c r="C56" s="18" t="s">
        <v>128</v>
      </c>
      <c r="D56" s="72"/>
      <c r="E56" s="71"/>
      <c r="F56" s="82" t="str">
        <f>IF(AG56="","",WORKDAY(I56-H56+1,-1,{46329,46349,46384,46385,46386,46387,46388,46391,46398,46429,46441,46468}))</f>
        <v/>
      </c>
      <c r="G56" s="67"/>
      <c r="H56" s="65"/>
      <c r="I56" s="66" t="str">
        <f>IF(AG56="","",WORKDAY(P56-K56+1,-1,{46329,46349,46384,46385,46386,46387,46388,46391,46398,46429,46441,46468}))</f>
        <v/>
      </c>
      <c r="J56" s="67"/>
      <c r="K56" s="65"/>
      <c r="L56" s="68"/>
      <c r="M56" s="68"/>
      <c r="N56" s="68"/>
      <c r="O56" s="68"/>
      <c r="P56" s="66" t="str">
        <f>IF(AG56="","",WORKDAY(AC56-R56-Q56+1,-1,{46329,46349,46384,46385,46386,46387,46388,46391,46398,46429,46441,46468}))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 t="str">
        <f>IF(AG56="","",WORKDAY(AG56-AF56+1,-1,{46329,46349,46384,46385,46386,46387,46388,46391,46398,46429,46441,46468}))</f>
        <v/>
      </c>
      <c r="AD56" s="66" cm="1" t="str">
        <f t="array" ref="AD56">IF(AG56="","",$AG56-$AF56)</f>
        <v/>
      </c>
      <c r="AE56" s="67"/>
      <c r="AF56" s="83"/>
      <c r="AG56" s="72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</row>
    <row r="57" spans="1:64" ht="25.5" customHeight="1">
      <c r="A57" s="10" cm="1">
        <f t="array" ref="A57">A56+1</f>
        <v>46</v>
      </c>
      <c r="B57" s="11" t="s">
        <v>129</v>
      </c>
      <c r="C57" s="18" t="s">
        <v>130</v>
      </c>
      <c r="D57" s="72"/>
      <c r="E57" s="71"/>
      <c r="F57" s="70">
        <f>IF(AG57="","",WORKDAY(I57-H57+1,-1,{46329,46349,46384,46385,46386,46387,46388,46391,46398,46429,46441,46468}))</f>
        <v>46374</v>
      </c>
      <c r="G57" s="67">
        <v>46297</v>
      </c>
      <c r="H57" s="65">
        <v>7</v>
      </c>
      <c r="I57" s="68">
        <f>IF(AG57="","",WORKDAY(P57-K57+1,-1,{46329,46349,46384,46385,46386,46387,46388,46391,46398,46429,46441,46468}))</f>
        <v>46381</v>
      </c>
      <c r="J57" s="67">
        <v>46302</v>
      </c>
      <c r="K57" s="65">
        <v>7</v>
      </c>
      <c r="L57" s="68">
        <v>46302</v>
      </c>
      <c r="M57" s="68"/>
      <c r="N57" s="68"/>
      <c r="O57" s="68"/>
      <c r="P57" s="68">
        <f>IF(AG57="","",WORKDAY(AC57-R57-Q57+1,-1,{46329,46349,46384,46385,46386,46387,46388,46391,46398,46429,46441,46468}))</f>
        <v>46395</v>
      </c>
      <c r="Q57" s="69">
        <v>7</v>
      </c>
      <c r="R57" s="69">
        <v>14</v>
      </c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>
        <f>IF(AG57="","",WORKDAY(AG57-AF57+1,-1,{46329,46349,46384,46385,46386,46387,46388,46391,46398,46429,46441,46468}))</f>
        <v>46416</v>
      </c>
      <c r="AD57" s="68" cm="1">
        <f t="array" ref="AD57">IF(AG57="","",$AG57-$AF57)</f>
        <v>46417</v>
      </c>
      <c r="AE57" s="67"/>
      <c r="AF57" s="83">
        <v>30</v>
      </c>
      <c r="AG57" s="72">
        <v>46447</v>
      </c>
      <c r="AH57" s="71"/>
      <c r="AI57" s="70"/>
      <c r="AJ57" s="68"/>
      <c r="AK57" s="68"/>
      <c r="AL57" s="67"/>
      <c r="AM57" s="72"/>
      <c r="AN57" s="75" t="s">
        <v>119</v>
      </c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</row>
    <row r="58" spans="1:64" ht="25.5" customHeight="1">
      <c r="A58" s="10" cm="1">
        <f t="array" ref="A58">A57+1</f>
        <v>47</v>
      </c>
      <c r="B58" s="9"/>
      <c r="C58" s="19"/>
      <c r="D58" s="72"/>
      <c r="E58" s="71"/>
      <c r="F58" s="82" t="str">
        <f>IF(AG58="","",WORKDAY(I58-H58+1,-1,{46329,46349,46384,46385,46386,46387,46388,46391,46398,46429,46441,46468}))</f>
        <v/>
      </c>
      <c r="G58" s="67"/>
      <c r="H58" s="65"/>
      <c r="I58" s="66" t="str">
        <f>IF(AG58="","",WORKDAY(P58-K58+1,-1,{46329,46349,46384,46385,46386,46387,46388,46391,46398,46429,46441,46468}))</f>
        <v/>
      </c>
      <c r="J58" s="67"/>
      <c r="K58" s="65"/>
      <c r="L58" s="68"/>
      <c r="M58" s="68"/>
      <c r="N58" s="68"/>
      <c r="O58" s="68"/>
      <c r="P58" s="66" t="str">
        <f>IF(AG58="","",WORKDAY(AC58-R58-Q58+1,-1,{46329,46349,46384,46385,46386,46387,46388,46391,46398,46429,46441,46468}))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 t="str">
        <f>IF(AG58="","",WORKDAY(AG58-AF58+1,-1,{46329,46349,46384,46385,46386,46387,46388,46391,46398,46429,46441,46468}))</f>
        <v/>
      </c>
      <c r="AD58" s="66" cm="1" t="str">
        <f t="array" ref="AD58">IF(AG58="","",$AG58-$AF58)</f>
        <v/>
      </c>
      <c r="AE58" s="67"/>
      <c r="AF58" s="83"/>
      <c r="AG58" s="72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</row>
    <row r="59" spans="1:64" ht="25.5" customHeight="1">
      <c r="A59" s="10" cm="1">
        <f t="array" ref="A59">A58+1</f>
        <v>48</v>
      </c>
      <c r="B59" s="9"/>
      <c r="C59" s="18" t="s">
        <v>131</v>
      </c>
      <c r="D59" s="72"/>
      <c r="E59" s="71"/>
      <c r="F59" s="82" t="str">
        <f>IF(AG59="","",WORKDAY(I59-H59+1,-1,{46329,46349,46384,46385,46386,46387,46388,46391,46398,46429,46441,46468}))</f>
        <v/>
      </c>
      <c r="G59" s="67"/>
      <c r="H59" s="65"/>
      <c r="I59" s="66" t="str">
        <f>IF(AG59="","",WORKDAY(P59-K59+1,-1,{46329,46349,46384,46385,46386,46387,46388,46391,46398,46429,46441,46468}))</f>
        <v/>
      </c>
      <c r="J59" s="67"/>
      <c r="K59" s="65"/>
      <c r="L59" s="68"/>
      <c r="M59" s="68"/>
      <c r="N59" s="68"/>
      <c r="O59" s="68"/>
      <c r="P59" s="66" t="str">
        <f>IF(AG59="","",WORKDAY(AC59-R59-Q59+1,-1,{46329,46349,46384,46385,46386,46387,46388,46391,46398,46429,46441,46468}))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 t="str">
        <f>IF(AG59="","",WORKDAY(AG59-AF59+1,-1,{46329,46349,46384,46385,46386,46387,46388,46391,46398,46429,46441,46468}))</f>
        <v/>
      </c>
      <c r="AD59" s="66" cm="1" t="str">
        <f t="array" ref="AD59">IF(AG59="","",$AG59-$AF59)</f>
        <v/>
      </c>
      <c r="AE59" s="67"/>
      <c r="AF59" s="83"/>
      <c r="AG59" s="72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</row>
    <row r="60" spans="1:64" ht="25.5" customHeight="1">
      <c r="A60" s="10" cm="1">
        <f t="array" ref="A60">A59+1</f>
        <v>49</v>
      </c>
      <c r="B60" s="11" t="s">
        <v>132</v>
      </c>
      <c r="C60" s="18" t="s">
        <v>133</v>
      </c>
      <c r="D60" s="72"/>
      <c r="E60" s="71"/>
      <c r="F60" s="70">
        <f>IF(AG60="","",WORKDAY(I60-H60+1,-1,{46329,46349,46384,46385,46386,46387,46388,46391,46398,46429,46441,46468}))</f>
        <v>46395</v>
      </c>
      <c r="G60" s="67"/>
      <c r="H60" s="65">
        <v>7</v>
      </c>
      <c r="I60" s="68">
        <f>IF(AG60="","",WORKDAY(P60-K60+1,-1,{46329,46349,46384,46385,46386,46387,46388,46391,46398,46429,46441,46468}))</f>
        <v>46402</v>
      </c>
      <c r="J60" s="67"/>
      <c r="K60" s="65">
        <v>7</v>
      </c>
      <c r="L60" s="68"/>
      <c r="M60" s="68"/>
      <c r="N60" s="68"/>
      <c r="O60" s="68"/>
      <c r="P60" s="68">
        <f>IF(AG60="","",WORKDAY(AC60-R60-Q60+1,-1,{46329,46349,46384,46385,46386,46387,46388,46391,46398,46429,46441,46468}))</f>
        <v>46409</v>
      </c>
      <c r="Q60" s="69">
        <v>7</v>
      </c>
      <c r="R60" s="69">
        <v>14</v>
      </c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>
        <f>IF(AG60="","",WORKDAY(AG60-AF60+1,-1,{46329,46349,46384,46385,46386,46387,46388,46391,46398,46429,46441,46468}))</f>
        <v>46430</v>
      </c>
      <c r="AD60" s="68" cm="1">
        <f t="array" ref="AD60">IF(AG60="","",$AG60-$AF60)</f>
        <v>46432</v>
      </c>
      <c r="AE60" s="67"/>
      <c r="AF60" s="83">
        <v>30</v>
      </c>
      <c r="AG60" s="72">
        <v>46462</v>
      </c>
      <c r="AH60" s="71"/>
      <c r="AI60" s="70"/>
      <c r="AJ60" s="68"/>
      <c r="AK60" s="68"/>
      <c r="AL60" s="67"/>
      <c r="AM60" s="72"/>
      <c r="AN60" s="75" t="s">
        <v>134</v>
      </c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</row>
    <row r="61" spans="1:64" ht="25.5" customHeight="1">
      <c r="A61" s="10" cm="1">
        <f t="array" ref="A61">A60+1</f>
        <v>50</v>
      </c>
      <c r="B61" s="9"/>
      <c r="C61" s="18"/>
      <c r="D61" s="72"/>
      <c r="E61" s="71"/>
      <c r="F61" s="82" t="str">
        <f>IF(AG61="","",WORKDAY(I61-H61+1,-1,{46329,46349,46384,46385,46386,46387,46388,46391,46398,46429,46441,46468}))</f>
        <v/>
      </c>
      <c r="G61" s="67"/>
      <c r="H61" s="65"/>
      <c r="I61" s="66" t="str">
        <f>IF(AG61="","",WORKDAY(P61-K61+1,-1,{46329,46349,46384,46385,46386,46387,46388,46391,46398,46429,46441,46468}))</f>
        <v/>
      </c>
      <c r="J61" s="67"/>
      <c r="K61" s="65"/>
      <c r="L61" s="68"/>
      <c r="M61" s="68"/>
      <c r="N61" s="68"/>
      <c r="O61" s="68"/>
      <c r="P61" s="66" t="str">
        <f>IF(AG61="","",WORKDAY(AC61-R61-Q61+1,-1,{46329,46349,46384,46385,46386,46387,46388,46391,46398,46429,46441,46468}))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 t="str">
        <f>IF(AG61="","",WORKDAY(AG61-AF61+1,-1,{46329,46349,46384,46385,46386,46387,46388,46391,46398,46429,46441,46468}))</f>
        <v/>
      </c>
      <c r="AD61" s="66" cm="1" t="str">
        <f t="array" ref="AD61">IF(AG61="","",$AG61-$AF61)</f>
        <v/>
      </c>
      <c r="AE61" s="67"/>
      <c r="AF61" s="83"/>
      <c r="AG61" s="72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</row>
    <row r="62" spans="1:64" ht="25.5" customHeight="1">
      <c r="A62" s="10" cm="1">
        <f t="array" ref="A62">A61+1</f>
        <v>51</v>
      </c>
      <c r="B62" s="9"/>
      <c r="C62" s="19"/>
      <c r="D62" s="72"/>
      <c r="E62" s="71"/>
      <c r="F62" s="82" t="str">
        <f>IF(AG62="","",WORKDAY(I62-H62+1,-1,{46329,46349,46384,46385,46386,46387,46388,46391,46398,46429,46441,46468}))</f>
        <v/>
      </c>
      <c r="G62" s="67"/>
      <c r="H62" s="65"/>
      <c r="I62" s="66" t="str">
        <f>IF(AG62="","",WORKDAY(P62-K62+1,-1,{46329,46349,46384,46385,46386,46387,46388,46391,46398,46429,46441,46468}))</f>
        <v/>
      </c>
      <c r="J62" s="67"/>
      <c r="K62" s="65"/>
      <c r="L62" s="68"/>
      <c r="M62" s="68"/>
      <c r="N62" s="68"/>
      <c r="O62" s="68"/>
      <c r="P62" s="66" t="str">
        <f>IF(AG62="","",WORKDAY(AC62-R62-Q62+1,-1,{46329,46349,46384,46385,46386,46387,46388,46391,46398,46429,46441,46468}))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 t="str">
        <f>IF(AG62="","",WORKDAY(AG62-AF62+1,-1,{46329,46349,46384,46385,46386,46387,46388,46391,46398,46429,46441,46468}))</f>
        <v/>
      </c>
      <c r="AD62" s="66" cm="1" t="str">
        <f t="array" ref="AD62">IF(AG62="","",$AG62-$AF62)</f>
        <v/>
      </c>
      <c r="AE62" s="67"/>
      <c r="AF62" s="83"/>
      <c r="AG62" s="72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</row>
    <row r="63" spans="1:64" ht="25.5" customHeight="1">
      <c r="A63" s="10" cm="1">
        <f t="array" ref="A63">A62+1</f>
        <v>52</v>
      </c>
      <c r="B63" s="9"/>
      <c r="C63" s="19"/>
      <c r="D63" s="72"/>
      <c r="E63" s="71"/>
      <c r="F63" s="82" t="str">
        <f>IF(AG63="","",WORKDAY(I63-H63+1,-1,{46329,46349,46384,46385,46386,46387,46388,46391,46398,46429,46441,46468}))</f>
        <v/>
      </c>
      <c r="G63" s="67"/>
      <c r="H63" s="65"/>
      <c r="I63" s="66" t="str">
        <f>IF(AG63="","",WORKDAY(P63-K63+1,-1,{46329,46349,46384,46385,46386,46387,46388,46391,46398,46429,46441,46468}))</f>
        <v/>
      </c>
      <c r="J63" s="67"/>
      <c r="K63" s="65"/>
      <c r="L63" s="68"/>
      <c r="M63" s="68"/>
      <c r="N63" s="68"/>
      <c r="O63" s="68"/>
      <c r="P63" s="66" t="str">
        <f>IF(AG63="","",WORKDAY(AC63-R63-Q63+1,-1,{46329,46349,46384,46385,46386,46387,46388,46391,46398,46429,46441,46468}))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 t="str">
        <f>IF(AG63="","",WORKDAY(AG63-AF63+1,-1,{46329,46349,46384,46385,46386,46387,46388,46391,46398,46429,46441,46468}))</f>
        <v/>
      </c>
      <c r="AD63" s="66" cm="1" t="str">
        <f t="array" ref="AD63">IF(AG63="","",$AG63-$AF63)</f>
        <v/>
      </c>
      <c r="AE63" s="67"/>
      <c r="AF63" s="83"/>
      <c r="AG63" s="72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</row>
    <row r="64" spans="1:64" ht="25.5" customHeight="1">
      <c r="A64" s="10" cm="1">
        <f t="array" ref="A64">A63+1</f>
        <v>53</v>
      </c>
      <c r="B64" s="9"/>
      <c r="C64" s="19"/>
      <c r="D64" s="72"/>
      <c r="E64" s="71"/>
      <c r="F64" s="82" t="str">
        <f>IF(AG64="","",WORKDAY(I64-H64+1,-1,{46329,46349,46384,46385,46386,46387,46388,46391,46398,46429,46441,46468}))</f>
        <v/>
      </c>
      <c r="G64" s="67"/>
      <c r="H64" s="65"/>
      <c r="I64" s="66" t="str">
        <f>IF(AG64="","",WORKDAY(P64-K64+1,-1,{46329,46349,46384,46385,46386,46387,46388,46391,46398,46429,46441,46468}))</f>
        <v/>
      </c>
      <c r="J64" s="67"/>
      <c r="K64" s="65"/>
      <c r="L64" s="68"/>
      <c r="M64" s="68"/>
      <c r="N64" s="68"/>
      <c r="O64" s="68"/>
      <c r="P64" s="66" t="str">
        <f>IF(AG64="","",WORKDAY(AC64-R64-Q64+1,-1,{46329,46349,46384,46385,46386,46387,46388,46391,46398,46429,46441,46468}))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 t="str">
        <f>IF(AG64="","",WORKDAY(AG64-AF64+1,-1,{46329,46349,46384,46385,46386,46387,46388,46391,46398,46429,46441,46468}))</f>
        <v/>
      </c>
      <c r="AD64" s="66" cm="1" t="str">
        <f t="array" ref="AD64">IF(AG64="","",$AG64-$AF64)</f>
        <v/>
      </c>
      <c r="AE64" s="67"/>
      <c r="AF64" s="83"/>
      <c r="AG64" s="72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 spans="1:64" ht="25.5" customHeight="1">
      <c r="A65" s="10" cm="1">
        <f t="array" ref="A65">A64+1</f>
        <v>54</v>
      </c>
      <c r="B65" s="9"/>
      <c r="C65" s="19"/>
      <c r="D65" s="72"/>
      <c r="E65" s="71"/>
      <c r="F65" s="82" t="str">
        <f>IF(AG65="","",WORKDAY(I65-H65+1,-1,{46329,46349,46384,46385,46386,46387,46388,46391,46398,46429,46441,46468}))</f>
        <v/>
      </c>
      <c r="G65" s="67"/>
      <c r="H65" s="65"/>
      <c r="I65" s="66" t="str">
        <f>IF(AG65="","",WORKDAY(P65-K65+1,-1,{46329,46349,46384,46385,46386,46387,46388,46391,46398,46429,46441,46468}))</f>
        <v/>
      </c>
      <c r="J65" s="67"/>
      <c r="K65" s="65"/>
      <c r="L65" s="68"/>
      <c r="M65" s="68"/>
      <c r="N65" s="68"/>
      <c r="O65" s="68"/>
      <c r="P65" s="66" t="str">
        <f>IF(AG65="","",WORKDAY(AC65-R65-Q65+1,-1,{46329,46349,46384,46385,46386,46387,46388,46391,46398,46429,46441,46468}))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 t="str">
        <f>IF(AG65="","",WORKDAY(AG65-AF65+1,-1,{46329,46349,46384,46385,46386,46387,46388,46391,46398,46429,46441,46468}))</f>
        <v/>
      </c>
      <c r="AD65" s="66" cm="1" t="str">
        <f t="array" ref="AD65">IF(AG65="","",$AG65-$AF65)</f>
        <v/>
      </c>
      <c r="AE65" s="67"/>
      <c r="AF65" s="83"/>
      <c r="AG65" s="72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</row>
    <row r="66" spans="1:64" ht="25.5" customHeight="1">
      <c r="A66" s="10" cm="1">
        <f t="array" ref="A66">A65+1</f>
        <v>55</v>
      </c>
      <c r="B66" s="9"/>
      <c r="C66" s="19"/>
      <c r="D66" s="72"/>
      <c r="E66" s="71"/>
      <c r="F66" s="82" t="str">
        <f>IF(AG66="","",WORKDAY(I66-H66+1,-1,{46329,46349,46384,46385,46386,46387,46388,46391,46398,46429,46441,46468}))</f>
        <v/>
      </c>
      <c r="G66" s="67"/>
      <c r="H66" s="65"/>
      <c r="I66" s="66" t="str">
        <f>IF(AG66="","",WORKDAY(P66-K66+1,-1,{46329,46349,46384,46385,46386,46387,46388,46391,46398,46429,46441,46468}))</f>
        <v/>
      </c>
      <c r="J66" s="67"/>
      <c r="K66" s="65"/>
      <c r="L66" s="68"/>
      <c r="M66" s="68"/>
      <c r="N66" s="68"/>
      <c r="O66" s="68"/>
      <c r="P66" s="66" t="str">
        <f>IF(AG66="","",WORKDAY(AC66-R66-Q66+1,-1,{46329,46349,46384,46385,46386,46387,46388,46391,46398,46429,46441,46468}))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 t="str">
        <f>IF(AG66="","",WORKDAY(AG66-AF66+1,-1,{46329,46349,46384,46385,46386,46387,46388,46391,46398,46429,46441,46468}))</f>
        <v/>
      </c>
      <c r="AD66" s="66" cm="1" t="str">
        <f t="array" ref="AD66">IF(AG66="","",$AG66-$AF66)</f>
        <v/>
      </c>
      <c r="AE66" s="67"/>
      <c r="AF66" s="83"/>
      <c r="AG66" s="72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</row>
    <row r="67" spans="1:64" ht="25.5" customHeight="1">
      <c r="A67" s="10" cm="1">
        <f t="array" ref="A67">A66+1</f>
        <v>56</v>
      </c>
      <c r="B67" s="9"/>
      <c r="C67" s="19"/>
      <c r="D67" s="72"/>
      <c r="E67" s="71"/>
      <c r="F67" s="82" t="str">
        <f>IF(AG67="","",WORKDAY(I67-H67+1,-1,{46329,46349,46384,46385,46386,46387,46388,46391,46398,46429,46441,46468}))</f>
        <v/>
      </c>
      <c r="G67" s="67"/>
      <c r="H67" s="65"/>
      <c r="I67" s="66" t="str">
        <f>IF(AG67="","",WORKDAY(P67-K67+1,-1,{46329,46349,46384,46385,46386,46387,46388,46391,46398,46429,46441,46468}))</f>
        <v/>
      </c>
      <c r="J67" s="67"/>
      <c r="K67" s="65"/>
      <c r="L67" s="68"/>
      <c r="M67" s="68"/>
      <c r="N67" s="68"/>
      <c r="O67" s="68"/>
      <c r="P67" s="66" t="str">
        <f>IF(AG67="","",WORKDAY(AC67-R67-Q67+1,-1,{46329,46349,46384,46385,46386,46387,46388,46391,46398,46429,46441,46468}))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 t="str">
        <f>IF(AG67="","",WORKDAY(AG67-AF67+1,-1,{46329,46349,46384,46385,46386,46387,46388,46391,46398,46429,46441,46468}))</f>
        <v/>
      </c>
      <c r="AD67" s="66" cm="1" t="str">
        <f t="array" ref="AD67">IF(AG67="","",$AG67-$AF67)</f>
        <v/>
      </c>
      <c r="AE67" s="67"/>
      <c r="AF67" s="83"/>
      <c r="AG67" s="72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 spans="1:64" ht="25.5" customHeight="1">
      <c r="A68" s="10" cm="1">
        <f t="array" ref="A68">A67+1</f>
        <v>57</v>
      </c>
      <c r="B68" s="9"/>
      <c r="C68" s="19"/>
      <c r="D68" s="72"/>
      <c r="E68" s="71"/>
      <c r="F68" s="82" t="str">
        <f>IF(AG68="","",WORKDAY(I68-H68+1,-1,{46329,46349,46384,46385,46386,46387,46388,46391,46398,46429,46441,46468}))</f>
        <v/>
      </c>
      <c r="G68" s="67"/>
      <c r="H68" s="65"/>
      <c r="I68" s="66" t="str">
        <f>IF(AG68="","",WORKDAY(P68-K68+1,-1,{46329,46349,46384,46385,46386,46387,46388,46391,46398,46429,46441,46468}))</f>
        <v/>
      </c>
      <c r="J68" s="67"/>
      <c r="K68" s="65"/>
      <c r="L68" s="68"/>
      <c r="M68" s="68"/>
      <c r="N68" s="68"/>
      <c r="O68" s="68"/>
      <c r="P68" s="66" t="str">
        <f>IF(AG68="","",WORKDAY(AC68-R68-Q68+1,-1,{46329,46349,46384,46385,46386,46387,46388,46391,46398,46429,46441,46468}))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 t="str">
        <f>IF(AG68="","",WORKDAY(AG68-AF68+1,-1,{46329,46349,46384,46385,46386,46387,46388,46391,46398,46429,46441,46468}))</f>
        <v/>
      </c>
      <c r="AD68" s="66" cm="1" t="str">
        <f t="array" ref="AD68">IF(AG68="","",$AG68-$AF68)</f>
        <v/>
      </c>
      <c r="AE68" s="67"/>
      <c r="AF68" s="83"/>
      <c r="AG68" s="72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 spans="1:64" ht="25.5" customHeight="1">
      <c r="A69" s="10" cm="1">
        <f t="array" ref="A69">A68+1</f>
        <v>58</v>
      </c>
      <c r="B69" s="9"/>
      <c r="C69" s="18"/>
      <c r="D69" s="72"/>
      <c r="E69" s="71"/>
      <c r="F69" s="82" t="str">
        <f>IF(AG69="","",WORKDAY(I69-H69+1,-1,{46329,46349,46384,46385,46386,46387,46388,46391,46398,46429,46441,46468}))</f>
        <v/>
      </c>
      <c r="G69" s="67"/>
      <c r="H69" s="65"/>
      <c r="I69" s="66" t="str">
        <f>IF(AG69="","",WORKDAY(P69-K69+1,-1,{46329,46349,46384,46385,46386,46387,46388,46391,46398,46429,46441,46468}))</f>
        <v/>
      </c>
      <c r="J69" s="67"/>
      <c r="K69" s="65"/>
      <c r="L69" s="68"/>
      <c r="M69" s="68"/>
      <c r="N69" s="68"/>
      <c r="O69" s="68"/>
      <c r="P69" s="66" t="str">
        <f>IF(AG69="","",WORKDAY(AC69-R69-Q69+1,-1,{46329,46349,46384,46385,46386,46387,46388,46391,46398,46429,46441,46468}))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 t="str">
        <f>IF(AG69="","",WORKDAY(AG69-AF69+1,-1,{46329,46349,46384,46385,46386,46387,46388,46391,46398,46429,46441,46468}))</f>
        <v/>
      </c>
      <c r="AD69" s="66" cm="1" t="str">
        <f t="array" ref="AD69">IF(AG69="","",$AG69-$AF69)</f>
        <v/>
      </c>
      <c r="AE69" s="67"/>
      <c r="AF69" s="83"/>
      <c r="AG69" s="72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 spans="1:64" ht="25.5" customHeight="1">
      <c r="A70" s="10" cm="1">
        <f t="array" ref="A70">A69+1</f>
        <v>59</v>
      </c>
      <c r="B70" s="9"/>
      <c r="C70" s="19"/>
      <c r="D70" s="72"/>
      <c r="E70" s="71"/>
      <c r="F70" s="82" t="str">
        <f>IF(AG70="","",WORKDAY(I70-H70+1,-1,{46329,46349,46384,46385,46386,46387,46388,46391,46398,46429,46441,46468}))</f>
        <v/>
      </c>
      <c r="G70" s="67"/>
      <c r="H70" s="65"/>
      <c r="I70" s="66" t="str">
        <f>IF(AG70="","",WORKDAY(P70-K70+1,-1,{46329,46349,46384,46385,46386,46387,46388,46391,46398,46429,46441,46468}))</f>
        <v/>
      </c>
      <c r="J70" s="67"/>
      <c r="K70" s="65"/>
      <c r="L70" s="68"/>
      <c r="M70" s="68"/>
      <c r="N70" s="68"/>
      <c r="O70" s="68"/>
      <c r="P70" s="66" t="str">
        <f>IF(AG70="","",WORKDAY(AC70-R70-Q70+1,-1,{46329,46349,46384,46385,46386,46387,46388,46391,46398,46429,46441,46468}))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 t="str">
        <f>IF(AG70="","",WORKDAY(AG70-AF70+1,-1,{46329,46349,46384,46385,46386,46387,46388,46391,46398,46429,46441,46468}))</f>
        <v/>
      </c>
      <c r="AD70" s="66" cm="1" t="str">
        <f t="array" ref="AD70">IF(AG70="","",$AG70-$AF70)</f>
        <v/>
      </c>
      <c r="AE70" s="67"/>
      <c r="AF70" s="83"/>
      <c r="AG70" s="72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 spans="1:64" ht="25.5" customHeight="1">
      <c r="A71" s="10" cm="1">
        <f t="array" ref="A71">A70+1</f>
        <v>60</v>
      </c>
      <c r="B71" s="9"/>
      <c r="C71" s="19"/>
      <c r="D71" s="72"/>
      <c r="E71" s="71"/>
      <c r="F71" s="82" t="str">
        <f>IF(AG71="","",WORKDAY(I71-H71+1,-1,{46329,46349,46384,46385,46386,46387,46388,46391,46398,46429,46441,46468}))</f>
        <v/>
      </c>
      <c r="G71" s="67"/>
      <c r="H71" s="65"/>
      <c r="I71" s="66" t="str">
        <f>IF(AG71="","",WORKDAY(P71-K71+1,-1,{46329,46349,46384,46385,46386,46387,46388,46391,46398,46429,46441,46468}))</f>
        <v/>
      </c>
      <c r="J71" s="67"/>
      <c r="K71" s="65"/>
      <c r="L71" s="68"/>
      <c r="M71" s="68"/>
      <c r="N71" s="68"/>
      <c r="O71" s="68"/>
      <c r="P71" s="66" t="str">
        <f>IF(AG71="","",WORKDAY(AC71-R71-Q71+1,-1,{46329,46349,46384,46385,46386,46387,46388,46391,46398,46429,46441,46468}))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 t="str">
        <f>IF(AG71="","",WORKDAY(AG71-AF71+1,-1,{46329,46349,46384,46385,46386,46387,46388,46391,46398,46429,46441,46468}))</f>
        <v/>
      </c>
      <c r="AD71" s="66" cm="1" t="str">
        <f t="array" ref="AD71">IF(AG71="","",$AG71-$AF71)</f>
        <v/>
      </c>
      <c r="AE71" s="67"/>
      <c r="AF71" s="83"/>
      <c r="AG71" s="72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2" spans="1:64" ht="25.5" customHeight="1">
      <c r="A72" s="10" cm="1">
        <f t="array" ref="A72">A71+1</f>
        <v>61</v>
      </c>
      <c r="B72" s="9"/>
      <c r="C72" s="19"/>
      <c r="D72" s="72"/>
      <c r="E72" s="71"/>
      <c r="F72" s="82" t="str">
        <f>IF(AG72="","",WORKDAY(I72-H72+1,-1,{46329,46349,46384,46385,46386,46387,46388,46391,46398,46429,46441,46468}))</f>
        <v/>
      </c>
      <c r="G72" s="67"/>
      <c r="H72" s="65"/>
      <c r="I72" s="66" t="str">
        <f>IF(AG72="","",WORKDAY(P72-K72+1,-1,{46329,46349,46384,46385,46386,46387,46388,46391,46398,46429,46441,46468}))</f>
        <v/>
      </c>
      <c r="J72" s="67"/>
      <c r="K72" s="65"/>
      <c r="L72" s="68"/>
      <c r="M72" s="68"/>
      <c r="N72" s="68"/>
      <c r="O72" s="68"/>
      <c r="P72" s="66" t="str">
        <f>IF(AG72="","",WORKDAY(AC72-R72-Q72+1,-1,{46329,46349,46384,46385,46386,46387,46388,46391,46398,46429,46441,46468}))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 t="str">
        <f>IF(AG72="","",WORKDAY(AG72-AF72+1,-1,{46329,46349,46384,46385,46386,46387,46388,46391,46398,46429,46441,46468}))</f>
        <v/>
      </c>
      <c r="AD72" s="66" cm="1" t="str">
        <f t="array" ref="AD72">IF(AG72="","",$AG72-$AF72)</f>
        <v/>
      </c>
      <c r="AE72" s="67"/>
      <c r="AF72" s="83"/>
      <c r="AG72" s="72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</row>
    <row r="73" spans="1:64" ht="25.5" customHeight="1">
      <c r="A73" s="10" cm="1">
        <f t="array" ref="A73">A72+1</f>
        <v>62</v>
      </c>
      <c r="B73" s="9"/>
      <c r="C73" s="19"/>
      <c r="D73" s="72"/>
      <c r="E73" s="71"/>
      <c r="F73" s="82" t="str">
        <f>IF(AG73="","",WORKDAY(I73-H73+1,-1,{46329,46349,46384,46385,46386,46387,46388,46391,46398,46429,46441,46468}))</f>
        <v/>
      </c>
      <c r="G73" s="67"/>
      <c r="H73" s="65"/>
      <c r="I73" s="66" t="str">
        <f>IF(AG73="","",WORKDAY(P73-K73+1,-1,{46329,46349,46384,46385,46386,46387,46388,46391,46398,46429,46441,46468}))</f>
        <v/>
      </c>
      <c r="J73" s="67"/>
      <c r="K73" s="65"/>
      <c r="L73" s="68"/>
      <c r="M73" s="68"/>
      <c r="N73" s="68"/>
      <c r="O73" s="68"/>
      <c r="P73" s="66" t="str">
        <f>IF(AG73="","",WORKDAY(AC73-R73-Q73+1,-1,{46329,46349,46384,46385,46386,46387,46388,46391,46398,46429,46441,46468}))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 t="str">
        <f>IF(AG73="","",WORKDAY(AG73-AF73+1,-1,{46329,46349,46384,46385,46386,46387,46388,46391,46398,46429,46441,46468}))</f>
        <v/>
      </c>
      <c r="AD73" s="66" cm="1" t="str">
        <f t="array" ref="AD73">IF(AG73="","",$AG73-$AF73)</f>
        <v/>
      </c>
      <c r="AE73" s="67"/>
      <c r="AF73" s="83"/>
      <c r="AG73" s="72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</row>
    <row r="74" spans="1:64" ht="25.5" customHeight="1">
      <c r="A74" s="10" cm="1">
        <f t="array" ref="A74">A73+1</f>
        <v>63</v>
      </c>
      <c r="B74" s="9"/>
      <c r="C74" s="19"/>
      <c r="D74" s="72"/>
      <c r="E74" s="71"/>
      <c r="F74" s="82" t="str">
        <f>IF(AG74="","",WORKDAY(I74-H74+1,-1,{46329,46349,46384,46385,46386,46387,46388,46391,46398,46429,46441,46468}))</f>
        <v/>
      </c>
      <c r="G74" s="67"/>
      <c r="H74" s="65"/>
      <c r="I74" s="66" t="str">
        <f>IF(AG74="","",WORKDAY(P74-K74+1,-1,{46329,46349,46384,46385,46386,46387,46388,46391,46398,46429,46441,46468}))</f>
        <v/>
      </c>
      <c r="J74" s="67"/>
      <c r="K74" s="65"/>
      <c r="L74" s="68"/>
      <c r="M74" s="68"/>
      <c r="N74" s="68"/>
      <c r="O74" s="68"/>
      <c r="P74" s="66" t="str">
        <f>IF(AG74="","",WORKDAY(AC74-R74-Q74+1,-1,{46329,46349,46384,46385,46386,46387,46388,46391,46398,46429,46441,46468}))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 t="str">
        <f>IF(AG74="","",WORKDAY(AG74-AF74+1,-1,{46329,46349,46384,46385,46386,46387,46388,46391,46398,46429,46441,46468}))</f>
        <v/>
      </c>
      <c r="AD74" s="66" cm="1" t="str">
        <f t="array" ref="AD74">IF(AG74="","",$AG74-$AF74)</f>
        <v/>
      </c>
      <c r="AE74" s="67"/>
      <c r="AF74" s="83"/>
      <c r="AG74" s="72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 spans="1:64" ht="25.5" customHeight="1">
      <c r="A75" s="10" cm="1">
        <f t="array" ref="A75">A74+1</f>
        <v>64</v>
      </c>
      <c r="B75" s="9"/>
      <c r="C75" s="19"/>
      <c r="D75" s="72"/>
      <c r="E75" s="71"/>
      <c r="F75" s="82" t="str">
        <f>IF(AG75="","",WORKDAY(I75-H75+1,-1,{46329,46349,46384,46385,46386,46387,46388,46391,46398,46429,46441,46468}))</f>
        <v/>
      </c>
      <c r="G75" s="67"/>
      <c r="H75" s="65"/>
      <c r="I75" s="66" t="str">
        <f>IF(AG75="","",WORKDAY(P75-K75+1,-1,{46329,46349,46384,46385,46386,46387,46388,46391,46398,46429,46441,46468}))</f>
        <v/>
      </c>
      <c r="J75" s="67"/>
      <c r="K75" s="65"/>
      <c r="L75" s="68"/>
      <c r="M75" s="68"/>
      <c r="N75" s="68"/>
      <c r="O75" s="68"/>
      <c r="P75" s="66" t="str">
        <f>IF(AG75="","",WORKDAY(AC75-R75-Q75+1,-1,{46329,46349,46384,46385,46386,46387,46388,46391,46398,46429,46441,46468}))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 t="str">
        <f>IF(AG75="","",WORKDAY(AG75-AF75+1,-1,{46329,46349,46384,46385,46386,46387,46388,46391,46398,46429,46441,46468}))</f>
        <v/>
      </c>
      <c r="AD75" s="66" cm="1" t="str">
        <f t="array" ref="AD75">IF(AG75="","",$AG75-$AF75)</f>
        <v/>
      </c>
      <c r="AE75" s="67"/>
      <c r="AF75" s="83"/>
      <c r="AG75" s="72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</row>
    <row r="76" spans="1:64" ht="25.5" customHeight="1">
      <c r="A76" s="10" cm="1">
        <f t="array" ref="A76">A75+1</f>
        <v>65</v>
      </c>
      <c r="B76" s="9"/>
      <c r="C76" s="19"/>
      <c r="D76" s="72"/>
      <c r="E76" s="71"/>
      <c r="F76" s="82" t="str">
        <f>IF(AG76="","",WORKDAY(I76-H76+1,-1,{46329,46349,46384,46385,46386,46387,46388,46391,46398,46429,46441,46468}))</f>
        <v/>
      </c>
      <c r="G76" s="67"/>
      <c r="H76" s="65"/>
      <c r="I76" s="66" t="str">
        <f>IF(AG76="","",WORKDAY(P76-K76+1,-1,{46329,46349,46384,46385,46386,46387,46388,46391,46398,46429,46441,46468}))</f>
        <v/>
      </c>
      <c r="J76" s="67"/>
      <c r="K76" s="65"/>
      <c r="L76" s="68"/>
      <c r="M76" s="68"/>
      <c r="N76" s="68"/>
      <c r="O76" s="68"/>
      <c r="P76" s="66" t="str">
        <f>IF(AG76="","",WORKDAY(AC76-R76-Q76+1,-1,{46329,46349,46384,46385,46386,46387,46388,46391,46398,46429,46441,46468}))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 t="str">
        <f>IF(AG76="","",WORKDAY(AG76-AF76+1,-1,{46329,46349,46384,46385,46386,46387,46388,46391,46398,46429,46441,46468}))</f>
        <v/>
      </c>
      <c r="AD76" s="66" cm="1" t="str">
        <f t="array" ref="AD76">IF(AG76="","",$AG76-$AF76)</f>
        <v/>
      </c>
      <c r="AE76" s="67"/>
      <c r="AF76" s="83"/>
      <c r="AG76" s="72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</row>
    <row r="77" spans="1:64" ht="25.5" customHeight="1">
      <c r="A77" s="10" cm="1">
        <f t="array" ref="A77">A76+1</f>
        <v>66</v>
      </c>
      <c r="B77" s="9"/>
      <c r="C77" s="19"/>
      <c r="D77" s="72"/>
      <c r="E77" s="71"/>
      <c r="F77" s="82" t="str">
        <f>IF(AG77="","",WORKDAY(I77-H77+1,-1,{46329,46349,46384,46385,46386,46387,46388,46391,46398,46429,46441,46468}))</f>
        <v/>
      </c>
      <c r="G77" s="67"/>
      <c r="H77" s="65"/>
      <c r="I77" s="66" t="str">
        <f>IF(AG77="","",WORKDAY(P77-K77+1,-1,{46329,46349,46384,46385,46386,46387,46388,46391,46398,46429,46441,46468}))</f>
        <v/>
      </c>
      <c r="J77" s="67"/>
      <c r="K77" s="65"/>
      <c r="L77" s="68"/>
      <c r="M77" s="68"/>
      <c r="N77" s="68"/>
      <c r="O77" s="68"/>
      <c r="P77" s="66" t="str">
        <f>IF(AG77="","",WORKDAY(AC77-R77-Q77+1,-1,{46329,46349,46384,46385,46386,46387,46388,46391,46398,46429,46441,46468}))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 t="str">
        <f>IF(AG77="","",WORKDAY(AG77-AF77+1,-1,{46329,46349,46384,46385,46386,46387,46388,46391,46398,46429,46441,46468}))</f>
        <v/>
      </c>
      <c r="AD77" s="66" cm="1" t="str">
        <f t="array" ref="AD77">IF(AG77="","",$AG77-$AF77)</f>
        <v/>
      </c>
      <c r="AE77" s="67"/>
      <c r="AF77" s="83"/>
      <c r="AG77" s="72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78" spans="1:64" ht="25.5" customHeight="1">
      <c r="A78" s="10" cm="1">
        <f t="array" ref="A78">A77+1</f>
        <v>67</v>
      </c>
      <c r="B78" s="9"/>
      <c r="C78" s="19"/>
      <c r="D78" s="72"/>
      <c r="E78" s="71"/>
      <c r="F78" s="82" t="str">
        <f>IF(AG78="","",WORKDAY(I78-H78+1,-1,{46329,46349,46384,46385,46386,46387,46388,46391,46398,46429,46441,46468}))</f>
        <v/>
      </c>
      <c r="G78" s="67"/>
      <c r="H78" s="65"/>
      <c r="I78" s="66" t="str">
        <f>IF(AG78="","",WORKDAY(P78-K78+1,-1,{46329,46349,46384,46385,46386,46387,46388,46391,46398,46429,46441,46468}))</f>
        <v/>
      </c>
      <c r="J78" s="67"/>
      <c r="K78" s="65"/>
      <c r="L78" s="68"/>
      <c r="M78" s="68"/>
      <c r="N78" s="68"/>
      <c r="O78" s="68"/>
      <c r="P78" s="66" t="str">
        <f>IF(AG78="","",WORKDAY(AC78-R78-Q78+1,-1,{46329,46349,46384,46385,46386,46387,46388,46391,46398,46429,46441,46468}))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 t="str">
        <f>IF(AG78="","",WORKDAY(AG78-AF78+1,-1,{46329,46349,46384,46385,46386,46387,46388,46391,46398,46429,46441,46468}))</f>
        <v/>
      </c>
      <c r="AD78" s="66" cm="1" t="str">
        <f t="array" ref="AD78">IF(AG78="","",$AG78-$AF78)</f>
        <v/>
      </c>
      <c r="AE78" s="67"/>
      <c r="AF78" s="83"/>
      <c r="AG78" s="72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</row>
    <row r="79" spans="1:64" ht="25.5" customHeight="1">
      <c r="A79" s="10" cm="1">
        <f t="array" ref="A79">A78+1</f>
        <v>68</v>
      </c>
      <c r="B79" s="9"/>
      <c r="C79" s="19"/>
      <c r="D79" s="72"/>
      <c r="E79" s="71"/>
      <c r="F79" s="82" t="str">
        <f>IF(AG79="","",WORKDAY(I79-H79+1,-1,{46329,46349,46384,46385,46386,46387,46388,46391,46398,46429,46441,46468}))</f>
        <v/>
      </c>
      <c r="G79" s="67"/>
      <c r="H79" s="65"/>
      <c r="I79" s="66" t="str">
        <f>IF(AG79="","",WORKDAY(P79-K79+1,-1,{46329,46349,46384,46385,46386,46387,46388,46391,46398,46429,46441,46468}))</f>
        <v/>
      </c>
      <c r="J79" s="67"/>
      <c r="K79" s="65"/>
      <c r="L79" s="68"/>
      <c r="M79" s="68"/>
      <c r="N79" s="68"/>
      <c r="O79" s="68"/>
      <c r="P79" s="66" t="str">
        <f>IF(AG79="","",WORKDAY(AC79-R79-Q79+1,-1,{46329,46349,46384,46385,46386,46387,46388,46391,46398,46429,46441,46468}))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 t="str">
        <f>IF(AG79="","",WORKDAY(AG79-AF79+1,-1,{46329,46349,46384,46385,46386,46387,46388,46391,46398,46429,46441,46468}))</f>
        <v/>
      </c>
      <c r="AD79" s="66" cm="1" t="str">
        <f t="array" ref="AD79">IF(AG79="","",$AG79-$AF79)</f>
        <v/>
      </c>
      <c r="AE79" s="67"/>
      <c r="AF79" s="83"/>
      <c r="AG79" s="72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</row>
    <row r="80" spans="1:64" ht="25.5" customHeight="1">
      <c r="A80" s="10" cm="1">
        <f t="array" ref="A80">A79+1</f>
        <v>69</v>
      </c>
      <c r="B80" s="9"/>
      <c r="C80" s="19"/>
      <c r="D80" s="72"/>
      <c r="E80" s="71"/>
      <c r="F80" s="82" t="str">
        <f>IF(AG80="","",WORKDAY(I80-H80+1,-1,{46329,46349,46384,46385,46386,46387,46388,46391,46398,46429,46441,46468}))</f>
        <v/>
      </c>
      <c r="G80" s="67"/>
      <c r="H80" s="65"/>
      <c r="I80" s="66" t="str">
        <f>IF(AG80="","",WORKDAY(P80-K80+1,-1,{46329,46349,46384,46385,46386,46387,46388,46391,46398,46429,46441,46468}))</f>
        <v/>
      </c>
      <c r="J80" s="67"/>
      <c r="K80" s="65"/>
      <c r="L80" s="68"/>
      <c r="M80" s="68"/>
      <c r="N80" s="68"/>
      <c r="O80" s="68"/>
      <c r="P80" s="66" t="str">
        <f>IF(AG80="","",WORKDAY(AC80-R80-Q80+1,-1,{46329,46349,46384,46385,46386,46387,46388,46391,46398,46429,46441,46468}))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 t="str">
        <f>IF(AG80="","",WORKDAY(AG80-AF80+1,-1,{46329,46349,46384,46385,46386,46387,46388,46391,46398,46429,46441,46468}))</f>
        <v/>
      </c>
      <c r="AD80" s="66" cm="1" t="str">
        <f t="array" ref="AD80">IF(AG80="","",$AG80-$AF80)</f>
        <v/>
      </c>
      <c r="AE80" s="67"/>
      <c r="AF80" s="83"/>
      <c r="AG80" s="72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</row>
    <row r="81" spans="1:64" ht="25.5" customHeight="1">
      <c r="A81" s="10" cm="1">
        <f t="array" ref="A81">A80+1</f>
        <v>70</v>
      </c>
      <c r="B81" s="9"/>
      <c r="C81" s="19"/>
      <c r="D81" s="72"/>
      <c r="E81" s="71"/>
      <c r="F81" s="82" t="str">
        <f>IF(AG81="","",WORKDAY(I81-H81+1,-1,{46329,46349,46384,46385,46386,46387,46388,46391,46398,46429,46441,46468}))</f>
        <v/>
      </c>
      <c r="G81" s="67"/>
      <c r="H81" s="65"/>
      <c r="I81" s="66" t="str">
        <f>IF(AG81="","",WORKDAY(P81-K81+1,-1,{46329,46349,46384,46385,46386,46387,46388,46391,46398,46429,46441,46468}))</f>
        <v/>
      </c>
      <c r="J81" s="67"/>
      <c r="K81" s="65"/>
      <c r="L81" s="68"/>
      <c r="M81" s="68"/>
      <c r="N81" s="68"/>
      <c r="O81" s="68"/>
      <c r="P81" s="66" t="str">
        <f>IF(AG81="","",WORKDAY(AC81-R81-Q81+1,-1,{46329,46349,46384,46385,46386,46387,46388,46391,46398,46429,46441,46468}))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 t="str">
        <f>IF(AG81="","",WORKDAY(AG81-AF81+1,-1,{46329,46349,46384,46385,46386,46387,46388,46391,46398,46429,46441,46468}))</f>
        <v/>
      </c>
      <c r="AD81" s="66" cm="1" t="str">
        <f t="array" ref="AD81">IF(AG81="","",$AG81-$AF81)</f>
        <v/>
      </c>
      <c r="AE81" s="67"/>
      <c r="AF81" s="83"/>
      <c r="AG81" s="72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2" spans="1:64" ht="25.5" customHeight="1">
      <c r="A82" s="10" cm="1">
        <f t="array" ref="A82">A81+1</f>
        <v>71</v>
      </c>
      <c r="B82" s="9"/>
      <c r="C82" s="19"/>
      <c r="D82" s="72"/>
      <c r="E82" s="71"/>
      <c r="F82" s="82" t="str">
        <f>IF(AG82="","",WORKDAY(I82-H82+1,-1,{46329,46349,46384,46385,46386,46387,46388,46391,46398,46429,46441,46468}))</f>
        <v/>
      </c>
      <c r="G82" s="67"/>
      <c r="H82" s="65"/>
      <c r="I82" s="66" t="str">
        <f>IF(AG82="","",WORKDAY(P82-K82+1,-1,{46329,46349,46384,46385,46386,46387,46388,46391,46398,46429,46441,46468}))</f>
        <v/>
      </c>
      <c r="J82" s="67"/>
      <c r="K82" s="65"/>
      <c r="L82" s="68"/>
      <c r="M82" s="68"/>
      <c r="N82" s="68"/>
      <c r="O82" s="68"/>
      <c r="P82" s="66" t="str">
        <f>IF(AG82="","",WORKDAY(AC82-R82-Q82+1,-1,{46329,46349,46384,46385,46386,46387,46388,46391,46398,46429,46441,46468}))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 t="str">
        <f>IF(AG82="","",WORKDAY(AG82-AF82+1,-1,{46329,46349,46384,46385,46386,46387,46388,46391,46398,46429,46441,46468}))</f>
        <v/>
      </c>
      <c r="AD82" s="66" cm="1" t="str">
        <f t="array" ref="AD82">IF(AG82="","",$AG82-$AF82)</f>
        <v/>
      </c>
      <c r="AE82" s="67"/>
      <c r="AF82" s="83"/>
      <c r="AG82" s="72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</row>
    <row r="83" spans="1:64" ht="25.5" customHeight="1">
      <c r="A83" s="10" cm="1">
        <f t="array" ref="A83">A82+1</f>
        <v>72</v>
      </c>
      <c r="B83" s="9"/>
      <c r="C83" s="19"/>
      <c r="D83" s="72"/>
      <c r="E83" s="71"/>
      <c r="F83" s="82" t="str">
        <f>IF(AG83="","",WORKDAY(I83-H83+1,-1,{46329,46349,46384,46385,46386,46387,46388,46391,46398,46429,46441,46468}))</f>
        <v/>
      </c>
      <c r="G83" s="67"/>
      <c r="H83" s="65"/>
      <c r="I83" s="66" t="str">
        <f>IF(AG83="","",WORKDAY(P83-K83+1,-1,{46329,46349,46384,46385,46386,46387,46388,46391,46398,46429,46441,46468}))</f>
        <v/>
      </c>
      <c r="J83" s="67"/>
      <c r="K83" s="65"/>
      <c r="L83" s="68"/>
      <c r="M83" s="68"/>
      <c r="N83" s="68"/>
      <c r="O83" s="68"/>
      <c r="P83" s="66" t="str">
        <f>IF(AG83="","",WORKDAY(AC83-R83-Q83+1,-1,{46329,46349,46384,46385,46386,46387,46388,46391,46398,46429,46441,46468}))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 t="str">
        <f>IF(AG83="","",WORKDAY(AG83-AF83+1,-1,{46329,46349,46384,46385,46386,46387,46388,46391,46398,46429,46441,46468}))</f>
        <v/>
      </c>
      <c r="AD83" s="66" cm="1" t="str">
        <f t="array" ref="AD83">IF(AG83="","",$AG83-$AF83)</f>
        <v/>
      </c>
      <c r="AE83" s="67"/>
      <c r="AF83" s="83"/>
      <c r="AG83" s="72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</row>
    <row r="84" spans="1:64" ht="25.95" customHeight="1">
      <c r="A84" s="10" cm="1">
        <f t="array" ref="A84">A83+1</f>
        <v>73</v>
      </c>
      <c r="B84" s="9"/>
      <c r="C84" s="19"/>
      <c r="D84" s="72"/>
      <c r="E84" s="71"/>
      <c r="F84" s="82" t="str">
        <f>IF(AG84="","",WORKDAY(I84-H84+1,-1,{46329,46349,46384,46385,46386,46387,46388,46391,46398,46429,46441,46468}))</f>
        <v/>
      </c>
      <c r="G84" s="67"/>
      <c r="H84" s="65"/>
      <c r="I84" s="66" t="str">
        <f>IF(AG84="","",WORKDAY(P84-K84+1,-1,{46329,46349,46384,46385,46386,46387,46388,46391,46398,46429,46441,46468}))</f>
        <v/>
      </c>
      <c r="J84" s="67"/>
      <c r="K84" s="65"/>
      <c r="L84" s="68"/>
      <c r="M84" s="68"/>
      <c r="N84" s="68"/>
      <c r="O84" s="68"/>
      <c r="P84" s="66" t="str">
        <f>IF(AG84="","",WORKDAY(AC84-R84-Q84+1,-1,{46329,46349,46384,46385,46386,46387,46388,46391,46398,46429,46441,46468}))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 t="str">
        <f>IF(AG84="","",WORKDAY(AG84-AF84+1,-1,{46329,46349,46384,46385,46386,46387,46388,46391,46398,46429,46441,46468}))</f>
        <v/>
      </c>
      <c r="AD84" s="66" cm="1" t="str">
        <f t="array" ref="AD84">IF(AG84="","",$AG84-$AF84)</f>
        <v/>
      </c>
      <c r="AE84" s="67"/>
      <c r="AF84" s="83"/>
      <c r="AG84" s="72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</row>
    <row r="85" spans="1:64" ht="25.5" customHeight="1">
      <c r="A85" s="10" cm="1">
        <f t="array" ref="A85">A84+1</f>
        <v>74</v>
      </c>
      <c r="B85" s="9"/>
      <c r="C85" s="19"/>
      <c r="D85" s="72"/>
      <c r="E85" s="71"/>
      <c r="F85" s="82" t="str">
        <f>IF(AG85="","",WORKDAY(I85-H85+1,-1,{46329,46349,46384,46385,46386,46387,46388,46391,46398,46429,46441,46468}))</f>
        <v/>
      </c>
      <c r="G85" s="67"/>
      <c r="H85" s="65"/>
      <c r="I85" s="66" t="str">
        <f>IF(AG85="","",WORKDAY(P85-K85+1,-1,{46329,46349,46384,46385,46386,46387,46388,46391,46398,46429,46441,46468}))</f>
        <v/>
      </c>
      <c r="J85" s="67"/>
      <c r="K85" s="65"/>
      <c r="L85" s="68"/>
      <c r="M85" s="68"/>
      <c r="N85" s="68"/>
      <c r="O85" s="68"/>
      <c r="P85" s="66" t="str">
        <f>IF(AG85="","",WORKDAY(AC85-R85-Q85+1,-1,{46329,46349,46384,46385,46386,46387,46388,46391,46398,46429,46441,46468}))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 t="str">
        <f>IF(AG85="","",WORKDAY(AG85-AF85+1,-1,{46329,46349,46384,46385,46386,46387,46388,46391,46398,46429,46441,46468}))</f>
        <v/>
      </c>
      <c r="AD85" s="66" cm="1" t="str">
        <f t="array" ref="AD85">IF(AG85="","",$AG85-$AF85)</f>
        <v/>
      </c>
      <c r="AE85" s="67"/>
      <c r="AF85" s="83"/>
      <c r="AG85" s="72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</row>
    <row r="86" spans="1:64" ht="25.5" customHeight="1">
      <c r="A86" s="10" cm="1">
        <f t="array" ref="A86">A85+1</f>
        <v>75</v>
      </c>
      <c r="B86" s="9"/>
      <c r="C86" s="19"/>
      <c r="D86" s="72"/>
      <c r="E86" s="71"/>
      <c r="F86" s="82" t="str">
        <f>IF(AG86="","",WORKDAY(I86-H86+1,-1,{46329,46349,46384,46385,46386,46387,46388,46391,46398,46429,46441,46468}))</f>
        <v/>
      </c>
      <c r="G86" s="67"/>
      <c r="H86" s="65"/>
      <c r="I86" s="66" t="str">
        <f>IF(AG86="","",WORKDAY(P86-K86+1,-1,{46329,46349,46384,46385,46386,46387,46388,46391,46398,46429,46441,46468}))</f>
        <v/>
      </c>
      <c r="J86" s="67"/>
      <c r="K86" s="65"/>
      <c r="L86" s="68"/>
      <c r="M86" s="68"/>
      <c r="N86" s="68"/>
      <c r="O86" s="68"/>
      <c r="P86" s="66" t="str">
        <f>IF(AG86="","",WORKDAY(AC86-R86-Q86+1,-1,{46329,46349,46384,46385,46386,46387,46388,46391,46398,46429,46441,46468}))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 t="str">
        <f>IF(AG86="","",WORKDAY(AG86-AF86+1,-1,{46329,46349,46384,46385,46386,46387,46388,46391,46398,46429,46441,46468}))</f>
        <v/>
      </c>
      <c r="AD86" s="66" cm="1" t="str">
        <f t="array" ref="AD86">IF(AG86="","",$AG86-$AF86)</f>
        <v/>
      </c>
      <c r="AE86" s="67"/>
      <c r="AF86" s="83"/>
      <c r="AG86" s="72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 spans="1:64" ht="25.5" customHeight="1">
      <c r="A87" s="10" cm="1">
        <f t="array" ref="A87">A86+1</f>
        <v>76</v>
      </c>
      <c r="B87" s="9"/>
      <c r="C87" s="19"/>
      <c r="D87" s="72"/>
      <c r="E87" s="71"/>
      <c r="F87" s="82" t="str">
        <f>IF(AG87="","",WORKDAY(I87-H87+1,-1,{46329,46349,46384,46385,46386,46387,46388,46391,46398,46429,46441,46468}))</f>
        <v/>
      </c>
      <c r="G87" s="67"/>
      <c r="H87" s="65"/>
      <c r="I87" s="66" t="str">
        <f>IF(AG87="","",WORKDAY(P87-K87+1,-1,{46329,46349,46384,46385,46386,46387,46388,46391,46398,46429,46441,46468}))</f>
        <v/>
      </c>
      <c r="J87" s="67"/>
      <c r="K87" s="65"/>
      <c r="L87" s="68"/>
      <c r="M87" s="68"/>
      <c r="N87" s="68"/>
      <c r="O87" s="68"/>
      <c r="P87" s="66" t="str">
        <f>IF(AG87="","",WORKDAY(AC87-R87-Q87+1,-1,{46329,46349,46384,46385,46386,46387,46388,46391,46398,46429,46441,46468}))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 t="str">
        <f>IF(AG87="","",WORKDAY(AG87-AF87+1,-1,{46329,46349,46384,46385,46386,46387,46388,46391,46398,46429,46441,46468}))</f>
        <v/>
      </c>
      <c r="AD87" s="66" cm="1" t="str">
        <f t="array" ref="AD87">IF(AG87="","",$AG87-$AF87)</f>
        <v/>
      </c>
      <c r="AE87" s="67"/>
      <c r="AF87" s="83"/>
      <c r="AG87" s="72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</row>
    <row r="88" spans="1:64" ht="25.5" customHeight="1">
      <c r="A88" s="10" cm="1">
        <f t="array" ref="A88">A87+1</f>
        <v>77</v>
      </c>
      <c r="B88" s="9"/>
      <c r="C88" s="19"/>
      <c r="D88" s="72"/>
      <c r="E88" s="71"/>
      <c r="F88" s="82" t="str">
        <f>IF(AG88="","",WORKDAY(I88-H88+1,-1,{46329,46349,46384,46385,46386,46387,46388,46391,46398,46429,46441,46468}))</f>
        <v/>
      </c>
      <c r="G88" s="67"/>
      <c r="H88" s="65"/>
      <c r="I88" s="66" t="str">
        <f>IF(AG88="","",WORKDAY(P88-K88+1,-1,{46329,46349,46384,46385,46386,46387,46388,46391,46398,46429,46441,46468}))</f>
        <v/>
      </c>
      <c r="J88" s="67"/>
      <c r="K88" s="65"/>
      <c r="L88" s="68"/>
      <c r="M88" s="68"/>
      <c r="N88" s="68"/>
      <c r="O88" s="68"/>
      <c r="P88" s="66" t="str">
        <f>IF(AG88="","",WORKDAY(AC88-R88-Q88+1,-1,{46329,46349,46384,46385,46386,46387,46388,46391,46398,46429,46441,46468}))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 t="str">
        <f>IF(AG88="","",WORKDAY(AG88-AF88+1,-1,{46329,46349,46384,46385,46386,46387,46388,46391,46398,46429,46441,46468}))</f>
        <v/>
      </c>
      <c r="AD88" s="66" cm="1" t="str">
        <f t="array" ref="AD88">IF(AG88="","",$AG88-$AF88)</f>
        <v/>
      </c>
      <c r="AE88" s="67"/>
      <c r="AF88" s="83"/>
      <c r="AG88" s="72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</row>
    <row r="89" spans="1:64" ht="25.5" customHeight="1">
      <c r="A89" s="10" cm="1">
        <f t="array" ref="A89">A88+1</f>
        <v>78</v>
      </c>
      <c r="B89" s="9"/>
      <c r="C89" s="19"/>
      <c r="D89" s="72"/>
      <c r="E89" s="71"/>
      <c r="F89" s="82" t="str">
        <f>IF(AG89="","",WORKDAY(I89-H89+1,-1,{46329,46349,46384,46385,46386,46387,46388,46391,46398,46429,46441,46468}))</f>
        <v/>
      </c>
      <c r="G89" s="67"/>
      <c r="H89" s="65"/>
      <c r="I89" s="66" t="str">
        <f>IF(AG89="","",WORKDAY(P89-K89+1,-1,{46329,46349,46384,46385,46386,46387,46388,46391,46398,46429,46441,46468}))</f>
        <v/>
      </c>
      <c r="J89" s="67"/>
      <c r="K89" s="65"/>
      <c r="L89" s="68"/>
      <c r="M89" s="68"/>
      <c r="N89" s="68"/>
      <c r="O89" s="68"/>
      <c r="P89" s="66" t="str">
        <f>IF(AG89="","",WORKDAY(AC89-R89-Q89+1,-1,{46329,46349,46384,46385,46386,46387,46388,46391,46398,46429,46441,46468}))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 t="str">
        <f>IF(AG89="","",WORKDAY(AG89-AF89+1,-1,{46329,46349,46384,46385,46386,46387,46388,46391,46398,46429,46441,46468}))</f>
        <v/>
      </c>
      <c r="AD89" s="66" cm="1" t="str">
        <f t="array" ref="AD89">IF(AG89="","",$AG89-$AF89)</f>
        <v/>
      </c>
      <c r="AE89" s="67"/>
      <c r="AF89" s="83"/>
      <c r="AG89" s="72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</row>
    <row r="90" spans="1:64" ht="25.5" customHeight="1">
      <c r="A90" s="10" cm="1">
        <f t="array" ref="A90">A89+1</f>
        <v>79</v>
      </c>
      <c r="B90" s="9"/>
      <c r="C90" s="19"/>
      <c r="D90" s="72"/>
      <c r="E90" s="71"/>
      <c r="F90" s="82" t="str">
        <f>IF(AG90="","",WORKDAY(I90-H90+1,-1,{46329,46349,46384,46385,46386,46387,46388,46391,46398,46429,46441,46468}))</f>
        <v/>
      </c>
      <c r="G90" s="67"/>
      <c r="H90" s="65"/>
      <c r="I90" s="66" t="str">
        <f>IF(AG90="","",WORKDAY(P90-K90+1,-1,{46329,46349,46384,46385,46386,46387,46388,46391,46398,46429,46441,46468}))</f>
        <v/>
      </c>
      <c r="J90" s="67"/>
      <c r="K90" s="65"/>
      <c r="L90" s="68"/>
      <c r="M90" s="68"/>
      <c r="N90" s="68"/>
      <c r="O90" s="68"/>
      <c r="P90" s="66" t="str">
        <f>IF(AG90="","",WORKDAY(AC90-R90-Q90+1,-1,{46329,46349,46384,46385,46386,46387,46388,46391,46398,46429,46441,46468}))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 t="str">
        <f>IF(AG90="","",WORKDAY(AG90-AF90+1,-1,{46329,46349,46384,46385,46386,46387,46388,46391,46398,46429,46441,46468}))</f>
        <v/>
      </c>
      <c r="AD90" s="66" cm="1" t="str">
        <f t="array" ref="AD90">IF(AG90="","",$AG90-$AF90)</f>
        <v/>
      </c>
      <c r="AE90" s="67"/>
      <c r="AF90" s="83"/>
      <c r="AG90" s="72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</row>
    <row r="91" spans="1:64" ht="25.5" customHeight="1">
      <c r="A91" s="10" cm="1">
        <f t="array" ref="A91">A90+1</f>
        <v>80</v>
      </c>
      <c r="B91" s="9"/>
      <c r="C91" s="19"/>
      <c r="D91" s="72"/>
      <c r="E91" s="71"/>
      <c r="F91" s="82" t="str">
        <f>IF(AG91="","",WORKDAY(I91-H91+1,-1,{46329,46349,46384,46385,46386,46387,46388,46391,46398,46429,46441,46468}))</f>
        <v/>
      </c>
      <c r="G91" s="67"/>
      <c r="H91" s="65"/>
      <c r="I91" s="66" t="str">
        <f>IF(AG91="","",WORKDAY(P91-K91+1,-1,{46329,46349,46384,46385,46386,46387,46388,46391,46398,46429,46441,46468}))</f>
        <v/>
      </c>
      <c r="J91" s="67"/>
      <c r="K91" s="65"/>
      <c r="L91" s="68"/>
      <c r="M91" s="68"/>
      <c r="N91" s="68"/>
      <c r="O91" s="68"/>
      <c r="P91" s="66" t="str">
        <f>IF(AG91="","",WORKDAY(AC91-R91-Q91+1,-1,{46329,46349,46384,46385,46386,46387,46388,46391,46398,46429,46441,46468}))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 t="str">
        <f>IF(AG91="","",WORKDAY(AG91-AF91+1,-1,{46329,46349,46384,46385,46386,46387,46388,46391,46398,46429,46441,46468}))</f>
        <v/>
      </c>
      <c r="AD91" s="66" cm="1" t="str">
        <f t="array" ref="AD91">IF(AG91="","",$AG91-$AF91)</f>
        <v/>
      </c>
      <c r="AE91" s="67"/>
      <c r="AF91" s="83"/>
      <c r="AG91" s="72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</row>
    <row r="92" spans="1:64" ht="25.5" customHeight="1">
      <c r="A92" s="10" cm="1">
        <f t="array" ref="A92">A91+1</f>
        <v>81</v>
      </c>
      <c r="B92" s="9"/>
      <c r="C92" s="19"/>
      <c r="D92" s="72"/>
      <c r="E92" s="71"/>
      <c r="F92" s="82" t="str">
        <f>IF(AG92="","",WORKDAY(I92-H92+1,-1,{46329,46349,46384,46385,46386,46387,46388,46391,46398,46429,46441,46468}))</f>
        <v/>
      </c>
      <c r="G92" s="67"/>
      <c r="H92" s="65"/>
      <c r="I92" s="66" t="str">
        <f>IF(AG92="","",WORKDAY(P92-K92+1,-1,{46329,46349,46384,46385,46386,46387,46388,46391,46398,46429,46441,46468}))</f>
        <v/>
      </c>
      <c r="J92" s="67"/>
      <c r="K92" s="65"/>
      <c r="L92" s="68"/>
      <c r="M92" s="68"/>
      <c r="N92" s="68"/>
      <c r="O92" s="68"/>
      <c r="P92" s="66" t="str">
        <f>IF(AG92="","",WORKDAY(AC92-R92-Q92+1,-1,{46329,46349,46384,46385,46386,46387,46388,46391,46398,46429,46441,46468}))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 t="str">
        <f>IF(AG92="","",WORKDAY(AG92-AF92+1,-1,{46329,46349,46384,46385,46386,46387,46388,46391,46398,46429,46441,46468}))</f>
        <v/>
      </c>
      <c r="AD92" s="66" cm="1" t="str">
        <f t="array" ref="AD92">IF(AG92="","",$AG92-$AF92)</f>
        <v/>
      </c>
      <c r="AE92" s="67"/>
      <c r="AF92" s="83"/>
      <c r="AG92" s="72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</row>
    <row r="93" spans="1:64" ht="25.5" customHeight="1">
      <c r="A93" s="10" cm="1">
        <f t="array" ref="A93">A92+1</f>
        <v>82</v>
      </c>
      <c r="B93" s="9"/>
      <c r="C93" s="19"/>
      <c r="D93" s="72"/>
      <c r="E93" s="71"/>
      <c r="F93" s="82" t="str">
        <f>IF(AG93="","",WORKDAY(I93-H93+1,-1,{46329,46349,46384,46385,46386,46387,46388,46391,46398,46429,46441,46468}))</f>
        <v/>
      </c>
      <c r="G93" s="67"/>
      <c r="H93" s="65"/>
      <c r="I93" s="66" t="str">
        <f>IF(AG93="","",WORKDAY(P93-K93+1,-1,{46329,46349,46384,46385,46386,46387,46388,46391,46398,46429,46441,46468}))</f>
        <v/>
      </c>
      <c r="J93" s="67"/>
      <c r="K93" s="65"/>
      <c r="L93" s="68"/>
      <c r="M93" s="68"/>
      <c r="N93" s="68"/>
      <c r="O93" s="68"/>
      <c r="P93" s="66" t="str">
        <f>IF(AG93="","",WORKDAY(AC93-R93-Q93+1,-1,{46329,46349,46384,46385,46386,46387,46388,46391,46398,46429,46441,46468}))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 t="str">
        <f>IF(AG93="","",WORKDAY(AG93-AF93+1,-1,{46329,46349,46384,46385,46386,46387,46388,46391,46398,46429,46441,46468}))</f>
        <v/>
      </c>
      <c r="AD93" s="66" cm="1" t="str">
        <f t="array" ref="AD93">IF(AG93="","",$AG93-$AF93)</f>
        <v/>
      </c>
      <c r="AE93" s="67"/>
      <c r="AF93" s="83"/>
      <c r="AG93" s="72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</row>
    <row r="94" spans="1:64" ht="25.5" customHeight="1">
      <c r="A94" s="10" cm="1">
        <f t="array" ref="A94">A93+1</f>
        <v>83</v>
      </c>
      <c r="B94" s="9"/>
      <c r="C94" s="19"/>
      <c r="D94" s="72"/>
      <c r="E94" s="71"/>
      <c r="F94" s="82" t="str">
        <f>IF(AG94="","",WORKDAY(I94-H94+1,-1,{46329,46349,46384,46385,46386,46387,46388,46391,46398,46429,46441,46468}))</f>
        <v/>
      </c>
      <c r="G94" s="67"/>
      <c r="H94" s="65"/>
      <c r="I94" s="66" t="str">
        <f>IF(AG94="","",WORKDAY(P94-K94+1,-1,{46329,46349,46384,46385,46386,46387,46388,46391,46398,46429,46441,46468}))</f>
        <v/>
      </c>
      <c r="J94" s="67"/>
      <c r="K94" s="65"/>
      <c r="L94" s="68"/>
      <c r="M94" s="68"/>
      <c r="N94" s="68"/>
      <c r="O94" s="68"/>
      <c r="P94" s="66" t="str">
        <f>IF(AG94="","",WORKDAY(AC94-R94-Q94+1,-1,{46329,46349,46384,46385,46386,46387,46388,46391,46398,46429,46441,46468}))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 t="str">
        <f>IF(AG94="","",WORKDAY(AG94-AF94+1,-1,{46329,46349,46384,46385,46386,46387,46388,46391,46398,46429,46441,46468}))</f>
        <v/>
      </c>
      <c r="AD94" s="66" cm="1" t="str">
        <f t="array" ref="AD94">IF(AG94="","",$AG94-$AF94)</f>
        <v/>
      </c>
      <c r="AE94" s="67"/>
      <c r="AF94" s="83"/>
      <c r="AG94" s="72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</row>
    <row r="95" spans="1:64" ht="25.5" customHeight="1">
      <c r="A95" s="10" cm="1">
        <f t="array" ref="A95">A94+1</f>
        <v>84</v>
      </c>
      <c r="B95" s="9"/>
      <c r="C95" s="19"/>
      <c r="D95" s="72"/>
      <c r="E95" s="71"/>
      <c r="F95" s="82" t="str">
        <f>IF(AG95="","",WORKDAY(I95-H95+1,-1,{46329,46349,46384,46385,46386,46387,46388,46391,46398,46429,46441,46468}))</f>
        <v/>
      </c>
      <c r="G95" s="67"/>
      <c r="H95" s="65"/>
      <c r="I95" s="66" t="str">
        <f>IF(AG95="","",WORKDAY(P95-K95+1,-1,{46329,46349,46384,46385,46386,46387,46388,46391,46398,46429,46441,46468}))</f>
        <v/>
      </c>
      <c r="J95" s="67"/>
      <c r="K95" s="65"/>
      <c r="L95" s="68"/>
      <c r="M95" s="68"/>
      <c r="N95" s="68"/>
      <c r="O95" s="68"/>
      <c r="P95" s="66" t="str">
        <f>IF(AG95="","",WORKDAY(AC95-R95-Q95+1,-1,{46329,46349,46384,46385,46386,46387,46388,46391,46398,46429,46441,46468}))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 t="str">
        <f>IF(AG95="","",WORKDAY(AG95-AF95+1,-1,{46329,46349,46384,46385,46386,46387,46388,46391,46398,46429,46441,46468}))</f>
        <v/>
      </c>
      <c r="AD95" s="66" cm="1" t="str">
        <f t="array" ref="AD95">IF(AG95="","",$AG95-$AF95)</f>
        <v/>
      </c>
      <c r="AE95" s="67"/>
      <c r="AF95" s="83"/>
      <c r="AG95" s="72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</row>
    <row r="96" spans="1:64" ht="25.5" customHeight="1">
      <c r="A96" s="10" cm="1">
        <f t="array" ref="A96">A95+1</f>
        <v>85</v>
      </c>
      <c r="B96" s="9"/>
      <c r="C96" s="19"/>
      <c r="D96" s="72"/>
      <c r="E96" s="71"/>
      <c r="F96" s="82" t="str">
        <f>IF(AG96="","",WORKDAY(I96-H96+1,-1,{46329,46349,46384,46385,46386,46387,46388,46391,46398,46429,46441,46468}))</f>
        <v/>
      </c>
      <c r="G96" s="67"/>
      <c r="H96" s="65"/>
      <c r="I96" s="66" t="str">
        <f>IF(AG96="","",WORKDAY(P96-K96+1,-1,{46329,46349,46384,46385,46386,46387,46388,46391,46398,46429,46441,46468}))</f>
        <v/>
      </c>
      <c r="J96" s="67"/>
      <c r="K96" s="65"/>
      <c r="L96" s="68"/>
      <c r="M96" s="68"/>
      <c r="N96" s="68"/>
      <c r="O96" s="68"/>
      <c r="P96" s="66" t="str">
        <f>IF(AG96="","",WORKDAY(AC96-R96-Q96+1,-1,{46329,46349,46384,46385,46386,46387,46388,46391,46398,46429,46441,46468}))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 t="str">
        <f>IF(AG96="","",WORKDAY(AG96-AF96+1,-1,{46329,46349,46384,46385,46386,46387,46388,46391,46398,46429,46441,46468}))</f>
        <v/>
      </c>
      <c r="AD96" s="66" cm="1" t="str">
        <f t="array" ref="AD96">IF(AG96="","",$AG96-$AF96)</f>
        <v/>
      </c>
      <c r="AE96" s="67"/>
      <c r="AF96" s="83"/>
      <c r="AG96" s="72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</row>
    <row r="97" spans="1:64" ht="25.5" customHeight="1">
      <c r="A97" s="10" cm="1">
        <f t="array" ref="A97">A96+1</f>
        <v>86</v>
      </c>
      <c r="B97" s="9"/>
      <c r="C97" s="19"/>
      <c r="D97" s="72"/>
      <c r="E97" s="71"/>
      <c r="F97" s="82" t="str">
        <f>IF(AG97="","",WORKDAY(I97-H97+1,-1,{46329,46349,46384,46385,46386,46387,46388,46391,46398,46429,46441,46468}))</f>
        <v/>
      </c>
      <c r="G97" s="67"/>
      <c r="H97" s="65"/>
      <c r="I97" s="66" t="str">
        <f>IF(AG97="","",WORKDAY(P97-K97+1,-1,{46329,46349,46384,46385,46386,46387,46388,46391,46398,46429,46441,46468}))</f>
        <v/>
      </c>
      <c r="J97" s="67"/>
      <c r="K97" s="65"/>
      <c r="L97" s="68"/>
      <c r="M97" s="68"/>
      <c r="N97" s="68"/>
      <c r="O97" s="68"/>
      <c r="P97" s="66" t="str">
        <f>IF(AG97="","",WORKDAY(AC97-R97-Q97+1,-1,{46329,46349,46384,46385,46386,46387,46388,46391,46398,46429,46441,46468}))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 t="str">
        <f>IF(AG97="","",WORKDAY(AG97-AF97+1,-1,{46329,46349,46384,46385,46386,46387,46388,46391,46398,46429,46441,46468}))</f>
        <v/>
      </c>
      <c r="AD97" s="66" cm="1" t="str">
        <f t="array" ref="AD97">IF(AG97="","",$AG97-$AF97)</f>
        <v/>
      </c>
      <c r="AE97" s="67"/>
      <c r="AF97" s="83"/>
      <c r="AG97" s="72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</row>
    <row r="98" spans="1:64" ht="25.5" customHeight="1">
      <c r="A98" s="10" cm="1">
        <f t="array" ref="A98">A97+1</f>
        <v>87</v>
      </c>
      <c r="B98" s="9"/>
      <c r="C98" s="19"/>
      <c r="D98" s="72"/>
      <c r="E98" s="71"/>
      <c r="F98" s="82" t="str">
        <f>IF(AG98="","",WORKDAY(I98-H98+1,-1,{46329,46349,46384,46385,46386,46387,46388,46391,46398,46429,46441,46468}))</f>
        <v/>
      </c>
      <c r="G98" s="67"/>
      <c r="H98" s="65"/>
      <c r="I98" s="66" t="str">
        <f>IF(AG98="","",WORKDAY(P98-K98+1,-1,{46329,46349,46384,46385,46386,46387,46388,46391,46398,46429,46441,46468}))</f>
        <v/>
      </c>
      <c r="J98" s="67"/>
      <c r="K98" s="65"/>
      <c r="L98" s="68"/>
      <c r="M98" s="68"/>
      <c r="N98" s="68"/>
      <c r="O98" s="68"/>
      <c r="P98" s="66" t="str">
        <f>IF(AG98="","",WORKDAY(AC98-R98-Q98+1,-1,{46329,46349,46384,46385,46386,46387,46388,46391,46398,46429,46441,46468}))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 t="str">
        <f>IF(AG98="","",WORKDAY(AG98-AF98+1,-1,{46329,46349,46384,46385,46386,46387,46388,46391,46398,46429,46441,46468}))</f>
        <v/>
      </c>
      <c r="AD98" s="66" cm="1" t="str">
        <f t="array" ref="AD98">IF(AG98="","",$AG98-$AF98)</f>
        <v/>
      </c>
      <c r="AE98" s="67"/>
      <c r="AF98" s="83"/>
      <c r="AG98" s="72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</row>
    <row r="99" spans="1:64" ht="25.5" customHeight="1">
      <c r="A99" s="10" cm="1">
        <f t="array" ref="A99">A98+1</f>
        <v>88</v>
      </c>
      <c r="B99" s="9"/>
      <c r="C99" s="19"/>
      <c r="D99" s="72"/>
      <c r="E99" s="71"/>
      <c r="F99" s="82" t="str">
        <f>IF(AG99="","",WORKDAY(I99-H99+1,-1,{46329,46349,46384,46385,46386,46387,46388,46391,46398,46429,46441,46468}))</f>
        <v/>
      </c>
      <c r="G99" s="67"/>
      <c r="H99" s="65"/>
      <c r="I99" s="66" t="str">
        <f>IF(AG99="","",WORKDAY(P99-K99+1,-1,{46329,46349,46384,46385,46386,46387,46388,46391,46398,46429,46441,46468}))</f>
        <v/>
      </c>
      <c r="J99" s="67"/>
      <c r="K99" s="65"/>
      <c r="L99" s="68"/>
      <c r="M99" s="68"/>
      <c r="N99" s="68"/>
      <c r="O99" s="68"/>
      <c r="P99" s="66" t="str">
        <f>IF(AG99="","",WORKDAY(AC99-R99-Q99+1,-1,{46329,46349,46384,46385,46386,46387,46388,46391,46398,46429,46441,46468}))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 t="str">
        <f>IF(AG99="","",WORKDAY(AG99-AF99+1,-1,{46329,46349,46384,46385,46386,46387,46388,46391,46398,46429,46441,46468}))</f>
        <v/>
      </c>
      <c r="AD99" s="66" cm="1" t="str">
        <f t="array" ref="AD99">IF(AG99="","",$AG99-$AF99)</f>
        <v/>
      </c>
      <c r="AE99" s="67"/>
      <c r="AF99" s="83"/>
      <c r="AG99" s="72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</row>
    <row r="100" spans="1:64" ht="25.5" customHeight="1">
      <c r="A100" s="10" cm="1">
        <f t="array" ref="A100">A99+1</f>
        <v>89</v>
      </c>
      <c r="B100" s="9"/>
      <c r="C100" s="19"/>
      <c r="D100" s="72"/>
      <c r="E100" s="71"/>
      <c r="F100" s="82" t="str">
        <f>IF(AG100="","",WORKDAY(I100-H100+1,-1,{46329,46349,46384,46385,46386,46387,46388,46391,46398,46429,46441,46468}))</f>
        <v/>
      </c>
      <c r="G100" s="67"/>
      <c r="H100" s="65"/>
      <c r="I100" s="66" t="str">
        <f>IF(AG100="","",WORKDAY(P100-K100+1,-1,{46329,46349,46384,46385,46386,46387,46388,46391,46398,46429,46441,46468}))</f>
        <v/>
      </c>
      <c r="J100" s="67"/>
      <c r="K100" s="65"/>
      <c r="L100" s="68"/>
      <c r="M100" s="68"/>
      <c r="N100" s="68"/>
      <c r="O100" s="68"/>
      <c r="P100" s="66" t="str">
        <f>IF(AG100="","",WORKDAY(AC100-R100-Q100+1,-1,{46329,46349,46384,46385,46386,46387,46388,46391,46398,46429,46441,46468}))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 t="str">
        <f>IF(AG100="","",WORKDAY(AG100-AF100+1,-1,{46329,46349,46384,46385,46386,46387,46388,46391,46398,46429,46441,46468}))</f>
        <v/>
      </c>
      <c r="AD100" s="66" cm="1" t="str">
        <f t="array" ref="AD100">IF(AG100="","",$AG100-$AF100)</f>
        <v/>
      </c>
      <c r="AE100" s="67"/>
      <c r="AF100" s="83"/>
      <c r="AG100" s="72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</row>
    <row r="101" spans="1:64" ht="25.5" customHeight="1">
      <c r="A101" s="10" cm="1">
        <f t="array" ref="A101">A100+1</f>
        <v>90</v>
      </c>
      <c r="B101" s="9"/>
      <c r="C101" s="19"/>
      <c r="D101" s="72"/>
      <c r="E101" s="71"/>
      <c r="F101" s="82" t="str">
        <f>IF(AG101="","",WORKDAY(I101-H101+1,-1,{46329,46349,46384,46385,46386,46387,46388,46391,46398,46429,46441,46468}))</f>
        <v/>
      </c>
      <c r="G101" s="67"/>
      <c r="H101" s="65"/>
      <c r="I101" s="66" t="str">
        <f>IF(AG101="","",WORKDAY(P101-K101+1,-1,{46329,46349,46384,46385,46386,46387,46388,46391,46398,46429,46441,46468}))</f>
        <v/>
      </c>
      <c r="J101" s="67"/>
      <c r="K101" s="65"/>
      <c r="L101" s="68"/>
      <c r="M101" s="68"/>
      <c r="N101" s="68"/>
      <c r="O101" s="68"/>
      <c r="P101" s="66" t="str">
        <f>IF(AG101="","",WORKDAY(AC101-R101-Q101+1,-1,{46329,46349,46384,46385,46386,46387,46388,46391,46398,46429,46441,46468}))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 t="str">
        <f>IF(AG101="","",WORKDAY(AG101-AF101+1,-1,{46329,46349,46384,46385,46386,46387,46388,46391,46398,46429,46441,46468}))</f>
        <v/>
      </c>
      <c r="AD101" s="66" cm="1" t="str">
        <f t="array" ref="AD101">IF(AG101="","",$AG101-$AF101)</f>
        <v/>
      </c>
      <c r="AE101" s="67"/>
      <c r="AF101" s="83"/>
      <c r="AG101" s="72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</row>
    <row r="102" spans="1:64" ht="25.5" customHeight="1">
      <c r="A102" s="10" cm="1">
        <f t="array" ref="A102">A101+1</f>
        <v>91</v>
      </c>
      <c r="B102" s="9"/>
      <c r="C102" s="19"/>
      <c r="D102" s="72"/>
      <c r="E102" s="71"/>
      <c r="F102" s="82" t="str">
        <f>IF(AG102="","",WORKDAY(I102-H102+1,-1,{46329,46349,46384,46385,46386,46387,46388,46391,46398,46429,46441,46468}))</f>
        <v/>
      </c>
      <c r="G102" s="67"/>
      <c r="H102" s="65"/>
      <c r="I102" s="66" t="str">
        <f>IF(AG102="","",WORKDAY(P102-K102+1,-1,{46329,46349,46384,46385,46386,46387,46388,46391,46398,46429,46441,46468}))</f>
        <v/>
      </c>
      <c r="J102" s="67"/>
      <c r="K102" s="65"/>
      <c r="L102" s="68"/>
      <c r="M102" s="68"/>
      <c r="N102" s="68"/>
      <c r="O102" s="68"/>
      <c r="P102" s="66" t="str">
        <f>IF(AG102="","",WORKDAY(AC102-R102-Q102+1,-1,{46329,46349,46384,46385,46386,46387,46388,46391,46398,46429,46441,46468}))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 t="str">
        <f>IF(AG102="","",WORKDAY(AG102-AF102+1,-1,{46329,46349,46384,46385,46386,46387,46388,46391,46398,46429,46441,46468}))</f>
        <v/>
      </c>
      <c r="AD102" s="66" cm="1" t="str">
        <f t="array" ref="AD102">IF(AG102="","",$AG102-$AF102)</f>
        <v/>
      </c>
      <c r="AE102" s="67"/>
      <c r="AF102" s="83"/>
      <c r="AG102" s="72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</row>
    <row r="103" spans="1:64" ht="25.5" customHeight="1">
      <c r="A103" s="10" cm="1">
        <f t="array" ref="A103">A102+1</f>
        <v>92</v>
      </c>
      <c r="B103" s="9"/>
      <c r="C103" s="19"/>
      <c r="D103" s="72"/>
      <c r="E103" s="71"/>
      <c r="F103" s="82" t="str">
        <f>IF(AG103="","",WORKDAY(I103-H103+1,-1,{46329,46349,46384,46385,46386,46387,46388,46391,46398,46429,46441,46468}))</f>
        <v/>
      </c>
      <c r="G103" s="67"/>
      <c r="H103" s="65"/>
      <c r="I103" s="66" t="str">
        <f>IF(AG103="","",WORKDAY(P103-K103+1,-1,{46329,46349,46384,46385,46386,46387,46388,46391,46398,46429,46441,46468}))</f>
        <v/>
      </c>
      <c r="J103" s="67"/>
      <c r="K103" s="65"/>
      <c r="L103" s="68"/>
      <c r="M103" s="68"/>
      <c r="N103" s="68"/>
      <c r="O103" s="68"/>
      <c r="P103" s="66" t="str">
        <f>IF(AG103="","",WORKDAY(AC103-R103-Q103+1,-1,{46329,46349,46384,46385,46386,46387,46388,46391,46398,46429,46441,46468}))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 t="str">
        <f>IF(AG103="","",WORKDAY(AG103-AF103+1,-1,{46329,46349,46384,46385,46386,46387,46388,46391,46398,46429,46441,46468}))</f>
        <v/>
      </c>
      <c r="AD103" s="66" cm="1" t="str">
        <f t="array" ref="AD103">IF(AG103="","",$AG103-$AF103)</f>
        <v/>
      </c>
      <c r="AE103" s="67"/>
      <c r="AF103" s="83"/>
      <c r="AG103" s="72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</row>
    <row r="104" spans="1:64" ht="25.5" customHeight="1">
      <c r="A104" s="10" cm="1">
        <f t="array" ref="A104">A103+1</f>
        <v>93</v>
      </c>
      <c r="B104" s="9"/>
      <c r="C104" s="19"/>
      <c r="D104" s="72"/>
      <c r="E104" s="71"/>
      <c r="F104" s="82" t="str">
        <f>IF(AG104="","",WORKDAY(I104-H104+1,-1,{46329,46349,46384,46385,46386,46387,46388,46391,46398,46429,46441,46468}))</f>
        <v/>
      </c>
      <c r="G104" s="67"/>
      <c r="H104" s="65"/>
      <c r="I104" s="66" t="str">
        <f>IF(AG104="","",WORKDAY(P104-K104+1,-1,{46329,46349,46384,46385,46386,46387,46388,46391,46398,46429,46441,46468}))</f>
        <v/>
      </c>
      <c r="J104" s="67"/>
      <c r="K104" s="65"/>
      <c r="L104" s="68"/>
      <c r="M104" s="68"/>
      <c r="N104" s="68"/>
      <c r="O104" s="68"/>
      <c r="P104" s="66" t="str">
        <f>IF(AG104="","",WORKDAY(AC104-R104-Q104+1,-1,{46329,46349,46384,46385,46386,46387,46388,46391,46398,46429,46441,46468}))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 t="str">
        <f>IF(AG104="","",WORKDAY(AG104-AF104+1,-1,{46329,46349,46384,46385,46386,46387,46388,46391,46398,46429,46441,46468}))</f>
        <v/>
      </c>
      <c r="AD104" s="66" cm="1" t="str">
        <f t="array" ref="AD104">IF(AG104="","",$AG104-$AF104)</f>
        <v/>
      </c>
      <c r="AE104" s="67"/>
      <c r="AF104" s="83"/>
      <c r="AG104" s="72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</row>
    <row r="105" spans="1:64" ht="25.5" customHeight="1">
      <c r="A105" s="10" cm="1">
        <f t="array" ref="A105">A104+1</f>
        <v>94</v>
      </c>
      <c r="B105" s="9"/>
      <c r="C105" s="19"/>
      <c r="D105" s="72"/>
      <c r="E105" s="71"/>
      <c r="F105" s="82" t="str">
        <f>IF(AG105="","",WORKDAY(I105-H105+1,-1,{46329,46349,46384,46385,46386,46387,46388,46391,46398,46429,46441,46468}))</f>
        <v/>
      </c>
      <c r="G105" s="67"/>
      <c r="H105" s="65"/>
      <c r="I105" s="66" t="str">
        <f>IF(AG105="","",WORKDAY(P105-K105+1,-1,{46329,46349,46384,46385,46386,46387,46388,46391,46398,46429,46441,46468}))</f>
        <v/>
      </c>
      <c r="J105" s="67"/>
      <c r="K105" s="65"/>
      <c r="L105" s="68"/>
      <c r="M105" s="68"/>
      <c r="N105" s="68"/>
      <c r="O105" s="68"/>
      <c r="P105" s="66" t="str">
        <f>IF(AG105="","",WORKDAY(AC105-R105-Q105+1,-1,{46329,46349,46384,46385,46386,46387,46388,46391,46398,46429,46441,46468}))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 t="str">
        <f>IF(AG105="","",WORKDAY(AG105-AF105+1,-1,{46329,46349,46384,46385,46386,46387,46388,46391,46398,46429,46441,46468}))</f>
        <v/>
      </c>
      <c r="AD105" s="66" cm="1" t="str">
        <f t="array" ref="AD105">IF(AG105="","",$AG105-$AF105)</f>
        <v/>
      </c>
      <c r="AE105" s="67"/>
      <c r="AF105" s="83"/>
      <c r="AG105" s="72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</row>
    <row r="106" spans="1:64" ht="25.5" customHeight="1">
      <c r="A106" s="10" cm="1">
        <f t="array" ref="A106">A105+1</f>
        <v>95</v>
      </c>
      <c r="B106" s="9"/>
      <c r="C106" s="19"/>
      <c r="D106" s="72"/>
      <c r="E106" s="71"/>
      <c r="F106" s="82" t="str">
        <f>IF(AG106="","",WORKDAY(I106-H106+1,-1,{46329,46349,46384,46385,46386,46387,46388,46391,46398,46429,46441,46468}))</f>
        <v/>
      </c>
      <c r="G106" s="67"/>
      <c r="H106" s="65"/>
      <c r="I106" s="66" t="str">
        <f>IF(AG106="","",WORKDAY(P106-K106+1,-1,{46329,46349,46384,46385,46386,46387,46388,46391,46398,46429,46441,46468}))</f>
        <v/>
      </c>
      <c r="J106" s="67"/>
      <c r="K106" s="65"/>
      <c r="L106" s="68"/>
      <c r="M106" s="68"/>
      <c r="N106" s="68"/>
      <c r="O106" s="68"/>
      <c r="P106" s="66" t="str">
        <f>IF(AG106="","",WORKDAY(AC106-R106-Q106+1,-1,{46329,46349,46384,46385,46386,46387,46388,46391,46398,46429,46441,46468}))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 t="str">
        <f>IF(AG106="","",WORKDAY(AG106-AF106+1,-1,{46329,46349,46384,46385,46386,46387,46388,46391,46398,46429,46441,46468}))</f>
        <v/>
      </c>
      <c r="AD106" s="68"/>
      <c r="AE106" s="67"/>
      <c r="AF106" s="83"/>
      <c r="AG106" s="72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</row>
    <row r="107" spans="1:64" ht="25.5" customHeight="1">
      <c r="A107" s="10" cm="1">
        <f t="array" ref="A107">A106+1</f>
        <v>96</v>
      </c>
      <c r="B107" s="9"/>
      <c r="C107" s="19"/>
      <c r="D107" s="72"/>
      <c r="E107" s="71"/>
      <c r="F107" s="82" t="str">
        <f>IF(AG107="","",WORKDAY(I107-H107+1,-1,{46329,46349,46384,46385,46386,46387,46388,46391,46398,46429,46441,46468}))</f>
        <v/>
      </c>
      <c r="G107" s="67"/>
      <c r="H107" s="65"/>
      <c r="I107" s="66" t="str">
        <f>IF(AG107="","",WORKDAY(P107-K107+1,-1,{46329,46349,46384,46385,46386,46387,46388,46391,46398,46429,46441,46468}))</f>
        <v/>
      </c>
      <c r="J107" s="67"/>
      <c r="K107" s="65"/>
      <c r="L107" s="68"/>
      <c r="M107" s="68"/>
      <c r="N107" s="68"/>
      <c r="O107" s="68"/>
      <c r="P107" s="66" t="str">
        <f>IF(AG107="","",WORKDAY(AC107-R107-Q107+1,-1,{46329,46349,46384,46385,46386,46387,46388,46391,46398,46429,46441,46468}))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 t="str">
        <f>IF(AG107="","",WORKDAY(AG107-AF107+1,-1,{46329,46349,46384,46385,46386,46387,46388,46391,46398,46429,46441,46468}))</f>
        <v/>
      </c>
      <c r="AD107" s="68"/>
      <c r="AE107" s="67"/>
      <c r="AF107" s="83"/>
      <c r="AG107" s="72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</row>
    <row r="108" spans="1:64" ht="25.5" customHeight="1">
      <c r="A108" s="10" cm="1">
        <f t="array" ref="A108">A107+1</f>
        <v>97</v>
      </c>
      <c r="B108" s="9"/>
      <c r="C108" s="19"/>
      <c r="D108" s="72"/>
      <c r="E108" s="71"/>
      <c r="F108" s="82" t="str">
        <f>IF(AG108="","",WORKDAY(I108-H108+1,-1,{46329,46349,46384,46385,46386,46387,46388,46391,46398,46429,46441,46468}))</f>
        <v/>
      </c>
      <c r="G108" s="67"/>
      <c r="H108" s="65"/>
      <c r="I108" s="66" t="str">
        <f>IF(AG108="","",WORKDAY(P108-K108+1,-1,{46329,46349,46384,46385,46386,46387,46388,46391,46398,46429,46441,46468}))</f>
        <v/>
      </c>
      <c r="J108" s="67"/>
      <c r="K108" s="65"/>
      <c r="L108" s="68"/>
      <c r="M108" s="68"/>
      <c r="N108" s="68"/>
      <c r="O108" s="68"/>
      <c r="P108" s="66" t="str">
        <f>IF(AG108="","",WORKDAY(AC108-R108-Q108+1,-1,{46329,46349,46384,46385,46386,46387,46388,46391,46398,46429,46441,46468}))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 t="str">
        <f>IF(AG108="","",WORKDAY(AG108-AF108+1,-1,{46329,46349,46384,46385,46386,46387,46388,46391,46398,46429,46441,46468}))</f>
        <v/>
      </c>
      <c r="AD108" s="68"/>
      <c r="AE108" s="67"/>
      <c r="AF108" s="83"/>
      <c r="AG108" s="72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</row>
    <row r="109" spans="1:64" ht="25.5" customHeight="1">
      <c r="A109" s="10" cm="1">
        <f t="array" ref="A109">A108+1</f>
        <v>98</v>
      </c>
      <c r="B109" s="9"/>
      <c r="C109" s="19"/>
      <c r="D109" s="72"/>
      <c r="E109" s="71"/>
      <c r="F109" s="82" t="str">
        <f>IF(AG109="","",WORKDAY(I109-H109+1,-1,{46329,46349,46384,46385,46386,46387,46388,46391,46398,46429,46441,46468}))</f>
        <v/>
      </c>
      <c r="G109" s="67"/>
      <c r="H109" s="65"/>
      <c r="I109" s="66" t="str">
        <f>IF(AG109="","",WORKDAY(P109-K109+1,-1,{46329,46349,46384,46385,46386,46387,46388,46391,46398,46429,46441,46468}))</f>
        <v/>
      </c>
      <c r="J109" s="67"/>
      <c r="K109" s="65"/>
      <c r="L109" s="68"/>
      <c r="M109" s="68"/>
      <c r="N109" s="68"/>
      <c r="O109" s="68"/>
      <c r="P109" s="66" t="str">
        <f>IF(AG109="","",WORKDAY(AC109-R109-Q109+1,-1,{46329,46349,46384,46385,46386,46387,46388,46391,46398,46429,46441,46468}))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 t="str">
        <f>IF(AG109="","",WORKDAY(AG109-AF109+1,-1,{46329,46349,46384,46385,46386,46387,46388,46391,46398,46429,46441,46468}))</f>
        <v/>
      </c>
      <c r="AD109" s="68"/>
      <c r="AE109" s="67"/>
      <c r="AF109" s="83"/>
      <c r="AG109" s="72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</row>
    <row r="110" spans="1:64" ht="25.2" customHeight="1">
      <c r="A110" s="10" cm="1">
        <f t="array" ref="A110">A109+1</f>
        <v>99</v>
      </c>
      <c r="B110" s="9"/>
      <c r="C110" s="19"/>
      <c r="D110" s="72"/>
      <c r="E110" s="71"/>
      <c r="F110" s="82" t="str">
        <f>IF(AG110="","",WORKDAY(I110-H110+1,-1,{46329,46349,46384,46385,46386,46387,46388,46391,46398,46429,46441,46468}))</f>
        <v/>
      </c>
      <c r="G110" s="67"/>
      <c r="H110" s="65"/>
      <c r="I110" s="66" t="str">
        <f>IF(AG110="","",WORKDAY(P110-K110+1,-1,{46329,46349,46384,46385,46386,46387,46388,46391,46398,46429,46441,46468}))</f>
        <v/>
      </c>
      <c r="J110" s="67"/>
      <c r="K110" s="65"/>
      <c r="L110" s="68"/>
      <c r="M110" s="68"/>
      <c r="N110" s="68"/>
      <c r="O110" s="68"/>
      <c r="P110" s="66" t="str">
        <f>IF(AG110="","",WORKDAY(AC110-R110-Q110+1,-1,{46329,46349,46384,46385,46386,46387,46388,46391,46398,46429,46441,46468}))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 t="str">
        <f>IF(AG110="","",WORKDAY(AG110-AF110+1,-1,{46329,46349,46384,46385,46386,46387,46388,46391,46398,46429,46441,46468}))</f>
        <v/>
      </c>
      <c r="AD110" s="68"/>
      <c r="AE110" s="67"/>
      <c r="AF110" s="83"/>
      <c r="AG110" s="72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 spans="1:64" ht="25.2" customHeight="1">
      <c r="A111" s="10" cm="1">
        <f t="array" ref="A111">A110+1</f>
        <v>100</v>
      </c>
      <c r="B111" s="9"/>
      <c r="C111" s="19"/>
      <c r="D111" s="72"/>
      <c r="E111" s="71"/>
      <c r="F111" s="82" t="str">
        <f>IF(AG111="","",WORKDAY(I111-H111+1,-1,{46329,46349,46384,46385,46386,46387,46388,46391,46398,46429,46441,46468}))</f>
        <v/>
      </c>
      <c r="G111" s="67"/>
      <c r="H111" s="65"/>
      <c r="I111" s="66" t="str">
        <f>IF(AG111="","",WORKDAY(P111-K111+1,-1,{46329,46349,46384,46385,46386,46387,46388,46391,46398,46429,46441,46468}))</f>
        <v/>
      </c>
      <c r="J111" s="67"/>
      <c r="K111" s="65"/>
      <c r="L111" s="68"/>
      <c r="M111" s="68"/>
      <c r="N111" s="68"/>
      <c r="O111" s="68"/>
      <c r="P111" s="66" t="str">
        <f>IF(AG111="","",WORKDAY(AC111-R111-Q111+1,-1,{46329,46349,46384,46385,46386,46387,46388,46391,46398,46429,46441,46468}))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 t="str">
        <f>IF(AG111="","",WORKDAY(AG111-AF111+1,-1,{46329,46349,46384,46385,46386,46387,46388,46391,46398,46429,46441,46468}))</f>
        <v/>
      </c>
      <c r="AD111" s="68"/>
      <c r="AE111" s="67"/>
      <c r="AF111" s="83"/>
      <c r="AG111" s="72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</row>
    <row r="112" spans="1:64" ht="25.2" customHeight="1">
      <c r="A112" s="10" cm="1">
        <f t="array" ref="A112">A111+1</f>
        <v>101</v>
      </c>
      <c r="B112" s="9"/>
      <c r="C112" s="19"/>
      <c r="D112" s="72"/>
      <c r="E112" s="71"/>
      <c r="F112" s="82" t="str">
        <f>IF(AG112="","",WORKDAY(I112-H112+1,-1,{46329,46349,46384,46385,46386,46387,46388,46391,46398,46429,46441,46468}))</f>
        <v/>
      </c>
      <c r="G112" s="67"/>
      <c r="H112" s="65"/>
      <c r="I112" s="66" t="str">
        <f>IF(AG112="","",WORKDAY(P112-K112+1,-1,{46329,46349,46384,46385,46386,46387,46388,46391,46398,46429,46441,46468}))</f>
        <v/>
      </c>
      <c r="J112" s="67"/>
      <c r="K112" s="65"/>
      <c r="L112" s="68"/>
      <c r="M112" s="68"/>
      <c r="N112" s="68"/>
      <c r="O112" s="68"/>
      <c r="P112" s="66" t="str">
        <f>IF(AG112="","",WORKDAY(AC112-R112-Q112+1,-1,{46329,46349,46384,46385,46386,46387,46388,46391,46398,46429,46441,46468}))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 t="str">
        <f>IF(AG112="","",WORKDAY(AG112-AF112+1,-1,{46329,46349,46384,46385,46386,46387,46388,46391,46398,46429,46441,46468}))</f>
        <v/>
      </c>
      <c r="AD112" s="68"/>
      <c r="AE112" s="67"/>
      <c r="AF112" s="83"/>
      <c r="AG112" s="72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 spans="1:64" ht="25.2" customHeight="1">
      <c r="A113" s="10" cm="1">
        <f t="array" ref="A113">A112+1</f>
        <v>102</v>
      </c>
      <c r="B113" s="9"/>
      <c r="C113" s="19"/>
      <c r="D113" s="72"/>
      <c r="E113" s="71"/>
      <c r="F113" s="82" t="str">
        <f>IF(AG113="","",WORKDAY(I113-H113+1,-1,{46329,46349,46384,46385,46386,46387,46388,46391,46398,46429,46441,46468}))</f>
        <v/>
      </c>
      <c r="G113" s="67"/>
      <c r="H113" s="65"/>
      <c r="I113" s="66" t="str">
        <f>IF(AG113="","",WORKDAY(P113-K113+1,-1,{46329,46349,46384,46385,46386,46387,46388,46391,46398,46429,46441,46468}))</f>
        <v/>
      </c>
      <c r="J113" s="67"/>
      <c r="K113" s="65"/>
      <c r="L113" s="68"/>
      <c r="M113" s="68"/>
      <c r="N113" s="68"/>
      <c r="O113" s="68"/>
      <c r="P113" s="66" t="str">
        <f>IF(AG113="","",WORKDAY(AC113-R113-Q113+1,-1,{46329,46349,46384,46385,46386,46387,46388,46391,46398,46429,46441,46468}))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 t="str">
        <f>IF(AG113="","",WORKDAY(AG113-AF113+1,-1,{46329,46349,46384,46385,46386,46387,46388,46391,46398,46429,46441,46468}))</f>
        <v/>
      </c>
      <c r="AD113" s="68"/>
      <c r="AE113" s="67"/>
      <c r="AF113" s="83"/>
      <c r="AG113" s="72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 spans="1:64" ht="25.2" customHeight="1">
      <c r="A114" s="10" cm="1">
        <f t="array" ref="A114">A113+1</f>
        <v>103</v>
      </c>
      <c r="B114" s="9"/>
      <c r="C114" s="19"/>
      <c r="D114" s="72"/>
      <c r="E114" s="71"/>
      <c r="F114" s="82" t="str">
        <f>IF(AG114="","",WORKDAY(I114-H114+1,-1,{46329,46349,46384,46385,46386,46387,46388,46391,46398,46429,46441,46468}))</f>
        <v/>
      </c>
      <c r="G114" s="67"/>
      <c r="H114" s="65"/>
      <c r="I114" s="66" t="str">
        <f>IF(AG114="","",WORKDAY(P114-K114+1,-1,{46329,46349,46384,46385,46386,46387,46388,46391,46398,46429,46441,46468}))</f>
        <v/>
      </c>
      <c r="J114" s="67"/>
      <c r="K114" s="65"/>
      <c r="L114" s="68"/>
      <c r="M114" s="68"/>
      <c r="N114" s="68"/>
      <c r="O114" s="68"/>
      <c r="P114" s="66" t="str">
        <f>IF(AG114="","",WORKDAY(AC114-R114-Q114+1,-1,{46329,46349,46384,46385,46386,46387,46388,46391,46398,46429,46441,46468}))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 t="str">
        <f>IF(AG114="","",WORKDAY(AG114-AF114+1,-1,{46329,46349,46384,46385,46386,46387,46388,46391,46398,46429,46441,46468}))</f>
        <v/>
      </c>
      <c r="AD114" s="68"/>
      <c r="AE114" s="67"/>
      <c r="AF114" s="83"/>
      <c r="AG114" s="72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 spans="1:64" ht="25.2" customHeight="1">
      <c r="A115" s="10" cm="1">
        <f t="array" ref="A115">A114+1</f>
        <v>104</v>
      </c>
      <c r="B115" s="9"/>
      <c r="C115" s="19"/>
      <c r="D115" s="72"/>
      <c r="E115" s="71"/>
      <c r="F115" s="82" t="str">
        <f>IF(AG115="","",WORKDAY(I115-H115+1,-1,{46329,46349,46384,46385,46386,46387,46388,46391,46398,46429,46441,46468}))</f>
        <v/>
      </c>
      <c r="G115" s="67"/>
      <c r="H115" s="65"/>
      <c r="I115" s="66" t="str">
        <f>IF(AG115="","",WORKDAY(P115-K115+1,-1,{46329,46349,46384,46385,46386,46387,46388,46391,46398,46429,46441,46468}))</f>
        <v/>
      </c>
      <c r="J115" s="67"/>
      <c r="K115" s="65"/>
      <c r="L115" s="68"/>
      <c r="M115" s="68"/>
      <c r="N115" s="68"/>
      <c r="O115" s="68"/>
      <c r="P115" s="66" t="str">
        <f>IF(AG115="","",WORKDAY(AC115-R115-Q115+1,-1,{46329,46349,46384,46385,46386,46387,46388,46391,46398,46429,46441,46468}))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 t="str">
        <f>IF(AG115="","",WORKDAY(AG115-AF115+1,-1,{46329,46349,46384,46385,46386,46387,46388,46391,46398,46429,46441,46468}))</f>
        <v/>
      </c>
      <c r="AD115" s="68"/>
      <c r="AE115" s="67"/>
      <c r="AF115" s="83"/>
      <c r="AG115" s="72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 spans="1:64" ht="25.2" customHeight="1">
      <c r="A116" s="10" cm="1">
        <f t="array" ref="A116">A115+1</f>
        <v>105</v>
      </c>
      <c r="B116" s="9"/>
      <c r="C116" s="19"/>
      <c r="D116" s="72"/>
      <c r="E116" s="71"/>
      <c r="F116" s="82" t="str">
        <f>IF(AG116="","",WORKDAY(I116-H116+1,-1,{46329,46349,46384,46385,46386,46387,46388,46391,46398,46429,46441,46468}))</f>
        <v/>
      </c>
      <c r="G116" s="67"/>
      <c r="H116" s="65"/>
      <c r="I116" s="66" t="str">
        <f>IF(AG116="","",WORKDAY(P116-K116+1,-1,{46329,46349,46384,46385,46386,46387,46388,46391,46398,46429,46441,46468}))</f>
        <v/>
      </c>
      <c r="J116" s="67"/>
      <c r="K116" s="65"/>
      <c r="L116" s="68"/>
      <c r="M116" s="68"/>
      <c r="N116" s="68"/>
      <c r="O116" s="68"/>
      <c r="P116" s="66" t="str">
        <f>IF(AG116="","",WORKDAY(AC116-R116-Q116+1,-1,{46329,46349,46384,46385,46386,46387,46388,46391,46398,46429,46441,46468}))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 t="str">
        <f>IF(AG116="","",WORKDAY(AG116-AF116+1,-1,{46329,46349,46384,46385,46386,46387,46388,46391,46398,46429,46441,46468}))</f>
        <v/>
      </c>
      <c r="AD116" s="68"/>
      <c r="AE116" s="67"/>
      <c r="AF116" s="83"/>
      <c r="AG116" s="72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7" spans="1:64" ht="25.2" customHeight="1">
      <c r="A117" s="10" cm="1">
        <f t="array" ref="A117">A116+1</f>
        <v>106</v>
      </c>
      <c r="B117" s="9"/>
      <c r="C117" s="19"/>
      <c r="D117" s="72"/>
      <c r="E117" s="71"/>
      <c r="F117" s="82" t="str">
        <f>IF(AG117="","",WORKDAY(I117-H117+1,-1,{46329,46349,46384,46385,46386,46387,46388,46391,46398,46429,46441,46468}))</f>
        <v/>
      </c>
      <c r="G117" s="67"/>
      <c r="H117" s="65"/>
      <c r="I117" s="66" t="str">
        <f>IF(AG117="","",WORKDAY(P117-K117+1,-1,{46329,46349,46384,46385,46386,46387,46388,46391,46398,46429,46441,46468}))</f>
        <v/>
      </c>
      <c r="J117" s="67"/>
      <c r="K117" s="65"/>
      <c r="L117" s="68"/>
      <c r="M117" s="68"/>
      <c r="N117" s="68"/>
      <c r="O117" s="68"/>
      <c r="P117" s="66" t="str">
        <f>IF(AG117="","",WORKDAY(AC117-R117-Q117+1,-1,{46329,46349,46384,46385,46386,46387,46388,46391,46398,46429,46441,46468}))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 t="str">
        <f>IF(AG117="","",WORKDAY(AG117-AF117+1,-1,{46329,46349,46384,46385,46386,46387,46388,46391,46398,46429,46441,46468}))</f>
        <v/>
      </c>
      <c r="AD117" s="68"/>
      <c r="AE117" s="67"/>
      <c r="AF117" s="83"/>
      <c r="AG117" s="72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 spans="1:64" ht="25.2" customHeight="1">
      <c r="A118" s="10" cm="1">
        <f t="array" ref="A118">A117+1</f>
        <v>107</v>
      </c>
      <c r="B118" s="9"/>
      <c r="C118" s="19"/>
      <c r="D118" s="72"/>
      <c r="E118" s="71"/>
      <c r="F118" s="82" t="str">
        <f>IF(AG118="","",WORKDAY(I118-H118+1,-1,{46329,46349,46384,46385,46386,46387,46388,46391,46398,46429,46441,46468}))</f>
        <v/>
      </c>
      <c r="G118" s="67"/>
      <c r="H118" s="65"/>
      <c r="I118" s="66" t="str">
        <f>IF(AG118="","",WORKDAY(P118-K118+1,-1,{46329,46349,46384,46385,46386,46387,46388,46391,46398,46429,46441,46468}))</f>
        <v/>
      </c>
      <c r="J118" s="67"/>
      <c r="K118" s="65"/>
      <c r="L118" s="68"/>
      <c r="M118" s="68"/>
      <c r="N118" s="68"/>
      <c r="O118" s="68"/>
      <c r="P118" s="66" t="str">
        <f>IF(AG118="","",WORKDAY(AC118-R118-Q118+1,-1,{46329,46349,46384,46385,46386,46387,46388,46391,46398,46429,46441,46468}))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 t="str">
        <f>IF(AG118="","",WORKDAY(AG118-AF118+1,-1,{46329,46349,46384,46385,46386,46387,46388,46391,46398,46429,46441,46468}))</f>
        <v/>
      </c>
      <c r="AD118" s="68"/>
      <c r="AE118" s="67"/>
      <c r="AF118" s="83"/>
      <c r="AG118" s="72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 spans="1:64" ht="25.2" customHeight="1">
      <c r="A119" s="10" cm="1">
        <f t="array" ref="A119">A118+1</f>
        <v>108</v>
      </c>
      <c r="B119" s="9"/>
      <c r="C119" s="19"/>
      <c r="D119" s="72"/>
      <c r="E119" s="71"/>
      <c r="F119" s="82" t="str">
        <f>IF(AG119="","",WORKDAY(I119-H119+1,-1,{46329,46349,46384,46385,46386,46387,46388,46391,46398,46429,46441,46468}))</f>
        <v/>
      </c>
      <c r="G119" s="67"/>
      <c r="H119" s="65"/>
      <c r="I119" s="66" t="str">
        <f>IF(AG119="","",WORKDAY(P119-K119+1,-1,{46329,46349,46384,46385,46386,46387,46388,46391,46398,46429,46441,46468}))</f>
        <v/>
      </c>
      <c r="J119" s="67"/>
      <c r="K119" s="65"/>
      <c r="L119" s="68"/>
      <c r="M119" s="68"/>
      <c r="N119" s="68"/>
      <c r="O119" s="68"/>
      <c r="P119" s="66" t="str">
        <f>IF(AG119="","",WORKDAY(AC119-R119-Q119+1,-1,{46329,46349,46384,46385,46386,46387,46388,46391,46398,46429,46441,46468}))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 t="str">
        <f>IF(AG119="","",WORKDAY(AG119-AF119+1,-1,{46329,46349,46384,46385,46386,46387,46388,46391,46398,46429,46441,46468}))</f>
        <v/>
      </c>
      <c r="AD119" s="68"/>
      <c r="AE119" s="67"/>
      <c r="AF119" s="83"/>
      <c r="AG119" s="72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</row>
    <row r="120" spans="1:64" ht="25.2" customHeight="1">
      <c r="A120" s="10" cm="1">
        <f t="array" ref="A120">A119+1</f>
        <v>109</v>
      </c>
      <c r="B120" s="9"/>
      <c r="C120" s="19"/>
      <c r="D120" s="72"/>
      <c r="E120" s="71"/>
      <c r="F120" s="82" t="str">
        <f>IF(AG120="","",WORKDAY(I120-H120+1,-1,{46329,46349,46384,46385,46386,46387,46388,46391,46398,46429,46441,46468}))</f>
        <v/>
      </c>
      <c r="G120" s="67"/>
      <c r="H120" s="65"/>
      <c r="I120" s="66" t="str">
        <f>IF(AG120="","",WORKDAY(P120-K120+1,-1,{46329,46349,46384,46385,46386,46387,46388,46391,46398,46429,46441,46468}))</f>
        <v/>
      </c>
      <c r="J120" s="67"/>
      <c r="K120" s="65"/>
      <c r="L120" s="68"/>
      <c r="M120" s="68"/>
      <c r="N120" s="68"/>
      <c r="O120" s="68"/>
      <c r="P120" s="66" t="str">
        <f>IF(AG120="","",WORKDAY(AC120-R120-Q120+1,-1,{46329,46349,46384,46385,46386,46387,46388,46391,46398,46429,46441,46468}))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 t="str">
        <f>IF(AG120="","",WORKDAY(AG120-AF120+1,-1,{46329,46349,46384,46385,46386,46387,46388,46391,46398,46429,46441,46468}))</f>
        <v/>
      </c>
      <c r="AD120" s="68"/>
      <c r="AE120" s="67"/>
      <c r="AF120" s="83"/>
      <c r="AG120" s="72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</row>
    <row r="121" spans="1:64" ht="25.2" customHeight="1">
      <c r="A121" s="10" cm="1">
        <f t="array" ref="A121">A120+1</f>
        <v>110</v>
      </c>
      <c r="B121" s="9"/>
      <c r="C121" s="19"/>
      <c r="D121" s="72"/>
      <c r="E121" s="71"/>
      <c r="F121" s="82" t="str">
        <f>IF(AG121="","",WORKDAY(I121-H121+1,-1,{46329,46349,46384,46385,46386,46387,46388,46391,46398,46429,46441,46468}))</f>
        <v/>
      </c>
      <c r="G121" s="67"/>
      <c r="H121" s="65"/>
      <c r="I121" s="66" t="str">
        <f>IF(AG121="","",WORKDAY(P121-K121+1,-1,{46329,46349,46384,46385,46386,46387,46388,46391,46398,46429,46441,46468}))</f>
        <v/>
      </c>
      <c r="J121" s="67"/>
      <c r="K121" s="65"/>
      <c r="L121" s="68"/>
      <c r="M121" s="68"/>
      <c r="N121" s="68"/>
      <c r="O121" s="68"/>
      <c r="P121" s="66" t="str">
        <f>IF(AG121="","",WORKDAY(AC121-R121-Q121+1,-1,{46329,46349,46384,46385,46386,46387,46388,46391,46398,46429,46441,46468}))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 t="str">
        <f>IF(AG121="","",WORKDAY(AG121-AF121+1,-1,{46329,46349,46384,46385,46386,46387,46388,46391,46398,46429,46441,46468}))</f>
        <v/>
      </c>
      <c r="AD121" s="68"/>
      <c r="AE121" s="67"/>
      <c r="AF121" s="83"/>
      <c r="AG121" s="72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</row>
    <row r="122" spans="1:64" ht="25.2" customHeight="1">
      <c r="A122" s="10" cm="1">
        <f t="array" ref="A122">A121+1</f>
        <v>111</v>
      </c>
      <c r="B122" s="9"/>
      <c r="C122" s="19"/>
      <c r="D122" s="72"/>
      <c r="E122" s="71"/>
      <c r="F122" s="82" t="str">
        <f>IF(AG122="","",WORKDAY(I122-H122+1,-1,{46329,46349,46384,46385,46386,46387,46388,46391,46398,46429,46441,46468}))</f>
        <v/>
      </c>
      <c r="G122" s="67"/>
      <c r="H122" s="65"/>
      <c r="I122" s="66" t="str">
        <f>IF(AG122="","",WORKDAY(P122-K122+1,-1,{46329,46349,46384,46385,46386,46387,46388,46391,46398,46429,46441,46468}))</f>
        <v/>
      </c>
      <c r="J122" s="67"/>
      <c r="K122" s="65"/>
      <c r="L122" s="68"/>
      <c r="M122" s="68"/>
      <c r="N122" s="68"/>
      <c r="O122" s="68"/>
      <c r="P122" s="66" t="str">
        <f>IF(AG122="","",WORKDAY(AC122-R122-Q122+1,-1,{46329,46349,46384,46385,46386,46387,46388,46391,46398,46429,46441,46468}))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 t="str">
        <f>IF(AG122="","",WORKDAY(AG122-AF122+1,-1,{46329,46349,46384,46385,46386,46387,46388,46391,46398,46429,46441,46468}))</f>
        <v/>
      </c>
      <c r="AD122" s="68"/>
      <c r="AE122" s="67"/>
      <c r="AF122" s="83"/>
      <c r="AG122" s="72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 spans="1:64" ht="25.2" customHeight="1">
      <c r="A123" s="10" cm="1">
        <f t="array" ref="A123">A122+1</f>
        <v>112</v>
      </c>
      <c r="B123" s="9"/>
      <c r="C123" s="19"/>
      <c r="D123" s="72"/>
      <c r="E123" s="71"/>
      <c r="F123" s="82" t="str">
        <f>IF(AG123="","",WORKDAY(I123-H123+1,-1,{46329,46349,46384,46385,46386,46387,46388,46391,46398,46429,46441,46468}))</f>
        <v/>
      </c>
      <c r="G123" s="67"/>
      <c r="H123" s="65"/>
      <c r="I123" s="66" t="str">
        <f>IF(AG123="","",WORKDAY(P123-K123+1,-1,{46329,46349,46384,46385,46386,46387,46388,46391,46398,46429,46441,46468}))</f>
        <v/>
      </c>
      <c r="J123" s="67"/>
      <c r="K123" s="65"/>
      <c r="L123" s="68"/>
      <c r="M123" s="68"/>
      <c r="N123" s="68"/>
      <c r="O123" s="68"/>
      <c r="P123" s="66" t="str">
        <f>IF(AG123="","",WORKDAY(AC123-R123-Q123+1,-1,{46329,46349,46384,46385,46386,46387,46388,46391,46398,46429,46441,46468}))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 t="str">
        <f>IF(AG123="","",WORKDAY(AG123-AF123+1,-1,{46329,46349,46384,46385,46386,46387,46388,46391,46398,46429,46441,46468}))</f>
        <v/>
      </c>
      <c r="AD123" s="68"/>
      <c r="AE123" s="67"/>
      <c r="AF123" s="83"/>
      <c r="AG123" s="72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spans="1:64" ht="25.2" customHeight="1">
      <c r="A124" s="10" cm="1">
        <f t="array" ref="A124">A123+1</f>
        <v>113</v>
      </c>
      <c r="B124" s="9"/>
      <c r="C124" s="19"/>
      <c r="D124" s="72"/>
      <c r="E124" s="71"/>
      <c r="F124" s="82" t="str">
        <f>IF(AG124="","",WORKDAY(I124-H124+1,-1,{46329,46349,46384,46385,46386,46387,46388,46391,46398,46429,46441,46468}))</f>
        <v/>
      </c>
      <c r="G124" s="67"/>
      <c r="H124" s="65"/>
      <c r="I124" s="66" t="str">
        <f>IF(AG124="","",WORKDAY(P124-K124+1,-1,{46329,46349,46384,46385,46386,46387,46388,46391,46398,46429,46441,46468}))</f>
        <v/>
      </c>
      <c r="J124" s="67"/>
      <c r="K124" s="65"/>
      <c r="L124" s="68"/>
      <c r="M124" s="68"/>
      <c r="N124" s="68"/>
      <c r="O124" s="68"/>
      <c r="P124" s="66" t="str">
        <f>IF(AG124="","",WORKDAY(AC124-R124-Q124+1,-1,{46329,46349,46384,46385,46386,46387,46388,46391,46398,46429,46441,46468}))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 t="str">
        <f>IF(AG124="","",WORKDAY(AG124-AF124+1,-1,{46329,46349,46384,46385,46386,46387,46388,46391,46398,46429,46441,46468}))</f>
        <v/>
      </c>
      <c r="AD124" s="68"/>
      <c r="AE124" s="67"/>
      <c r="AF124" s="83"/>
      <c r="AG124" s="72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 spans="1:64" ht="25.2" customHeight="1">
      <c r="A125" s="10" cm="1">
        <f t="array" ref="A125">A124+1</f>
        <v>114</v>
      </c>
      <c r="B125" s="9"/>
      <c r="C125" s="19"/>
      <c r="D125" s="72"/>
      <c r="E125" s="71"/>
      <c r="F125" s="82" t="str">
        <f>IF(AG125="","",WORKDAY(I125-H125+1,-1,{46329,46349,46384,46385,46386,46387,46388,46391,46398,46429,46441,46468}))</f>
        <v/>
      </c>
      <c r="G125" s="67"/>
      <c r="H125" s="65"/>
      <c r="I125" s="66" t="str">
        <f>IF(AG125="","",WORKDAY(P125-K125+1,-1,{46329,46349,46384,46385,46386,46387,46388,46391,46398,46429,46441,46468}))</f>
        <v/>
      </c>
      <c r="J125" s="67"/>
      <c r="K125" s="65"/>
      <c r="L125" s="68"/>
      <c r="M125" s="68"/>
      <c r="N125" s="68"/>
      <c r="O125" s="68"/>
      <c r="P125" s="66" t="str">
        <f>IF(AG125="","",WORKDAY(AC125-R125-Q125+1,-1,{46329,46349,46384,46385,46386,46387,46388,46391,46398,46429,46441,46468}))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 t="str">
        <f>IF(AG125="","",WORKDAY(AG125-AF125+1,-1,{46329,46349,46384,46385,46386,46387,46388,46391,46398,46429,46441,46468}))</f>
        <v/>
      </c>
      <c r="AD125" s="68"/>
      <c r="AE125" s="67"/>
      <c r="AF125" s="83"/>
      <c r="AG125" s="72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 spans="1:64" ht="25.2" customHeight="1">
      <c r="A126" s="10" cm="1">
        <f t="array" ref="A126">A125+1</f>
        <v>115</v>
      </c>
      <c r="B126" s="9"/>
      <c r="C126" s="19"/>
      <c r="D126" s="72"/>
      <c r="E126" s="71"/>
      <c r="F126" s="82" t="str">
        <f>IF(AG126="","",WORKDAY(I126-H126+1,-1,{46329,46349,46384,46385,46386,46387,46388,46391,46398,46429,46441,46468}))</f>
        <v/>
      </c>
      <c r="G126" s="67"/>
      <c r="H126" s="65"/>
      <c r="I126" s="66" t="str">
        <f>IF(AG126="","",WORKDAY(P126-K126+1,-1,{46329,46349,46384,46385,46386,46387,46388,46391,46398,46429,46441,46468}))</f>
        <v/>
      </c>
      <c r="J126" s="67"/>
      <c r="K126" s="65"/>
      <c r="L126" s="68"/>
      <c r="M126" s="68"/>
      <c r="N126" s="68"/>
      <c r="O126" s="68"/>
      <c r="P126" s="66" t="str">
        <f>IF(AG126="","",WORKDAY(AC126-R126-Q126+1,-1,{46329,46349,46384,46385,46386,46387,46388,46391,46398,46429,46441,46468}))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 t="str">
        <f>IF(AG126="","",WORKDAY(AG126-AF126+1,-1,{46329,46349,46384,46385,46386,46387,46388,46391,46398,46429,46441,46468}))</f>
        <v/>
      </c>
      <c r="AD126" s="68"/>
      <c r="AE126" s="67"/>
      <c r="AF126" s="83"/>
      <c r="AG126" s="72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 spans="1:64" ht="25.2" customHeight="1">
      <c r="A127" s="10" cm="1">
        <f t="array" ref="A127">A126+1</f>
        <v>116</v>
      </c>
      <c r="B127" s="9"/>
      <c r="C127" s="19"/>
      <c r="D127" s="72"/>
      <c r="E127" s="71"/>
      <c r="F127" s="82" t="str">
        <f>IF(AG127="","",WORKDAY(I127-H127+1,-1,{46329,46349,46384,46385,46386,46387,46388,46391,46398,46429,46441,46468}))</f>
        <v/>
      </c>
      <c r="G127" s="67"/>
      <c r="H127" s="65"/>
      <c r="I127" s="66" t="str">
        <f>IF(AG127="","",WORKDAY(P127-K127+1,-1,{46329,46349,46384,46385,46386,46387,46388,46391,46398,46429,46441,46468}))</f>
        <v/>
      </c>
      <c r="J127" s="67"/>
      <c r="K127" s="65"/>
      <c r="L127" s="68"/>
      <c r="M127" s="68"/>
      <c r="N127" s="68"/>
      <c r="O127" s="68"/>
      <c r="P127" s="66" t="str">
        <f>IF(AG127="","",WORKDAY(AC127-R127-Q127+1,-1,{46329,46349,46384,46385,46386,46387,46388,46391,46398,46429,46441,46468}))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 t="str">
        <f>IF(AG127="","",WORKDAY(AG127-AF127+1,-1,{46329,46349,46384,46385,46386,46387,46388,46391,46398,46429,46441,46468}))</f>
        <v/>
      </c>
      <c r="AD127" s="68"/>
      <c r="AE127" s="67"/>
      <c r="AF127" s="83"/>
      <c r="AG127" s="72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</row>
    <row r="128" spans="1:64" ht="25.2" customHeight="1">
      <c r="A128" s="10" cm="1">
        <f t="array" ref="A128">A127+1</f>
        <v>117</v>
      </c>
      <c r="B128" s="9"/>
      <c r="C128" s="19"/>
      <c r="D128" s="72"/>
      <c r="E128" s="71"/>
      <c r="F128" s="82" t="str">
        <f>IF(AG128="","",WORKDAY(I128-H128+1,-1,{46329,46349,46384,46385,46386,46387,46388,46391,46398,46429,46441,46468}))</f>
        <v/>
      </c>
      <c r="G128" s="67"/>
      <c r="H128" s="65"/>
      <c r="I128" s="66" t="str">
        <f>IF(AG128="","",WORKDAY(P128-K128+1,-1,{46329,46349,46384,46385,46386,46387,46388,46391,46398,46429,46441,46468}))</f>
        <v/>
      </c>
      <c r="J128" s="67"/>
      <c r="K128" s="65"/>
      <c r="L128" s="68"/>
      <c r="M128" s="68"/>
      <c r="N128" s="68"/>
      <c r="O128" s="68"/>
      <c r="P128" s="66" t="str">
        <f>IF(AG128="","",WORKDAY(AC128-R128-Q128+1,-1,{46329,46349,46384,46385,46386,46387,46388,46391,46398,46429,46441,46468}))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 t="str">
        <f>IF(AG128="","",WORKDAY(AG128-AF128+1,-1,{46329,46349,46384,46385,46386,46387,46388,46391,46398,46429,46441,46468}))</f>
        <v/>
      </c>
      <c r="AD128" s="68"/>
      <c r="AE128" s="67"/>
      <c r="AF128" s="83"/>
      <c r="AG128" s="72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</row>
    <row r="129" spans="1:64" ht="25.2" customHeight="1">
      <c r="A129" s="10" cm="1">
        <f t="array" ref="A129">A128+1</f>
        <v>118</v>
      </c>
      <c r="B129" s="9"/>
      <c r="C129" s="19"/>
      <c r="D129" s="72"/>
      <c r="E129" s="71"/>
      <c r="F129" s="82" t="str">
        <f>IF(AG129="","",WORKDAY(I129-H129+1,-1,{46329,46349,46384,46385,46386,46387,46388,46391,46398,46429,46441,46468}))</f>
        <v/>
      </c>
      <c r="G129" s="67"/>
      <c r="H129" s="65"/>
      <c r="I129" s="66" t="str">
        <f>IF(AG129="","",WORKDAY(P129-K129+1,-1,{46329,46349,46384,46385,46386,46387,46388,46391,46398,46429,46441,46468}))</f>
        <v/>
      </c>
      <c r="J129" s="67"/>
      <c r="K129" s="65"/>
      <c r="L129" s="68"/>
      <c r="M129" s="68"/>
      <c r="N129" s="68"/>
      <c r="O129" s="68"/>
      <c r="P129" s="66" t="str">
        <f>IF(AG129="","",WORKDAY(AC129-R129-Q129+1,-1,{46329,46349,46384,46385,46386,46387,46388,46391,46398,46429,46441,46468}))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 t="str">
        <f>IF(AG129="","",WORKDAY(AG129-AF129+1,-1,{46329,46349,46384,46385,46386,46387,46388,46391,46398,46429,46441,46468}))</f>
        <v/>
      </c>
      <c r="AD129" s="68"/>
      <c r="AE129" s="67"/>
      <c r="AF129" s="83"/>
      <c r="AG129" s="72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</row>
    <row r="130" spans="1:64" ht="25.2" customHeight="1">
      <c r="A130" s="10" cm="1">
        <f t="array" ref="A130">A129+1</f>
        <v>119</v>
      </c>
      <c r="B130" s="9"/>
      <c r="C130" s="19"/>
      <c r="D130" s="72"/>
      <c r="E130" s="71"/>
      <c r="F130" s="82" t="str">
        <f>IF(AG130="","",WORKDAY(I130-H130+1,-1,{46329,46349,46384,46385,46386,46387,46388,46391,46398,46429,46441,46468}))</f>
        <v/>
      </c>
      <c r="G130" s="67"/>
      <c r="H130" s="65"/>
      <c r="I130" s="66" t="str">
        <f>IF(AG130="","",WORKDAY(P130-K130+1,-1,{46329,46349,46384,46385,46386,46387,46388,46391,46398,46429,46441,46468}))</f>
        <v/>
      </c>
      <c r="J130" s="67"/>
      <c r="K130" s="65"/>
      <c r="L130" s="68"/>
      <c r="M130" s="68"/>
      <c r="N130" s="68"/>
      <c r="O130" s="68"/>
      <c r="P130" s="66" t="str">
        <f>IF(AG130="","",WORKDAY(AC130-R130-Q130+1,-1,{46329,46349,46384,46385,46386,46387,46388,46391,46398,46429,46441,46468}))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 t="str">
        <f>IF(AG130="","",WORKDAY(AG130-AF130+1,-1,{46329,46349,46384,46385,46386,46387,46388,46391,46398,46429,46441,46468}))</f>
        <v/>
      </c>
      <c r="AD130" s="68"/>
      <c r="AE130" s="67"/>
      <c r="AF130" s="83"/>
      <c r="AG130" s="72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</row>
    <row r="131" spans="1:64" ht="25.2" customHeight="1">
      <c r="A131" s="10" cm="1">
        <f t="array" ref="A131">A130+1</f>
        <v>120</v>
      </c>
      <c r="B131" s="9"/>
      <c r="C131" s="19"/>
      <c r="D131" s="72"/>
      <c r="E131" s="71"/>
      <c r="F131" s="82" t="str">
        <f>IF(AG131="","",WORKDAY(I131-H131+1,-1,{46329,46349,46384,46385,46386,46387,46388,46391,46398,46429,46441,46468}))</f>
        <v/>
      </c>
      <c r="G131" s="67"/>
      <c r="H131" s="65"/>
      <c r="I131" s="66" t="str">
        <f>IF(AG131="","",WORKDAY(P131-K131+1,-1,{46329,46349,46384,46385,46386,46387,46388,46391,46398,46429,46441,46468}))</f>
        <v/>
      </c>
      <c r="J131" s="67"/>
      <c r="K131" s="65"/>
      <c r="L131" s="68"/>
      <c r="M131" s="68"/>
      <c r="N131" s="68"/>
      <c r="O131" s="68"/>
      <c r="P131" s="66" t="str">
        <f>IF(AG131="","",WORKDAY(AC131-R131-Q131+1,-1,{46329,46349,46384,46385,46386,46387,46388,46391,46398,46429,46441,46468}))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 t="str">
        <f>IF(AG131="","",WORKDAY(AG131-AF131+1,-1,{46329,46349,46384,46385,46386,46387,46388,46391,46398,46429,46441,46468}))</f>
        <v/>
      </c>
      <c r="AD131" s="68"/>
      <c r="AE131" s="67"/>
      <c r="AF131" s="83"/>
      <c r="AG131" s="72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</row>
    <row r="132" spans="1:64" ht="25.2" customHeight="1">
      <c r="A132" s="10" cm="1">
        <f t="array" ref="A132">A131+1</f>
        <v>121</v>
      </c>
      <c r="B132" s="9"/>
      <c r="C132" s="19"/>
      <c r="D132" s="72"/>
      <c r="E132" s="71"/>
      <c r="F132" s="82" t="str">
        <f>IF(AG132="","",WORKDAY(I132-H132+1,-1,{46329,46349,46384,46385,46386,46387,46388,46391,46398,46429,46441,46468}))</f>
        <v/>
      </c>
      <c r="G132" s="67"/>
      <c r="H132" s="65"/>
      <c r="I132" s="66" t="str">
        <f>IF(AG132="","",WORKDAY(P132-K132+1,-1,{46329,46349,46384,46385,46386,46387,46388,46391,46398,46429,46441,46468}))</f>
        <v/>
      </c>
      <c r="J132" s="67"/>
      <c r="K132" s="65"/>
      <c r="L132" s="68"/>
      <c r="M132" s="68"/>
      <c r="N132" s="68"/>
      <c r="O132" s="68"/>
      <c r="P132" s="66" t="str">
        <f>IF(AG132="","",WORKDAY(AC132-R132-Q132+1,-1,{46329,46349,46384,46385,46386,46387,46388,46391,46398,46429,46441,46468}))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 t="str">
        <f>IF(AG132="","",WORKDAY(AG132-AF132+1,-1,{46329,46349,46384,46385,46386,46387,46388,46391,46398,46429,46441,46468}))</f>
        <v/>
      </c>
      <c r="AD132" s="68"/>
      <c r="AE132" s="67"/>
      <c r="AF132" s="83"/>
      <c r="AG132" s="72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</row>
    <row r="133" spans="1:64" ht="25.2" customHeight="1">
      <c r="A133" s="10" cm="1">
        <f t="array" ref="A133">A132+1</f>
        <v>122</v>
      </c>
      <c r="B133" s="9"/>
      <c r="C133" s="19"/>
      <c r="D133" s="72"/>
      <c r="E133" s="71"/>
      <c r="F133" s="82" t="str">
        <f>IF(AG133="","",WORKDAY(I133-H133+1,-1,{46329,46349,46384,46385,46386,46387,46388,46391,46398,46429,46441,46468}))</f>
        <v/>
      </c>
      <c r="G133" s="67"/>
      <c r="H133" s="65"/>
      <c r="I133" s="66" t="str">
        <f>IF(AG133="","",WORKDAY(P133-K133+1,-1,{46329,46349,46384,46385,46386,46387,46388,46391,46398,46429,46441,46468}))</f>
        <v/>
      </c>
      <c r="J133" s="67"/>
      <c r="K133" s="65"/>
      <c r="L133" s="68"/>
      <c r="M133" s="68"/>
      <c r="N133" s="68"/>
      <c r="O133" s="68"/>
      <c r="P133" s="66" t="str">
        <f>IF(AG133="","",WORKDAY(AC133-R133-Q133+1,-1,{46329,46349,46384,46385,46386,46387,46388,46391,46398,46429,46441,46468}))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 t="str">
        <f>IF(AG133="","",WORKDAY(AG133-AF133+1,-1,{46329,46349,46384,46385,46386,46387,46388,46391,46398,46429,46441,46468}))</f>
        <v/>
      </c>
      <c r="AD133" s="68"/>
      <c r="AE133" s="67"/>
      <c r="AF133" s="83"/>
      <c r="AG133" s="72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</row>
    <row r="134" spans="1:64" ht="25.2" customHeight="1">
      <c r="A134" s="10" cm="1">
        <f t="array" ref="A134">A133+1</f>
        <v>123</v>
      </c>
      <c r="B134" s="9"/>
      <c r="C134" s="19"/>
      <c r="D134" s="72"/>
      <c r="E134" s="71"/>
      <c r="F134" s="82" t="str">
        <f>IF(AG134="","",WORKDAY(I134-H134+1,-1,{46329,46349,46384,46385,46386,46387,46388,46391,46398,46429,46441,46468}))</f>
        <v/>
      </c>
      <c r="G134" s="67"/>
      <c r="H134" s="65"/>
      <c r="I134" s="66" t="str">
        <f>IF(AG134="","",WORKDAY(P134-K134+1,-1,{46329,46349,46384,46385,46386,46387,46388,46391,46398,46429,46441,46468}))</f>
        <v/>
      </c>
      <c r="J134" s="67"/>
      <c r="K134" s="65"/>
      <c r="L134" s="68"/>
      <c r="M134" s="68"/>
      <c r="N134" s="68"/>
      <c r="O134" s="68"/>
      <c r="P134" s="66" t="str">
        <f>IF(AG134="","",WORKDAY(AC134-R134-Q134+1,-1,{46329,46349,46384,46385,46386,46387,46388,46391,46398,46429,46441,46468}))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 t="str">
        <f>IF(AG134="","",WORKDAY(AG134-AF134+1,-1,{46329,46349,46384,46385,46386,46387,46388,46391,46398,46429,46441,46468}))</f>
        <v/>
      </c>
      <c r="AD134" s="68"/>
      <c r="AE134" s="67"/>
      <c r="AF134" s="83"/>
      <c r="AG134" s="72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</row>
    <row r="135" spans="1:64" ht="25.2" customHeight="1">
      <c r="A135" s="10" cm="1">
        <f t="array" ref="A135">A134+1</f>
        <v>124</v>
      </c>
      <c r="B135" s="9"/>
      <c r="C135" s="19"/>
      <c r="D135" s="72"/>
      <c r="E135" s="71"/>
      <c r="F135" s="82" t="str">
        <f>IF(AG135="","",WORKDAY(I135-H135+1,-1,{46329,46349,46384,46385,46386,46387,46388,46391,46398,46429,46441,46468}))</f>
        <v/>
      </c>
      <c r="G135" s="67"/>
      <c r="H135" s="65"/>
      <c r="I135" s="66" t="str">
        <f>IF(AG135="","",WORKDAY(P135-K135+1,-1,{46329,46349,46384,46385,46386,46387,46388,46391,46398,46429,46441,46468}))</f>
        <v/>
      </c>
      <c r="J135" s="67"/>
      <c r="K135" s="65"/>
      <c r="L135" s="68"/>
      <c r="M135" s="68"/>
      <c r="N135" s="68"/>
      <c r="O135" s="68"/>
      <c r="P135" s="66" t="str">
        <f>IF(AG135="","",WORKDAY(AC135-R135-Q135+1,-1,{46329,46349,46384,46385,46386,46387,46388,46391,46398,46429,46441,46468}))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 t="str">
        <f>IF(AG135="","",WORKDAY(AG135-AF135+1,-1,{46329,46349,46384,46385,46386,46387,46388,46391,46398,46429,46441,46468}))</f>
        <v/>
      </c>
      <c r="AD135" s="68"/>
      <c r="AE135" s="67"/>
      <c r="AF135" s="83"/>
      <c r="AG135" s="72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</row>
    <row r="136" spans="1:64" ht="25.2" customHeight="1">
      <c r="A136" s="10" cm="1">
        <f t="array" ref="A136">A135+1</f>
        <v>125</v>
      </c>
      <c r="B136" s="9"/>
      <c r="C136" s="19"/>
      <c r="D136" s="72"/>
      <c r="E136" s="71"/>
      <c r="F136" s="82" t="str">
        <f>IF(AG136="","",WORKDAY(I136-H136+1,-1,{46329,46349,46384,46385,46386,46387,46388,46391,46398,46429,46441,46468}))</f>
        <v/>
      </c>
      <c r="G136" s="67"/>
      <c r="H136" s="65"/>
      <c r="I136" s="66" t="str">
        <f>IF(AG136="","",WORKDAY(P136-K136+1,-1,{46329,46349,46384,46385,46386,46387,46388,46391,46398,46429,46441,46468}))</f>
        <v/>
      </c>
      <c r="J136" s="67"/>
      <c r="K136" s="65"/>
      <c r="L136" s="68"/>
      <c r="M136" s="68"/>
      <c r="N136" s="68"/>
      <c r="O136" s="68"/>
      <c r="P136" s="66" t="str">
        <f>IF(AG136="","",WORKDAY(AC136-R136-Q136+1,-1,{46329,46349,46384,46385,46386,46387,46388,46391,46398,46429,46441,46468}))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 t="str">
        <f>IF(AG136="","",WORKDAY(AG136-AF136+1,-1,{46329,46349,46384,46385,46386,46387,46388,46391,46398,46429,46441,46468}))</f>
        <v/>
      </c>
      <c r="AD136" s="68"/>
      <c r="AE136" s="67"/>
      <c r="AF136" s="83"/>
      <c r="AG136" s="72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</row>
    <row r="137" spans="1:64" ht="25.2" customHeight="1">
      <c r="A137" s="10" cm="1">
        <f t="array" ref="A137">A136+1</f>
        <v>126</v>
      </c>
      <c r="B137" s="9"/>
      <c r="C137" s="19"/>
      <c r="D137" s="72"/>
      <c r="E137" s="71"/>
      <c r="F137" s="82" t="str">
        <f>IF(AG137="","",WORKDAY(I137-H137+1,-1,{46329,46349,46384,46385,46386,46387,46388,46391,46398,46429,46441,46468}))</f>
        <v/>
      </c>
      <c r="G137" s="67"/>
      <c r="H137" s="65"/>
      <c r="I137" s="66" t="str">
        <f>IF(AG137="","",WORKDAY(P137-K137+1,-1,{46329,46349,46384,46385,46386,46387,46388,46391,46398,46429,46441,46468}))</f>
        <v/>
      </c>
      <c r="J137" s="67"/>
      <c r="K137" s="65"/>
      <c r="L137" s="68"/>
      <c r="M137" s="68"/>
      <c r="N137" s="68"/>
      <c r="O137" s="68"/>
      <c r="P137" s="66" t="str">
        <f>IF(AG137="","",WORKDAY(AC137-R137-Q137+1,-1,{46329,46349,46384,46385,46386,46387,46388,46391,46398,46429,46441,46468}))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 t="str">
        <f>IF(AG137="","",WORKDAY(AG137-AF137+1,-1,{46329,46349,46384,46385,46386,46387,46388,46391,46398,46429,46441,46468}))</f>
        <v/>
      </c>
      <c r="AD137" s="68"/>
      <c r="AE137" s="67"/>
      <c r="AF137" s="83"/>
      <c r="AG137" s="72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</row>
    <row r="138" spans="1:64" ht="25.2" customHeight="1">
      <c r="A138" s="10" cm="1">
        <f t="array" ref="A138">A137+1</f>
        <v>127</v>
      </c>
      <c r="B138" s="9"/>
      <c r="C138" s="19"/>
      <c r="D138" s="72"/>
      <c r="E138" s="71"/>
      <c r="F138" s="82" t="str">
        <f>IF(AG138="","",WORKDAY(I138-H138+1,-1,{46329,46349,46384,46385,46386,46387,46388,46391,46398,46429,46441,46468}))</f>
        <v/>
      </c>
      <c r="G138" s="67"/>
      <c r="H138" s="65"/>
      <c r="I138" s="66" t="str">
        <f>IF(AG138="","",WORKDAY(P138-K138+1,-1,{46329,46349,46384,46385,46386,46387,46388,46391,46398,46429,46441,46468}))</f>
        <v/>
      </c>
      <c r="J138" s="67"/>
      <c r="K138" s="65"/>
      <c r="L138" s="68"/>
      <c r="M138" s="68"/>
      <c r="N138" s="68"/>
      <c r="O138" s="68"/>
      <c r="P138" s="66" t="str">
        <f>IF(AG138="","",WORKDAY(AC138-R138-Q138+1,-1,{46329,46349,46384,46385,46386,46387,46388,46391,46398,46429,46441,46468}))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 t="str">
        <f>IF(AG138="","",WORKDAY(AG138-AF138+1,-1,{46329,46349,46384,46385,46386,46387,46388,46391,46398,46429,46441,46468}))</f>
        <v/>
      </c>
      <c r="AD138" s="68"/>
      <c r="AE138" s="67"/>
      <c r="AF138" s="83"/>
      <c r="AG138" s="72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</row>
    <row r="139" spans="1:64" ht="25.2" customHeight="1">
      <c r="A139" s="10" cm="1">
        <f t="array" ref="A139">A138+1</f>
        <v>128</v>
      </c>
      <c r="B139" s="9"/>
      <c r="C139" s="19"/>
      <c r="D139" s="72"/>
      <c r="E139" s="71"/>
      <c r="F139" s="82" t="str">
        <f>IF(AG139="","",WORKDAY(I139-H139+1,-1,{46329,46349,46384,46385,46386,46387,46388,46391,46398,46429,46441,46468}))</f>
        <v/>
      </c>
      <c r="G139" s="67"/>
      <c r="H139" s="65"/>
      <c r="I139" s="66" t="str">
        <f>IF(AG139="","",WORKDAY(P139-K139+1,-1,{46329,46349,46384,46385,46386,46387,46388,46391,46398,46429,46441,46468}))</f>
        <v/>
      </c>
      <c r="J139" s="67"/>
      <c r="K139" s="65"/>
      <c r="L139" s="68"/>
      <c r="M139" s="68"/>
      <c r="N139" s="68"/>
      <c r="O139" s="68"/>
      <c r="P139" s="66" t="str">
        <f>IF(AG139="","",WORKDAY(AC139-R139-Q139+1,-1,{46329,46349,46384,46385,46386,46387,46388,46391,46398,46429,46441,46468}))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 t="str">
        <f>IF(AG139="","",WORKDAY(AG139-AF139+1,-1,{46329,46349,46384,46385,46386,46387,46388,46391,46398,46429,46441,46468}))</f>
        <v/>
      </c>
      <c r="AD139" s="68"/>
      <c r="AE139" s="67"/>
      <c r="AF139" s="83"/>
      <c r="AG139" s="72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</row>
    <row r="140" spans="1:64" ht="25.2" customHeight="1">
      <c r="A140" s="10" cm="1">
        <f t="array" ref="A140">A139+1</f>
        <v>129</v>
      </c>
      <c r="B140" s="9"/>
      <c r="C140" s="19"/>
      <c r="D140" s="72"/>
      <c r="E140" s="71"/>
      <c r="F140" s="82" t="str">
        <f>IF(AG140="","",WORKDAY(I140-H140+1,-1,{46329,46349,46384,46385,46386,46387,46388,46391,46398,46429,46441,46468}))</f>
        <v/>
      </c>
      <c r="G140" s="67"/>
      <c r="H140" s="65"/>
      <c r="I140" s="66" t="str">
        <f>IF(AG140="","",WORKDAY(P140-K140+1,-1,{46329,46349,46384,46385,46386,46387,46388,46391,46398,46429,46441,46468}))</f>
        <v/>
      </c>
      <c r="J140" s="67"/>
      <c r="K140" s="65"/>
      <c r="L140" s="68"/>
      <c r="M140" s="68"/>
      <c r="N140" s="68"/>
      <c r="O140" s="68"/>
      <c r="P140" s="66" t="str">
        <f>IF(AG140="","",WORKDAY(AC140-R140-Q140+1,-1,{46329,46349,46384,46385,46386,46387,46388,46391,46398,46429,46441,46468}))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 t="str">
        <f>IF(AG140="","",WORKDAY(AG140-AF140+1,-1,{46329,46349,46384,46385,46386,46387,46388,46391,46398,46429,46441,46468}))</f>
        <v/>
      </c>
      <c r="AD140" s="68"/>
      <c r="AE140" s="67"/>
      <c r="AF140" s="83"/>
      <c r="AG140" s="72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</row>
    <row r="141" spans="1:64" ht="25.2" customHeight="1">
      <c r="A141" s="10" cm="1">
        <f t="array" ref="A141">A140+1</f>
        <v>130</v>
      </c>
      <c r="B141" s="9"/>
      <c r="C141" s="19"/>
      <c r="D141" s="72"/>
      <c r="E141" s="71"/>
      <c r="F141" s="82" t="str">
        <f>IF(AG141="","",WORKDAY(I141-H141+1,-1,{46329,46349,46384,46385,46386,46387,46388,46391,46398,46429,46441,46468}))</f>
        <v/>
      </c>
      <c r="G141" s="67"/>
      <c r="H141" s="65"/>
      <c r="I141" s="66" t="str">
        <f>IF(AG141="","",WORKDAY(P141-K141+1,-1,{46329,46349,46384,46385,46386,46387,46388,46391,46398,46429,46441,46468}))</f>
        <v/>
      </c>
      <c r="J141" s="67"/>
      <c r="K141" s="65"/>
      <c r="L141" s="68"/>
      <c r="M141" s="68"/>
      <c r="N141" s="68"/>
      <c r="O141" s="68"/>
      <c r="P141" s="66" t="str">
        <f>IF(AG141="","",WORKDAY(AC141-R141-Q141+1,-1,{46329,46349,46384,46385,46386,46387,46388,46391,46398,46429,46441,46468}))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 t="str">
        <f>IF(AG141="","",WORKDAY(AG141-AF141+1,-1,{46329,46349,46384,46385,46386,46387,46388,46391,46398,46429,46441,46468}))</f>
        <v/>
      </c>
      <c r="AD141" s="68"/>
      <c r="AE141" s="67"/>
      <c r="AF141" s="83"/>
      <c r="AG141" s="72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</row>
    <row r="142" spans="1:64" ht="25.2" customHeight="1">
      <c r="A142" s="10" cm="1">
        <f t="array" ref="A142">A141+1</f>
        <v>131</v>
      </c>
      <c r="B142" s="9"/>
      <c r="C142" s="19"/>
      <c r="D142" s="72"/>
      <c r="E142" s="71"/>
      <c r="F142" s="82" t="str">
        <f>IF(AG142="","",WORKDAY(I142-H142+1,-1,{46329,46349,46384,46385,46386,46387,46388,46391,46398,46429,46441,46468}))</f>
        <v/>
      </c>
      <c r="G142" s="67"/>
      <c r="H142" s="65"/>
      <c r="I142" s="66" t="str">
        <f>IF(AG142="","",WORKDAY(P142-K142+1,-1,{46329,46349,46384,46385,46386,46387,46388,46391,46398,46429,46441,46468}))</f>
        <v/>
      </c>
      <c r="J142" s="67"/>
      <c r="K142" s="65"/>
      <c r="L142" s="68"/>
      <c r="M142" s="68"/>
      <c r="N142" s="68"/>
      <c r="O142" s="68"/>
      <c r="P142" s="66" t="str">
        <f>IF(AG142="","",WORKDAY(AC142-R142-Q142+1,-1,{46329,46349,46384,46385,46386,46387,46388,46391,46398,46429,46441,46468}))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 t="str">
        <f>IF(AG142="","",WORKDAY(AG142-AF142+1,-1,{46329,46349,46384,46385,46386,46387,46388,46391,46398,46429,46441,46468}))</f>
        <v/>
      </c>
      <c r="AD142" s="68"/>
      <c r="AE142" s="67"/>
      <c r="AF142" s="83"/>
      <c r="AG142" s="72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</row>
    <row r="143" spans="1:64" ht="25.2" customHeight="1">
      <c r="A143" s="10" cm="1">
        <f t="array" ref="A143">A142+1</f>
        <v>132</v>
      </c>
      <c r="B143" s="9"/>
      <c r="C143" s="19"/>
      <c r="D143" s="72"/>
      <c r="E143" s="71"/>
      <c r="F143" s="82" t="str">
        <f>IF(AG143="","",WORKDAY(I143-H143+1,-1,{46329,46349,46384,46385,46386,46387,46388,46391,46398,46429,46441,46468}))</f>
        <v/>
      </c>
      <c r="G143" s="67"/>
      <c r="H143" s="65"/>
      <c r="I143" s="66" t="str">
        <f>IF(AG143="","",WORKDAY(P143-K143+1,-1,{46329,46349,46384,46385,46386,46387,46388,46391,46398,46429,46441,46468}))</f>
        <v/>
      </c>
      <c r="J143" s="67"/>
      <c r="K143" s="65"/>
      <c r="L143" s="68"/>
      <c r="M143" s="68"/>
      <c r="N143" s="68"/>
      <c r="O143" s="68"/>
      <c r="P143" s="66" t="str">
        <f>IF(AG143="","",WORKDAY(AC143-R143-Q143+1,-1,{46329,46349,46384,46385,46386,46387,46388,46391,46398,46429,46441,46468}))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 t="str">
        <f>IF(AG143="","",WORKDAY(AG143-AF143+1,-1,{46329,46349,46384,46385,46386,46387,46388,46391,46398,46429,46441,46468}))</f>
        <v/>
      </c>
      <c r="AD143" s="68"/>
      <c r="AE143" s="67"/>
      <c r="AF143" s="83"/>
      <c r="AG143" s="72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</row>
    <row r="144" spans="1:64" ht="25.2" customHeight="1">
      <c r="A144" s="10" cm="1">
        <f t="array" ref="A144">A143+1</f>
        <v>133</v>
      </c>
      <c r="B144" s="9"/>
      <c r="C144" s="19"/>
      <c r="D144" s="72"/>
      <c r="E144" s="71"/>
      <c r="F144" s="82" t="str">
        <f>IF(AG144="","",WORKDAY(I144-H144+1,-1,{46329,46349,46384,46385,46386,46387,46388,46391,46398,46429,46441,46468}))</f>
        <v/>
      </c>
      <c r="G144" s="67"/>
      <c r="H144" s="65"/>
      <c r="I144" s="66" t="str">
        <f>IF(AG144="","",WORKDAY(P144-K144+1,-1,{46329,46349,46384,46385,46386,46387,46388,46391,46398,46429,46441,46468}))</f>
        <v/>
      </c>
      <c r="J144" s="67"/>
      <c r="K144" s="65"/>
      <c r="L144" s="68"/>
      <c r="M144" s="68"/>
      <c r="N144" s="68"/>
      <c r="O144" s="68"/>
      <c r="P144" s="66" t="str">
        <f>IF(AG144="","",WORKDAY(AC144-R144-Q144+1,-1,{46329,46349,46384,46385,46386,46387,46388,46391,46398,46429,46441,46468}))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 t="str">
        <f>IF(AG144="","",WORKDAY(AG144-AF144+1,-1,{46329,46349,46384,46385,46386,46387,46388,46391,46398,46429,46441,46468}))</f>
        <v/>
      </c>
      <c r="AD144" s="68"/>
      <c r="AE144" s="67"/>
      <c r="AF144" s="83"/>
      <c r="AG144" s="72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</row>
    <row r="145" spans="1:64" ht="25.2" customHeight="1">
      <c r="A145" s="10" cm="1">
        <f t="array" ref="A145">A144+1</f>
        <v>134</v>
      </c>
      <c r="B145" s="9"/>
      <c r="C145" s="19"/>
      <c r="D145" s="72"/>
      <c r="E145" s="71"/>
      <c r="F145" s="82" t="str">
        <f>IF(AG145="","",WORKDAY(I145-H145+1,-1,{46329,46349,46384,46385,46386,46387,46388,46391,46398,46429,46441,46468}))</f>
        <v/>
      </c>
      <c r="G145" s="67"/>
      <c r="H145" s="65"/>
      <c r="I145" s="66" t="str">
        <f>IF(AG145="","",WORKDAY(P145-K145+1,-1,{46329,46349,46384,46385,46386,46387,46388,46391,46398,46429,46441,46468}))</f>
        <v/>
      </c>
      <c r="J145" s="67"/>
      <c r="K145" s="65"/>
      <c r="L145" s="68"/>
      <c r="M145" s="68"/>
      <c r="N145" s="68"/>
      <c r="O145" s="68"/>
      <c r="P145" s="66" t="str">
        <f>IF(AG145="","",WORKDAY(AC145-R145-Q145+1,-1,{46329,46349,46384,46385,46386,46387,46388,46391,46398,46429,46441,46468}))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 t="str">
        <f>IF(AG145="","",WORKDAY(AG145-AF145+1,-1,{46329,46349,46384,46385,46386,46387,46388,46391,46398,46429,46441,46468}))</f>
        <v/>
      </c>
      <c r="AD145" s="68"/>
      <c r="AE145" s="67"/>
      <c r="AF145" s="83"/>
      <c r="AG145" s="72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</row>
    <row r="146" spans="1:64" ht="25.2" customHeight="1">
      <c r="A146" s="10" cm="1">
        <f t="array" ref="A146">A145+1</f>
        <v>135</v>
      </c>
      <c r="B146" s="9"/>
      <c r="C146" s="19"/>
      <c r="D146" s="72"/>
      <c r="E146" s="71"/>
      <c r="F146" s="82" t="str">
        <f>IF(AG146="","",WORKDAY(I146-H146+1,-1,{46329,46349,46384,46385,46386,46387,46388,46391,46398,46429,46441,46468}))</f>
        <v/>
      </c>
      <c r="G146" s="67"/>
      <c r="H146" s="65"/>
      <c r="I146" s="66" t="str">
        <f>IF(AG146="","",WORKDAY(P146-K146+1,-1,{46329,46349,46384,46385,46386,46387,46388,46391,46398,46429,46441,46468}))</f>
        <v/>
      </c>
      <c r="J146" s="67"/>
      <c r="K146" s="65"/>
      <c r="L146" s="68"/>
      <c r="M146" s="68"/>
      <c r="N146" s="68"/>
      <c r="O146" s="68"/>
      <c r="P146" s="66" t="str">
        <f>IF(AG146="","",WORKDAY(AC146-R146-Q146+1,-1,{46329,46349,46384,46385,46386,46387,46388,46391,46398,46429,46441,46468}))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 t="str">
        <f>IF(AG146="","",WORKDAY(AG146-AF146+1,-1,{46329,46349,46384,46385,46386,46387,46388,46391,46398,46429,46441,46468}))</f>
        <v/>
      </c>
      <c r="AD146" s="68"/>
      <c r="AE146" s="67"/>
      <c r="AF146" s="83"/>
      <c r="AG146" s="72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</row>
    <row r="147" spans="1:64" ht="25.2" customHeight="1">
      <c r="A147" s="10" cm="1">
        <f t="array" ref="A147">A146+1</f>
        <v>136</v>
      </c>
      <c r="B147" s="9"/>
      <c r="C147" s="19"/>
      <c r="D147" s="72"/>
      <c r="E147" s="71"/>
      <c r="F147" s="82" t="str">
        <f>IF(AG147="","",WORKDAY(I147-H147+1,-1,{46329,46349,46384,46385,46386,46387,46388,46391,46398,46429,46441,46468}))</f>
        <v/>
      </c>
      <c r="G147" s="67"/>
      <c r="H147" s="65"/>
      <c r="I147" s="66" t="str">
        <f>IF(AG147="","",WORKDAY(P147-K147+1,-1,{46329,46349,46384,46385,46386,46387,46388,46391,46398,46429,46441,46468}))</f>
        <v/>
      </c>
      <c r="J147" s="67"/>
      <c r="K147" s="65"/>
      <c r="L147" s="68"/>
      <c r="M147" s="68"/>
      <c r="N147" s="68"/>
      <c r="O147" s="68"/>
      <c r="P147" s="66" t="str">
        <f>IF(AG147="","",WORKDAY(AC147-R147-Q147+1,-1,{46329,46349,46384,46385,46386,46387,46388,46391,46398,46429,46441,46468}))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 t="str">
        <f>IF(AG147="","",WORKDAY(AG147-AF147+1,-1,{46329,46349,46384,46385,46386,46387,46388,46391,46398,46429,46441,46468}))</f>
        <v/>
      </c>
      <c r="AD147" s="68"/>
      <c r="AE147" s="67"/>
      <c r="AF147" s="83"/>
      <c r="AG147" s="72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</row>
    <row r="148" spans="1:64" ht="25.2" customHeight="1">
      <c r="A148" s="10" cm="1">
        <f t="array" ref="A148">A147+1</f>
        <v>137</v>
      </c>
      <c r="B148" s="9"/>
      <c r="C148" s="19"/>
      <c r="D148" s="72"/>
      <c r="E148" s="71"/>
      <c r="F148" s="82" t="str">
        <f>IF(AG148="","",WORKDAY(I148-H148+1,-1,{46329,46349,46384,46385,46386,46387,46388,46391,46398,46429,46441,46468}))</f>
        <v/>
      </c>
      <c r="G148" s="67"/>
      <c r="H148" s="65"/>
      <c r="I148" s="66" t="str">
        <f>IF(AG148="","",WORKDAY(P148-K148+1,-1,{46329,46349,46384,46385,46386,46387,46388,46391,46398,46429,46441,46468}))</f>
        <v/>
      </c>
      <c r="J148" s="67"/>
      <c r="K148" s="65"/>
      <c r="L148" s="68"/>
      <c r="M148" s="68"/>
      <c r="N148" s="68"/>
      <c r="O148" s="68"/>
      <c r="P148" s="66" t="str">
        <f>IF(AG148="","",WORKDAY(AC148-R148-Q148+1,-1,{46329,46349,46384,46385,46386,46387,46388,46391,46398,46429,46441,46468}))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 t="str">
        <f>IF(AG148="","",WORKDAY(AG148-AF148+1,-1,{46329,46349,46384,46385,46386,46387,46388,46391,46398,46429,46441,46468}))</f>
        <v/>
      </c>
      <c r="AD148" s="68"/>
      <c r="AE148" s="67"/>
      <c r="AF148" s="83"/>
      <c r="AG148" s="72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</row>
    <row r="149" spans="1:64" ht="25.2" customHeight="1">
      <c r="A149" s="10" cm="1">
        <f t="array" ref="A149">A148+1</f>
        <v>138</v>
      </c>
      <c r="B149" s="9"/>
      <c r="C149" s="19"/>
      <c r="D149" s="72"/>
      <c r="E149" s="71"/>
      <c r="F149" s="82" t="str">
        <f>IF(AG149="","",WORKDAY(I149-H149+1,-1,{46329,46349,46384,46385,46386,46387,46388,46391,46398,46429,46441,46468}))</f>
        <v/>
      </c>
      <c r="G149" s="67"/>
      <c r="H149" s="65"/>
      <c r="I149" s="66" t="str">
        <f>IF(AG149="","",WORKDAY(P149-K149+1,-1,{46329,46349,46384,46385,46386,46387,46388,46391,46398,46429,46441,46468}))</f>
        <v/>
      </c>
      <c r="J149" s="67"/>
      <c r="K149" s="65"/>
      <c r="L149" s="68"/>
      <c r="M149" s="68"/>
      <c r="N149" s="68"/>
      <c r="O149" s="68"/>
      <c r="P149" s="66" t="str">
        <f>IF(AG149="","",WORKDAY(AC149-R149-Q149+1,-1,{46329,46349,46384,46385,46386,46387,46388,46391,46398,46429,46441,46468}))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 t="str">
        <f>IF(AG149="","",WORKDAY(AG149-AF149+1,-1,{46329,46349,46384,46385,46386,46387,46388,46391,46398,46429,46441,46468}))</f>
        <v/>
      </c>
      <c r="AD149" s="68"/>
      <c r="AE149" s="67"/>
      <c r="AF149" s="83"/>
      <c r="AG149" s="72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</row>
    <row r="150" spans="1:64" ht="25.2" customHeight="1">
      <c r="A150" s="10" cm="1">
        <f t="array" ref="A150">A149+1</f>
        <v>139</v>
      </c>
      <c r="B150" s="9"/>
      <c r="C150" s="19"/>
      <c r="D150" s="72"/>
      <c r="E150" s="71"/>
      <c r="F150" s="82" t="str">
        <f>IF(AG150="","",WORKDAY(I150-H150+1,-1,{46329,46349,46384,46385,46386,46387,46388,46391,46398,46429,46441,46468}))</f>
        <v/>
      </c>
      <c r="G150" s="67"/>
      <c r="H150" s="65"/>
      <c r="I150" s="66" t="str">
        <f>IF(AG150="","",WORKDAY(P150-K150+1,-1,{46329,46349,46384,46385,46386,46387,46388,46391,46398,46429,46441,46468}))</f>
        <v/>
      </c>
      <c r="J150" s="67"/>
      <c r="K150" s="65"/>
      <c r="L150" s="68"/>
      <c r="M150" s="68"/>
      <c r="N150" s="68"/>
      <c r="O150" s="68"/>
      <c r="P150" s="66" t="str">
        <f>IF(AG150="","",WORKDAY(AC150-R150-Q150+1,-1,{46329,46349,46384,46385,46386,46387,46388,46391,46398,46429,46441,46468}))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 t="str">
        <f>IF(AG150="","",WORKDAY(AG150-AF150+1,-1,{46329,46349,46384,46385,46386,46387,46388,46391,46398,46429,46441,46468}))</f>
        <v/>
      </c>
      <c r="AD150" s="68"/>
      <c r="AE150" s="67"/>
      <c r="AF150" s="83"/>
      <c r="AG150" s="72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</row>
    <row r="151" spans="1:64" ht="25.2" customHeight="1">
      <c r="A151" s="10" cm="1">
        <f t="array" ref="A151">A150+1</f>
        <v>140</v>
      </c>
      <c r="B151" s="9"/>
      <c r="C151" s="19"/>
      <c r="D151" s="72"/>
      <c r="E151" s="71"/>
      <c r="F151" s="82" t="str">
        <f>IF(AG151="","",WORKDAY(I151-H151+1,-1,{46329,46349,46384,46385,46386,46387,46388,46391,46398,46429,46441,46468}))</f>
        <v/>
      </c>
      <c r="G151" s="67"/>
      <c r="H151" s="65"/>
      <c r="I151" s="66" t="str">
        <f>IF(AG151="","",WORKDAY(P151-K151+1,-1,{46329,46349,46384,46385,46386,46387,46388,46391,46398,46429,46441,46468}))</f>
        <v/>
      </c>
      <c r="J151" s="67"/>
      <c r="K151" s="65"/>
      <c r="L151" s="68"/>
      <c r="M151" s="68"/>
      <c r="N151" s="68"/>
      <c r="O151" s="68"/>
      <c r="P151" s="66" t="str">
        <f>IF(AG151="","",WORKDAY(AC151-R151-Q151+1,-1,{46329,46349,46384,46385,46386,46387,46388,46391,46398,46429,46441,46468}))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 t="str">
        <f>IF(AG151="","",WORKDAY(AG151-AF151+1,-1,{46329,46349,46384,46385,46386,46387,46388,46391,46398,46429,46441,46468}))</f>
        <v/>
      </c>
      <c r="AD151" s="68"/>
      <c r="AE151" s="67"/>
      <c r="AF151" s="83"/>
      <c r="AG151" s="72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</row>
    <row r="152" spans="1:64" ht="25.2" customHeight="1">
      <c r="A152" s="10" cm="1">
        <f t="array" ref="A152">A151+1</f>
        <v>141</v>
      </c>
      <c r="B152" s="9"/>
      <c r="C152" s="19"/>
      <c r="D152" s="72"/>
      <c r="E152" s="71"/>
      <c r="F152" s="82" t="str">
        <f>IF(AG152="","",WORKDAY(I152-H152+1,-1,{46329,46349,46384,46385,46386,46387,46388,46391,46398,46429,46441,46468}))</f>
        <v/>
      </c>
      <c r="G152" s="67"/>
      <c r="H152" s="65"/>
      <c r="I152" s="66" t="str">
        <f>IF(AG152="","",WORKDAY(P152-K152+1,-1,{46329,46349,46384,46385,46386,46387,46388,46391,46398,46429,46441,46468}))</f>
        <v/>
      </c>
      <c r="J152" s="67"/>
      <c r="K152" s="65"/>
      <c r="L152" s="68"/>
      <c r="M152" s="68"/>
      <c r="N152" s="68"/>
      <c r="O152" s="68"/>
      <c r="P152" s="66" t="str">
        <f>IF(AG152="","",WORKDAY(AC152-R152-Q152+1,-1,{46329,46349,46384,46385,46386,46387,46388,46391,46398,46429,46441,46468}))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82" t="str">
        <f>IF(AG152="","",WORKDAY(AG152-AF152+1,-1,{46329,46349,46384,46385,46386,46387,46388,46391,46398,46429,46441,46468}))</f>
        <v/>
      </c>
      <c r="AD152" s="68"/>
      <c r="AE152" s="67"/>
      <c r="AF152" s="83"/>
      <c r="AG152" s="72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</row>
    <row r="153" spans="1:64" ht="25.5" customHeight="1">
      <c r="A153" s="10" cm="1">
        <f t="array" ref="A153">A152+1</f>
        <v>142</v>
      </c>
      <c r="B153" s="9"/>
      <c r="C153" s="19"/>
      <c r="D153" s="72"/>
      <c r="E153" s="71"/>
      <c r="F153" s="82" t="str">
        <f>IF(AG153="","",WORKDAY(I153-H153+1,-1,{46329,46349,46384,46385,46386,46387,46388,46391,46398,46429,46441,46468}))</f>
        <v/>
      </c>
      <c r="G153" s="67"/>
      <c r="H153" s="65"/>
      <c r="I153" s="66" t="str">
        <f>IF(AG153="","",WORKDAY(P153-K153+1,-1,{46329,46349,46384,46385,46386,46387,46388,46391,46398,46429,46441,46468}))</f>
        <v/>
      </c>
      <c r="J153" s="67"/>
      <c r="K153" s="65"/>
      <c r="L153" s="68"/>
      <c r="M153" s="68"/>
      <c r="N153" s="68"/>
      <c r="O153" s="68"/>
      <c r="P153" s="66" t="str">
        <f>IF(AG153="","",WORKDAY(AC153-R153-Q153+1,-1,{46329,46349,46384,46385,46386,46387,46388,46391,46398,46429,46441,46468}))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82" t="str">
        <f>IF(AG153="","",WORKDAY(AG153-AF153+1,-1,{46329,46349,46384,46385,46386,46387,46388,46391,46398,46429,46441,46468}))</f>
        <v/>
      </c>
      <c r="AD153" s="68"/>
      <c r="AE153" s="67"/>
      <c r="AF153" s="83"/>
      <c r="AG153" s="72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</row>
    <row r="154" spans="1:64" ht="25.5" customHeight="1">
      <c r="A154" s="10" cm="1">
        <f t="array" ref="A154">A153+1</f>
        <v>143</v>
      </c>
      <c r="B154" s="9"/>
      <c r="C154" s="19"/>
      <c r="D154" s="72"/>
      <c r="E154" s="71"/>
      <c r="F154" s="82" t="str">
        <f>IF(AG154="","",WORKDAY(I154-H154+1,-1,{46329,46349,46384,46385,46386,46387,46388,46391,46398,46429,46441,46468}))</f>
        <v/>
      </c>
      <c r="G154" s="67"/>
      <c r="H154" s="65"/>
      <c r="I154" s="66" t="str">
        <f>IF(AG154="","",WORKDAY(P154-K154+1,-1,{46329,46349,46384,46385,46386,46387,46388,46391,46398,46429,46441,46468}))</f>
        <v/>
      </c>
      <c r="J154" s="67"/>
      <c r="K154" s="65"/>
      <c r="L154" s="68"/>
      <c r="M154" s="68"/>
      <c r="N154" s="68"/>
      <c r="O154" s="68"/>
      <c r="P154" s="66" t="str">
        <f>IF(AG154="","",WORKDAY(AC154-R154-Q154+1,-1,{46329,46349,46384,46385,46386,46387,46388,46391,46398,46429,46441,46468}))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82" t="str">
        <f>IF(AG154="","",WORKDAY(AG154-AF154+1,-1,{46329,46349,46384,46385,46386,46387,46388,46391,46398,46429,46441,46468}))</f>
        <v/>
      </c>
      <c r="AD154" s="68"/>
      <c r="AE154" s="67"/>
      <c r="AF154" s="83"/>
      <c r="AG154" s="72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</row>
    <row r="155" spans="1:64" ht="25.5" customHeight="1">
      <c r="A155" s="10" cm="1">
        <f t="array" ref="A155">A154+1</f>
        <v>144</v>
      </c>
      <c r="B155" s="9"/>
      <c r="C155" s="19"/>
      <c r="D155" s="72"/>
      <c r="E155" s="71"/>
      <c r="F155" s="82" t="str">
        <f>IF(AG155="","",WORKDAY(I155-H155+1,-1,{46329,46349,46384,46385,46386,46387,46388,46391,46398,46429,46441,46468}))</f>
        <v/>
      </c>
      <c r="G155" s="67"/>
      <c r="H155" s="65"/>
      <c r="I155" s="66" t="str">
        <f>IF(AG155="","",WORKDAY(P155-K155+1,-1,{46329,46349,46384,46385,46386,46387,46388,46391,46398,46429,46441,46468}))</f>
        <v/>
      </c>
      <c r="J155" s="67"/>
      <c r="K155" s="65"/>
      <c r="L155" s="68"/>
      <c r="M155" s="68"/>
      <c r="N155" s="68"/>
      <c r="O155" s="68"/>
      <c r="P155" s="66" t="str">
        <f>IF(AG155="","",WORKDAY(AC155-R155-Q155+1,-1,{46329,46349,46384,46385,46386,46387,46388,46391,46398,46429,46441,46468}))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82" t="str">
        <f>IF(AG155="","",WORKDAY(AG155-AF155+1,-1,{46329,46349,46384,46385,46386,46387,46388,46391,46398,46429,46441,46468}))</f>
        <v/>
      </c>
      <c r="AD155" s="68"/>
      <c r="AE155" s="67"/>
      <c r="AF155" s="83"/>
      <c r="AG155" s="72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</row>
    <row r="156" spans="1:64" ht="25.5" customHeight="1">
      <c r="A156" s="10" cm="1">
        <f t="array" ref="A156">A155+1</f>
        <v>145</v>
      </c>
      <c r="B156" s="9"/>
      <c r="C156" s="19"/>
      <c r="D156" s="72"/>
      <c r="E156" s="71"/>
      <c r="F156" s="82" t="str">
        <f>IF(AG156="","",WORKDAY(I156-H156+1,-1,{46329,46349,46384,46385,46386,46387,46388,46391,46398,46429,46441,46468}))</f>
        <v/>
      </c>
      <c r="G156" s="67"/>
      <c r="H156" s="65"/>
      <c r="I156" s="66" t="str">
        <f>IF(AG156="","",WORKDAY(P156-K156+1,-1,{46329,46349,46384,46385,46386,46387,46388,46391,46398,46429,46441,46468}))</f>
        <v/>
      </c>
      <c r="J156" s="67"/>
      <c r="K156" s="65"/>
      <c r="L156" s="68"/>
      <c r="M156" s="68"/>
      <c r="N156" s="68"/>
      <c r="O156" s="68"/>
      <c r="P156" s="66" t="str">
        <f>IF(AG156="","",WORKDAY(AC156-R156-Q156+1,-1,{46329,46349,46384,46385,46386,46387,46388,46391,46398,46429,46441,46468}))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82" t="str">
        <f>IF(AG156="","",WORKDAY(AG156-AF156+1,-1,{46329,46349,46384,46385,46386,46387,46388,46391,46398,46429,46441,46468}))</f>
        <v/>
      </c>
      <c r="AD156" s="68"/>
      <c r="AE156" s="67"/>
      <c r="AF156" s="83"/>
      <c r="AG156" s="72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</row>
    <row r="157" spans="1:64" ht="25.5" customHeight="1">
      <c r="A157" s="10" cm="1">
        <f t="array" ref="A157">A156+1</f>
        <v>146</v>
      </c>
      <c r="B157" s="9"/>
      <c r="C157" s="19"/>
      <c r="D157" s="72"/>
      <c r="E157" s="71"/>
      <c r="F157" s="82" t="str">
        <f>IF(AG157="","",WORKDAY(I157-H157+1,-1,{46329,46349,46384,46385,46386,46387,46388,46391,46398,46429,46441,46468}))</f>
        <v/>
      </c>
      <c r="G157" s="67"/>
      <c r="H157" s="65"/>
      <c r="I157" s="66" t="str">
        <f>IF(AG157="","",WORKDAY(P157-K157+1,-1,{46329,46349,46384,46385,46386,46387,46388,46391,46398,46429,46441,46468}))</f>
        <v/>
      </c>
      <c r="J157" s="67"/>
      <c r="K157" s="65"/>
      <c r="L157" s="68"/>
      <c r="M157" s="68"/>
      <c r="N157" s="68"/>
      <c r="O157" s="68"/>
      <c r="P157" s="66" t="str">
        <f>IF(AG157="","",WORKDAY(AC157-R157-Q157+1,-1,{46329,46349,46384,46385,46386,46387,46388,46391,46398,46429,46441,46468}))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82" t="str">
        <f>IF(AG157="","",WORKDAY(AG157-AF157+1,-1,{46329,46349,46384,46385,46386,46387,46388,46391,46398,46429,46441,46468}))</f>
        <v/>
      </c>
      <c r="AD157" s="68"/>
      <c r="AE157" s="67"/>
      <c r="AF157" s="83"/>
      <c r="AG157" s="72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</row>
    <row r="158" spans="1:64" ht="25.5" customHeight="1">
      <c r="A158" s="10" cm="1">
        <f t="array" ref="A158">A157+1</f>
        <v>147</v>
      </c>
      <c r="B158" s="9"/>
      <c r="C158" s="19"/>
      <c r="D158" s="72"/>
      <c r="E158" s="71"/>
      <c r="F158" s="82" t="str">
        <f>IF(AG158="","",WORKDAY(I158-H158+1,-1,{46329,46349,46384,46385,46386,46387,46388,46391,46398,46429,46441,46468}))</f>
        <v/>
      </c>
      <c r="G158" s="67"/>
      <c r="H158" s="65"/>
      <c r="I158" s="66" t="str">
        <f>IF(AG158="","",WORKDAY(P158-K158+1,-1,{46329,46349,46384,46385,46386,46387,46388,46391,46398,46429,46441,46468}))</f>
        <v/>
      </c>
      <c r="J158" s="67"/>
      <c r="K158" s="65"/>
      <c r="L158" s="68"/>
      <c r="M158" s="68"/>
      <c r="N158" s="68"/>
      <c r="O158" s="68"/>
      <c r="P158" s="66" t="str">
        <f>IF(AG158="","",WORKDAY(AC158-R158-Q158+1,-1,{46329,46349,46384,46385,46386,46387,46388,46391,46398,46429,46441,46468}))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82" t="str">
        <f>IF(AG158="","",WORKDAY(AG158-AF158+1,-1,{46329,46349,46384,46385,46386,46387,46388,46391,46398,46429,46441,46468}))</f>
        <v/>
      </c>
      <c r="AD158" s="68"/>
      <c r="AE158" s="67"/>
      <c r="AF158" s="83"/>
      <c r="AG158" s="72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</row>
    <row r="159" spans="1:64" ht="25.5" customHeight="1">
      <c r="A159" s="10" cm="1">
        <f t="array" ref="A159">A158+1</f>
        <v>148</v>
      </c>
      <c r="B159" s="9"/>
      <c r="C159" s="19"/>
      <c r="D159" s="72"/>
      <c r="E159" s="71"/>
      <c r="F159" s="82" t="str">
        <f>IF(AG159="","",WORKDAY(I159-H159+1,-1,{46329,46349,46384,46385,46386,46387,46388,46391,46398,46429,46441,46468}))</f>
        <v/>
      </c>
      <c r="G159" s="67"/>
      <c r="H159" s="65"/>
      <c r="I159" s="66" t="str">
        <f>IF(AG159="","",WORKDAY(P159-K159+1,-1,{46329,46349,46384,46385,46386,46387,46388,46391,46398,46429,46441,46468}))</f>
        <v/>
      </c>
      <c r="J159" s="67"/>
      <c r="K159" s="65"/>
      <c r="L159" s="68"/>
      <c r="M159" s="68"/>
      <c r="N159" s="68"/>
      <c r="O159" s="68"/>
      <c r="P159" s="66" t="str">
        <f>IF(AG159="","",WORKDAY(AC159-R159-Q159+1,-1,{46329,46349,46384,46385,46386,46387,46388,46391,46398,46429,46441,46468}))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82" t="str">
        <f>IF(AG159="","",WORKDAY(AG159-AF159+1,-1,{46329,46349,46384,46385,46386,46387,46388,46391,46398,46429,46441,46468}))</f>
        <v/>
      </c>
      <c r="AD159" s="68"/>
      <c r="AE159" s="67"/>
      <c r="AF159" s="83"/>
      <c r="AG159" s="72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</row>
    <row r="160" spans="1:64" ht="25.5" customHeight="1">
      <c r="A160" s="10" cm="1">
        <f t="array" ref="A160">A159+1</f>
        <v>149</v>
      </c>
      <c r="B160" s="9"/>
      <c r="C160" s="19"/>
      <c r="D160" s="72"/>
      <c r="E160" s="71"/>
      <c r="F160" s="82" t="str">
        <f>IF(AG160="","",WORKDAY(I160-H160+1,-1,{46329,46349,46384,46385,46386,46387,46388,46391,46398,46429,46441,46468}))</f>
        <v/>
      </c>
      <c r="G160" s="67"/>
      <c r="H160" s="65"/>
      <c r="I160" s="66" t="str">
        <f>IF(AG160="","",WORKDAY(P160-K160+1,-1,{46329,46349,46384,46385,46386,46387,46388,46391,46398,46429,46441,46468}))</f>
        <v/>
      </c>
      <c r="J160" s="67"/>
      <c r="K160" s="65"/>
      <c r="L160" s="68"/>
      <c r="M160" s="68"/>
      <c r="N160" s="68"/>
      <c r="O160" s="68"/>
      <c r="P160" s="66" t="str">
        <f>IF(AG160="","",WORKDAY(AC160-R160-Q160+1,-1,{46329,46349,46384,46385,46386,46387,46388,46391,46398,46429,46441,46468}))</f>
        <v/>
      </c>
      <c r="Q160" s="69"/>
      <c r="R160" s="69"/>
      <c r="S160" s="68"/>
      <c r="T160" s="68"/>
      <c r="U160" s="68"/>
      <c r="V160" s="68"/>
      <c r="W160" s="68"/>
      <c r="X160" s="68"/>
      <c r="Y160" s="68"/>
      <c r="Z160" s="68"/>
      <c r="AA160" s="68"/>
      <c r="AB160" s="67"/>
      <c r="AC160" s="82" t="str">
        <f>IF(AG160="","",WORKDAY(AG160-AF160+1,-1,{46329,46349,46384,46385,46386,46387,46388,46391,46398,46429,46441,46468}))</f>
        <v/>
      </c>
      <c r="AD160" s="68"/>
      <c r="AE160" s="67"/>
      <c r="AF160" s="83"/>
      <c r="AG160" s="72"/>
      <c r="AH160" s="71"/>
      <c r="AI160" s="70"/>
      <c r="AJ160" s="68"/>
      <c r="AK160" s="68"/>
      <c r="AL160" s="67"/>
      <c r="AM160" s="72"/>
      <c r="AN160" s="73"/>
      <c r="AO160" s="26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</row>
    <row r="161" spans="1:64" ht="25.5" customHeight="1">
      <c r="A161" s="10" cm="1">
        <f t="array" ref="A161">A160+1</f>
        <v>150</v>
      </c>
      <c r="B161" s="9"/>
      <c r="C161" s="19"/>
      <c r="D161" s="72"/>
      <c r="E161" s="71"/>
      <c r="F161" s="82" t="str">
        <f>IF(AG161="","",WORKDAY(I161-H161+1,-1,{46329,46349,46384,46385,46386,46387,46388,46391,46398,46429,46441,46468}))</f>
        <v/>
      </c>
      <c r="G161" s="67"/>
      <c r="H161" s="65"/>
      <c r="I161" s="66" t="str">
        <f>IF(AG161="","",WORKDAY(P161-K161+1,-1,{46329,46349,46384,46385,46386,46387,46388,46391,46398,46429,46441,46468}))</f>
        <v/>
      </c>
      <c r="J161" s="67"/>
      <c r="K161" s="65"/>
      <c r="L161" s="68"/>
      <c r="M161" s="68"/>
      <c r="N161" s="68"/>
      <c r="O161" s="68"/>
      <c r="P161" s="66" t="str">
        <f>IF(AG161="","",WORKDAY(AC161-R161-Q161+1,-1,{46329,46349,46384,46385,46386,46387,46388,46391,46398,46429,46441,46468}))</f>
        <v/>
      </c>
      <c r="Q161" s="69"/>
      <c r="R161" s="69"/>
      <c r="S161" s="68"/>
      <c r="T161" s="68"/>
      <c r="U161" s="68"/>
      <c r="V161" s="68"/>
      <c r="W161" s="68"/>
      <c r="X161" s="68"/>
      <c r="Y161" s="68"/>
      <c r="Z161" s="68"/>
      <c r="AA161" s="68"/>
      <c r="AB161" s="67"/>
      <c r="AC161" s="82" t="str">
        <f>IF(AG161="","",WORKDAY(AG161-AF161+1,-1,{46329,46349,46384,46385,46386,46387,46388,46391,46398,46429,46441,46468}))</f>
        <v/>
      </c>
      <c r="AD161" s="68"/>
      <c r="AE161" s="67"/>
      <c r="AF161" s="83"/>
      <c r="AG161" s="72"/>
      <c r="AH161" s="71"/>
      <c r="AI161" s="70"/>
      <c r="AJ161" s="68"/>
      <c r="AK161" s="68"/>
      <c r="AL161" s="67"/>
      <c r="AM161" s="72"/>
      <c r="AN161" s="73"/>
      <c r="AO161" s="26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</row>
    <row r="162" spans="1:64" ht="25.5" customHeight="1">
      <c r="A162" s="10" cm="1">
        <f t="array" ref="A162">A161+1</f>
        <v>151</v>
      </c>
      <c r="B162" s="9"/>
      <c r="C162" s="19"/>
      <c r="D162" s="72"/>
      <c r="E162" s="71"/>
      <c r="F162" s="82" t="str">
        <f>IF(AG162="","",WORKDAY(I162-H162+1,-1,{46329,46349,46384,46385,46386,46387,46388,46391,46398,46429,46441,46468}))</f>
        <v/>
      </c>
      <c r="G162" s="67"/>
      <c r="H162" s="65"/>
      <c r="I162" s="66" t="str">
        <f>IF(AG162="","",WORKDAY(P162-K162+1,-1,{46329,46349,46384,46385,46386,46387,46388,46391,46398,46429,46441,46468}))</f>
        <v/>
      </c>
      <c r="J162" s="67"/>
      <c r="K162" s="65"/>
      <c r="L162" s="68"/>
      <c r="M162" s="68"/>
      <c r="N162" s="68"/>
      <c r="O162" s="68"/>
      <c r="P162" s="66" t="str">
        <f>IF(AG162="","",WORKDAY(AC162-R162-Q162+1,-1,{46329,46349,46384,46385,46386,46387,46388,46391,46398,46429,46441,46468}))</f>
        <v/>
      </c>
      <c r="Q162" s="69"/>
      <c r="R162" s="69"/>
      <c r="S162" s="68"/>
      <c r="T162" s="68"/>
      <c r="U162" s="68"/>
      <c r="V162" s="68"/>
      <c r="W162" s="68"/>
      <c r="X162" s="68"/>
      <c r="Y162" s="68"/>
      <c r="Z162" s="68"/>
      <c r="AA162" s="68"/>
      <c r="AB162" s="67"/>
      <c r="AC162" s="82" t="str">
        <f>IF(AG162="","",WORKDAY(AG162-AF162+1,-1,{46329,46349,46384,46385,46386,46387,46388,46391,46398,46429,46441,46468}))</f>
        <v/>
      </c>
      <c r="AD162" s="68"/>
      <c r="AE162" s="67"/>
      <c r="AF162" s="83"/>
      <c r="AG162" s="72"/>
      <c r="AH162" s="71"/>
      <c r="AI162" s="70"/>
      <c r="AJ162" s="68"/>
      <c r="AK162" s="68"/>
      <c r="AL162" s="67"/>
      <c r="AM162" s="72"/>
      <c r="AN162" s="73"/>
      <c r="AO162" s="26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</row>
    <row r="163" spans="1:64" ht="25.5" customHeight="1">
      <c r="A163" s="10" cm="1">
        <f t="array" ref="A163">A162+1</f>
        <v>152</v>
      </c>
      <c r="B163" s="9"/>
      <c r="C163" s="19"/>
      <c r="D163" s="72"/>
      <c r="E163" s="71"/>
      <c r="F163" s="82" t="str">
        <f>IF(AG163="","",WORKDAY(I163-H163+1,-1,{46329,46349,46384,46385,46386,46387,46388,46391,46398,46429,46441,46468}))</f>
        <v/>
      </c>
      <c r="G163" s="67"/>
      <c r="H163" s="65"/>
      <c r="I163" s="66" t="str">
        <f>IF(AG163="","",WORKDAY(P163-K163+1,-1,{46329,46349,46384,46385,46386,46387,46388,46391,46398,46429,46441,46468}))</f>
        <v/>
      </c>
      <c r="J163" s="67"/>
      <c r="K163" s="65"/>
      <c r="L163" s="68"/>
      <c r="M163" s="68"/>
      <c r="N163" s="68"/>
      <c r="O163" s="68"/>
      <c r="P163" s="66" t="str">
        <f>IF(AG163="","",WORKDAY(AC163-R163-Q163+1,-1,{46329,46349,46384,46385,46386,46387,46388,46391,46398,46429,46441,46468}))</f>
        <v/>
      </c>
      <c r="Q163" s="69"/>
      <c r="R163" s="69"/>
      <c r="S163" s="68"/>
      <c r="T163" s="68"/>
      <c r="U163" s="68"/>
      <c r="V163" s="68"/>
      <c r="W163" s="68"/>
      <c r="X163" s="68"/>
      <c r="Y163" s="68"/>
      <c r="Z163" s="68"/>
      <c r="AA163" s="68"/>
      <c r="AB163" s="67"/>
      <c r="AC163" s="82" t="str">
        <f>IF(AG163="","",WORKDAY(AG163-AF163+1,-1,{46329,46349,46384,46385,46386,46387,46388,46391,46398,46429,46441,46468}))</f>
        <v/>
      </c>
      <c r="AD163" s="68"/>
      <c r="AE163" s="67"/>
      <c r="AF163" s="83"/>
      <c r="AG163" s="72"/>
      <c r="AH163" s="71"/>
      <c r="AI163" s="70"/>
      <c r="AJ163" s="68"/>
      <c r="AK163" s="68"/>
      <c r="AL163" s="67"/>
      <c r="AM163" s="72"/>
      <c r="AN163" s="73"/>
      <c r="AO163" s="26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</row>
    <row r="164" spans="1:64" ht="25.5" customHeight="1">
      <c r="A164" s="10" cm="1">
        <f t="array" ref="A164">A163+1</f>
        <v>153</v>
      </c>
      <c r="B164" s="9"/>
      <c r="C164" s="19"/>
      <c r="D164" s="72"/>
      <c r="E164" s="71"/>
      <c r="F164" s="82" t="str">
        <f>IF(AG164="","",WORKDAY(I164-H164+1,-1,{46329,46349,46384,46385,46386,46387,46388,46391,46398,46429,46441,46468}))</f>
        <v/>
      </c>
      <c r="G164" s="67"/>
      <c r="H164" s="65"/>
      <c r="I164" s="66" t="str">
        <f>IF(AG164="","",WORKDAY(P164-K164+1,-1,{46329,46349,46384,46385,46386,46387,46388,46391,46398,46429,46441,46468}))</f>
        <v/>
      </c>
      <c r="J164" s="67"/>
      <c r="K164" s="65"/>
      <c r="L164" s="68"/>
      <c r="M164" s="68"/>
      <c r="N164" s="68"/>
      <c r="O164" s="68"/>
      <c r="P164" s="66" t="str">
        <f>IF(AG164="","",WORKDAY(AC164-R164-Q164+1,-1,{46329,46349,46384,46385,46386,46387,46388,46391,46398,46429,46441,46468}))</f>
        <v/>
      </c>
      <c r="Q164" s="69"/>
      <c r="R164" s="69"/>
      <c r="S164" s="68"/>
      <c r="T164" s="68"/>
      <c r="U164" s="68"/>
      <c r="V164" s="68"/>
      <c r="W164" s="68"/>
      <c r="X164" s="68"/>
      <c r="Y164" s="68"/>
      <c r="Z164" s="68"/>
      <c r="AA164" s="68"/>
      <c r="AB164" s="67"/>
      <c r="AC164" s="82" t="str">
        <f>IF(AG164="","",WORKDAY(AG164-AF164+1,-1,{46329,46349,46384,46385,46386,46387,46388,46391,46398,46429,46441,46468}))</f>
        <v/>
      </c>
      <c r="AD164" s="68"/>
      <c r="AE164" s="67"/>
      <c r="AF164" s="83"/>
      <c r="AG164" s="72"/>
      <c r="AH164" s="71"/>
      <c r="AI164" s="70"/>
      <c r="AJ164" s="68"/>
      <c r="AK164" s="68"/>
      <c r="AL164" s="67"/>
      <c r="AM164" s="72"/>
      <c r="AN164" s="73"/>
      <c r="AO164" s="26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</row>
    <row r="165" spans="1:64" ht="25.5" customHeight="1">
      <c r="A165" s="10" cm="1">
        <f t="array" ref="A165">A164+1</f>
        <v>154</v>
      </c>
      <c r="B165" s="9"/>
      <c r="C165" s="19"/>
      <c r="D165" s="72"/>
      <c r="E165" s="71"/>
      <c r="F165" s="82" t="str">
        <f>IF(AG165="","",WORKDAY(I165-H165+1,-1,{46329,46349,46384,46385,46386,46387,46388,46391,46398,46429,46441,46468}))</f>
        <v/>
      </c>
      <c r="G165" s="67"/>
      <c r="H165" s="65"/>
      <c r="I165" s="66" t="str">
        <f>IF(AG165="","",WORKDAY(P165-K165+1,-1,{46329,46349,46384,46385,46386,46387,46388,46391,46398,46429,46441,46468}))</f>
        <v/>
      </c>
      <c r="J165" s="67"/>
      <c r="K165" s="65"/>
      <c r="L165" s="68"/>
      <c r="M165" s="68"/>
      <c r="N165" s="68"/>
      <c r="O165" s="68"/>
      <c r="P165" s="66" t="str">
        <f>IF(AG165="","",WORKDAY(AC165-R165-Q165+1,-1,{46329,46349,46384,46385,46386,46387,46388,46391,46398,46429,46441,46468}))</f>
        <v/>
      </c>
      <c r="Q165" s="69"/>
      <c r="R165" s="69"/>
      <c r="S165" s="68"/>
      <c r="T165" s="68"/>
      <c r="U165" s="68"/>
      <c r="V165" s="68"/>
      <c r="W165" s="68"/>
      <c r="X165" s="68"/>
      <c r="Y165" s="68"/>
      <c r="Z165" s="68"/>
      <c r="AA165" s="68"/>
      <c r="AB165" s="67"/>
      <c r="AC165" s="82" t="str">
        <f>IF(AG165="","",WORKDAY(AG165-AF165+1,-1,{46329,46349,46384,46385,46386,46387,46388,46391,46398,46429,46441,46468}))</f>
        <v/>
      </c>
      <c r="AD165" s="68"/>
      <c r="AE165" s="67"/>
      <c r="AF165" s="83"/>
      <c r="AG165" s="72"/>
      <c r="AH165" s="71"/>
      <c r="AI165" s="70"/>
      <c r="AJ165" s="68"/>
      <c r="AK165" s="68"/>
      <c r="AL165" s="67"/>
      <c r="AM165" s="72"/>
      <c r="AN165" s="73"/>
      <c r="AO165" s="26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</row>
    <row r="166" spans="1:64" ht="25.5" customHeight="1">
      <c r="A166" s="10" cm="1">
        <f t="array" ref="A166">A165+1</f>
        <v>155</v>
      </c>
      <c r="B166" s="9"/>
      <c r="C166" s="19"/>
      <c r="D166" s="72"/>
      <c r="E166" s="71"/>
      <c r="F166" s="82" t="str">
        <f>IF(AG166="","",WORKDAY(I166-H166+1,-1,{46329,46349,46384,46385,46386,46387,46388,46391,46398,46429,46441,46468}))</f>
        <v/>
      </c>
      <c r="G166" s="67"/>
      <c r="H166" s="65"/>
      <c r="I166" s="66" t="str">
        <f>IF(AG166="","",WORKDAY(P166-K166+1,-1,{46329,46349,46384,46385,46386,46387,46388,46391,46398,46429,46441,46468}))</f>
        <v/>
      </c>
      <c r="J166" s="67"/>
      <c r="K166" s="65"/>
      <c r="L166" s="68"/>
      <c r="M166" s="68"/>
      <c r="N166" s="68"/>
      <c r="O166" s="68"/>
      <c r="P166" s="66" t="str">
        <f>IF(AG166="","",WORKDAY(AC166-R166-Q166+1,-1,{46329,46349,46384,46385,46386,46387,46388,46391,46398,46429,46441,46468}))</f>
        <v/>
      </c>
      <c r="Q166" s="69"/>
      <c r="R166" s="69"/>
      <c r="S166" s="68"/>
      <c r="T166" s="68"/>
      <c r="U166" s="68"/>
      <c r="V166" s="68"/>
      <c r="W166" s="68"/>
      <c r="X166" s="68"/>
      <c r="Y166" s="68"/>
      <c r="Z166" s="68"/>
      <c r="AA166" s="68"/>
      <c r="AB166" s="67"/>
      <c r="AC166" s="82" t="str">
        <f>IF(AG166="","",WORKDAY(AG166-AF166+1,-1,{46329,46349,46384,46385,46386,46387,46388,46391,46398,46429,46441,46468}))</f>
        <v/>
      </c>
      <c r="AD166" s="68"/>
      <c r="AE166" s="67"/>
      <c r="AF166" s="83"/>
      <c r="AG166" s="72"/>
      <c r="AH166" s="71"/>
      <c r="AI166" s="70"/>
      <c r="AJ166" s="68"/>
      <c r="AK166" s="68"/>
      <c r="AL166" s="67"/>
      <c r="AM166" s="72"/>
      <c r="AN166" s="73"/>
      <c r="AO166" s="26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</row>
    <row r="167" spans="1:64" ht="25.5" customHeight="1">
      <c r="A167" s="10" cm="1">
        <f t="array" ref="A167">A166+1</f>
        <v>156</v>
      </c>
      <c r="B167" s="9"/>
      <c r="C167" s="19"/>
      <c r="D167" s="72"/>
      <c r="E167" s="71"/>
      <c r="F167" s="82" t="str">
        <f>IF(AG167="","",WORKDAY(I167-H167+1,-1,{46329,46349,46384,46385,46386,46387,46388,46391,46398,46429,46441,46468}))</f>
        <v/>
      </c>
      <c r="G167" s="67"/>
      <c r="H167" s="65"/>
      <c r="I167" s="66" t="str">
        <f>IF(AG167="","",WORKDAY(P167-K167+1,-1,{46329,46349,46384,46385,46386,46387,46388,46391,46398,46429,46441,46468}))</f>
        <v/>
      </c>
      <c r="J167" s="67"/>
      <c r="K167" s="65"/>
      <c r="L167" s="68"/>
      <c r="M167" s="68"/>
      <c r="N167" s="68"/>
      <c r="O167" s="68"/>
      <c r="P167" s="66" t="str">
        <f>IF(AG167="","",WORKDAY(AC167-R167-Q167+1,-1,{46329,46349,46384,46385,46386,46387,46388,46391,46398,46429,46441,46468}))</f>
        <v/>
      </c>
      <c r="Q167" s="69"/>
      <c r="R167" s="69"/>
      <c r="S167" s="68"/>
      <c r="T167" s="68"/>
      <c r="U167" s="68"/>
      <c r="V167" s="68"/>
      <c r="W167" s="68"/>
      <c r="X167" s="68"/>
      <c r="Y167" s="68"/>
      <c r="Z167" s="68"/>
      <c r="AA167" s="68"/>
      <c r="AB167" s="67"/>
      <c r="AC167" s="82" t="str">
        <f>IF(AG167="","",WORKDAY(AG167-AF167+1,-1,{46329,46349,46384,46385,46386,46387,46388,46391,46398,46429,46441,46468}))</f>
        <v/>
      </c>
      <c r="AD167" s="68"/>
      <c r="AE167" s="67"/>
      <c r="AF167" s="83"/>
      <c r="AG167" s="72"/>
      <c r="AH167" s="71"/>
      <c r="AI167" s="70"/>
      <c r="AJ167" s="68"/>
      <c r="AK167" s="68"/>
      <c r="AL167" s="67"/>
      <c r="AM167" s="72"/>
      <c r="AN167" s="73"/>
      <c r="AO167" s="26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</row>
    <row r="168" spans="1:64" ht="25.5" customHeight="1">
      <c r="A168" s="10" cm="1">
        <f t="array" ref="A168">A167+1</f>
        <v>157</v>
      </c>
      <c r="B168" s="9"/>
      <c r="C168" s="19"/>
      <c r="D168" s="72"/>
      <c r="E168" s="71"/>
      <c r="F168" s="82" t="str">
        <f>IF(AG168="","",WORKDAY(I168-H168+1,-1,{46329,46349,46384,46385,46386,46387,46388,46391,46398,46429,46441,46468}))</f>
        <v/>
      </c>
      <c r="G168" s="67"/>
      <c r="H168" s="65"/>
      <c r="I168" s="66" t="str">
        <f>IF(AG168="","",WORKDAY(P168-K168+1,-1,{46329,46349,46384,46385,46386,46387,46388,46391,46398,46429,46441,46468}))</f>
        <v/>
      </c>
      <c r="J168" s="67"/>
      <c r="K168" s="65"/>
      <c r="L168" s="68"/>
      <c r="M168" s="68"/>
      <c r="N168" s="68"/>
      <c r="O168" s="68"/>
      <c r="P168" s="66" t="str">
        <f>IF(AG168="","",WORKDAY(AC168-R168-Q168+1,-1,{46329,46349,46384,46385,46386,46387,46388,46391,46398,46429,46441,46468}))</f>
        <v/>
      </c>
      <c r="Q168" s="69"/>
      <c r="R168" s="69"/>
      <c r="S168" s="68"/>
      <c r="T168" s="68"/>
      <c r="U168" s="68"/>
      <c r="V168" s="68"/>
      <c r="W168" s="68"/>
      <c r="X168" s="68"/>
      <c r="Y168" s="68"/>
      <c r="Z168" s="68"/>
      <c r="AA168" s="68"/>
      <c r="AB168" s="67"/>
      <c r="AC168" s="82" t="str">
        <f>IF(AG168="","",WORKDAY(AG168-AF168+1,-1,{46329,46349,46384,46385,46386,46387,46388,46391,46398,46429,46441,46468}))</f>
        <v/>
      </c>
      <c r="AD168" s="68"/>
      <c r="AE168" s="67"/>
      <c r="AF168" s="83"/>
      <c r="AG168" s="72"/>
      <c r="AH168" s="71"/>
      <c r="AI168" s="70"/>
      <c r="AJ168" s="68"/>
      <c r="AK168" s="68"/>
      <c r="AL168" s="67"/>
      <c r="AM168" s="72"/>
      <c r="AN168" s="73"/>
      <c r="AO168" s="26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</row>
    <row r="169" spans="1:64" ht="25.5" customHeight="1">
      <c r="A169" s="10" cm="1">
        <f t="array" ref="A169">A168+1</f>
        <v>158</v>
      </c>
      <c r="B169" s="9"/>
      <c r="C169" s="19"/>
      <c r="D169" s="72"/>
      <c r="E169" s="71"/>
      <c r="F169" s="82" t="str">
        <f>IF(AG169="","",WORKDAY(I169-H169+1,-1,{46329,46349,46384,46385,46386,46387,46388,46391,46398,46429,46441,46468}))</f>
        <v/>
      </c>
      <c r="G169" s="67"/>
      <c r="H169" s="65"/>
      <c r="I169" s="66" t="str">
        <f>IF(AG169="","",WORKDAY(P169-K169+1,-1,{46329,46349,46384,46385,46386,46387,46388,46391,46398,46429,46441,46468}))</f>
        <v/>
      </c>
      <c r="J169" s="67"/>
      <c r="K169" s="65"/>
      <c r="L169" s="68"/>
      <c r="M169" s="68"/>
      <c r="N169" s="68"/>
      <c r="O169" s="68"/>
      <c r="P169" s="66" t="str">
        <f>IF(AG169="","",WORKDAY(AC169-R169-Q169+1,-1,{46329,46349,46384,46385,46386,46387,46388,46391,46398,46429,46441,46468}))</f>
        <v/>
      </c>
      <c r="Q169" s="69"/>
      <c r="R169" s="69"/>
      <c r="S169" s="68"/>
      <c r="T169" s="68"/>
      <c r="U169" s="68"/>
      <c r="V169" s="68"/>
      <c r="W169" s="68"/>
      <c r="X169" s="68"/>
      <c r="Y169" s="68"/>
      <c r="Z169" s="68"/>
      <c r="AA169" s="68"/>
      <c r="AB169" s="67"/>
      <c r="AC169" s="82" t="str">
        <f>IF(AG169="","",WORKDAY(AG169-AF169+1,-1,{46329,46349,46384,46385,46386,46387,46388,46391,46398,46429,46441,46468}))</f>
        <v/>
      </c>
      <c r="AD169" s="68"/>
      <c r="AE169" s="67"/>
      <c r="AF169" s="83"/>
      <c r="AG169" s="72"/>
      <c r="AH169" s="71"/>
      <c r="AI169" s="70"/>
      <c r="AJ169" s="68"/>
      <c r="AK169" s="68"/>
      <c r="AL169" s="67"/>
      <c r="AM169" s="72"/>
      <c r="AN169" s="73"/>
      <c r="AO169" s="26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</row>
    <row r="170" spans="1:64" ht="25.5" customHeight="1">
      <c r="A170" s="10" cm="1">
        <f t="array" ref="A170">A169+1</f>
        <v>159</v>
      </c>
      <c r="B170" s="9"/>
      <c r="C170" s="19"/>
      <c r="D170" s="72"/>
      <c r="E170" s="71"/>
      <c r="F170" s="82" t="str">
        <f>IF(AG170="","",WORKDAY(I170-H170+1,-1,{46329,46349,46384,46385,46386,46387,46388,46391,46398,46429,46441,46468}))</f>
        <v/>
      </c>
      <c r="G170" s="67"/>
      <c r="H170" s="65"/>
      <c r="I170" s="66" t="str">
        <f>IF(AG170="","",WORKDAY(P170-K170+1,-1,{46329,46349,46384,46385,46386,46387,46388,46391,46398,46429,46441,46468}))</f>
        <v/>
      </c>
      <c r="J170" s="67"/>
      <c r="K170" s="65"/>
      <c r="L170" s="68"/>
      <c r="M170" s="68"/>
      <c r="N170" s="68"/>
      <c r="O170" s="68"/>
      <c r="P170" s="66" t="str">
        <f>IF(AG170="","",WORKDAY(AC170-R170-Q170+1,-1,{46329,46349,46384,46385,46386,46387,46388,46391,46398,46429,46441,46468}))</f>
        <v/>
      </c>
      <c r="Q170" s="69"/>
      <c r="R170" s="69"/>
      <c r="S170" s="68"/>
      <c r="T170" s="68"/>
      <c r="U170" s="68"/>
      <c r="V170" s="68"/>
      <c r="W170" s="68"/>
      <c r="X170" s="68"/>
      <c r="Y170" s="68"/>
      <c r="Z170" s="68"/>
      <c r="AA170" s="68"/>
      <c r="AB170" s="67"/>
      <c r="AC170" s="82" t="str">
        <f>IF(AG170="","",WORKDAY(AG170-AF170+1,-1,{46329,46349,46384,46385,46386,46387,46388,46391,46398,46429,46441,46468}))</f>
        <v/>
      </c>
      <c r="AD170" s="68"/>
      <c r="AE170" s="67"/>
      <c r="AF170" s="83"/>
      <c r="AG170" s="72"/>
      <c r="AH170" s="71"/>
      <c r="AI170" s="70"/>
      <c r="AJ170" s="68"/>
      <c r="AK170" s="68"/>
      <c r="AL170" s="67"/>
      <c r="AM170" s="72"/>
      <c r="AN170" s="73"/>
      <c r="AO170" s="26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</row>
    <row r="171" spans="1:64" ht="25.5" customHeight="1">
      <c r="A171" s="10" cm="1">
        <f t="array" ref="A171">A170+1</f>
        <v>160</v>
      </c>
      <c r="B171" s="9"/>
      <c r="C171" s="19"/>
      <c r="D171" s="72"/>
      <c r="E171" s="71"/>
      <c r="F171" s="82" t="str">
        <f>IF(AG171="","",WORKDAY(I171-H171+1,-1,{46329,46349,46384,46385,46386,46387,46388,46391,46398,46429,46441,46468}))</f>
        <v/>
      </c>
      <c r="G171" s="67"/>
      <c r="H171" s="65"/>
      <c r="I171" s="66" t="str">
        <f>IF(AG171="","",WORKDAY(P171-K171+1,-1,{46329,46349,46384,46385,46386,46387,46388,46391,46398,46429,46441,46468}))</f>
        <v/>
      </c>
      <c r="J171" s="67"/>
      <c r="K171" s="65"/>
      <c r="L171" s="68"/>
      <c r="M171" s="68"/>
      <c r="N171" s="68"/>
      <c r="O171" s="68"/>
      <c r="P171" s="66" t="str">
        <f>IF(AG171="","",WORKDAY(AC171-R171-Q171+1,-1,{46329,46349,46384,46385,46386,46387,46388,46391,46398,46429,46441,46468}))</f>
        <v/>
      </c>
      <c r="Q171" s="69"/>
      <c r="R171" s="69"/>
      <c r="S171" s="68"/>
      <c r="T171" s="68"/>
      <c r="U171" s="68"/>
      <c r="V171" s="68"/>
      <c r="W171" s="68"/>
      <c r="X171" s="68"/>
      <c r="Y171" s="68"/>
      <c r="Z171" s="68"/>
      <c r="AA171" s="68"/>
      <c r="AB171" s="67"/>
      <c r="AC171" s="82" t="str">
        <f>IF(AG171="","",WORKDAY(AG171-AF171+1,-1,{46329,46349,46384,46385,46386,46387,46388,46391,46398,46429,46441,46468}))</f>
        <v/>
      </c>
      <c r="AD171" s="68"/>
      <c r="AE171" s="67"/>
      <c r="AF171" s="83"/>
      <c r="AG171" s="72"/>
      <c r="AH171" s="71"/>
      <c r="AI171" s="70"/>
      <c r="AJ171" s="68"/>
      <c r="AK171" s="68"/>
      <c r="AL171" s="67"/>
      <c r="AM171" s="72"/>
      <c r="AN171" s="73"/>
      <c r="AO171" s="26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</row>
    <row r="172" spans="1:64" ht="25.5" customHeight="1">
      <c r="A172" s="10" cm="1">
        <f t="array" ref="A172">A171+1</f>
        <v>161</v>
      </c>
      <c r="B172" s="9"/>
      <c r="C172" s="19"/>
      <c r="D172" s="72"/>
      <c r="E172" s="71"/>
      <c r="F172" s="82" t="str">
        <f>IF(AG172="","",WORKDAY(I172-H172+1,-1,{46329,46349,46384,46385,46386,46387,46388,46391,46398,46429,46441,46468}))</f>
        <v/>
      </c>
      <c r="G172" s="67"/>
      <c r="H172" s="65"/>
      <c r="I172" s="66" t="str">
        <f>IF(AG172="","",WORKDAY(P172-K172+1,-1,{46329,46349,46384,46385,46386,46387,46388,46391,46398,46429,46441,46468}))</f>
        <v/>
      </c>
      <c r="J172" s="67"/>
      <c r="K172" s="65"/>
      <c r="L172" s="68"/>
      <c r="M172" s="68"/>
      <c r="N172" s="68"/>
      <c r="O172" s="68"/>
      <c r="P172" s="66" t="str">
        <f>IF(AG172="","",WORKDAY(AC172-R172-Q172+1,-1,{46329,46349,46384,46385,46386,46387,46388,46391,46398,46429,46441,46468}))</f>
        <v/>
      </c>
      <c r="Q172" s="69"/>
      <c r="R172" s="69"/>
      <c r="S172" s="68"/>
      <c r="T172" s="68"/>
      <c r="U172" s="68"/>
      <c r="V172" s="68"/>
      <c r="W172" s="68"/>
      <c r="X172" s="68"/>
      <c r="Y172" s="68"/>
      <c r="Z172" s="68"/>
      <c r="AA172" s="68"/>
      <c r="AB172" s="67"/>
      <c r="AC172" s="82" t="str">
        <f>IF(AG172="","",WORKDAY(AG172-AF172+1,-1,{46329,46349,46384,46385,46386,46387,46388,46391,46398,46429,46441,46468}))</f>
        <v/>
      </c>
      <c r="AD172" s="68"/>
      <c r="AE172" s="67"/>
      <c r="AF172" s="83"/>
      <c r="AG172" s="72"/>
      <c r="AH172" s="71"/>
      <c r="AI172" s="70"/>
      <c r="AJ172" s="68"/>
      <c r="AK172" s="68"/>
      <c r="AL172" s="67"/>
      <c r="AM172" s="72"/>
      <c r="AN172" s="73"/>
      <c r="AO172" s="26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</row>
    <row r="173" spans="1:64" ht="25.5" customHeight="1">
      <c r="A173" s="10" cm="1">
        <f t="array" ref="A173">A172+1</f>
        <v>162</v>
      </c>
      <c r="B173" s="9"/>
      <c r="C173" s="19"/>
      <c r="D173" s="72"/>
      <c r="E173" s="71"/>
      <c r="F173" s="82" t="str">
        <f>IF(AG173="","",WORKDAY(I173-H173+1,-1,{46329,46349,46384,46385,46386,46387,46388,46391,46398,46429,46441,46468}))</f>
        <v/>
      </c>
      <c r="G173" s="67"/>
      <c r="H173" s="65"/>
      <c r="I173" s="66" t="str">
        <f>IF(AG173="","",WORKDAY(P173-K173+1,-1,{46329,46349,46384,46385,46386,46387,46388,46391,46398,46429,46441,46468}))</f>
        <v/>
      </c>
      <c r="J173" s="67"/>
      <c r="K173" s="65"/>
      <c r="L173" s="68"/>
      <c r="M173" s="68"/>
      <c r="N173" s="68"/>
      <c r="O173" s="68"/>
      <c r="P173" s="66" t="str">
        <f>IF(AG173="","",WORKDAY(AC173-R173-Q173+1,-1,{46329,46349,46384,46385,46386,46387,46388,46391,46398,46429,46441,46468}))</f>
        <v/>
      </c>
      <c r="Q173" s="69"/>
      <c r="R173" s="69"/>
      <c r="S173" s="68"/>
      <c r="T173" s="68"/>
      <c r="U173" s="68"/>
      <c r="V173" s="68"/>
      <c r="W173" s="68"/>
      <c r="X173" s="68"/>
      <c r="Y173" s="68"/>
      <c r="Z173" s="68"/>
      <c r="AA173" s="68"/>
      <c r="AB173" s="67"/>
      <c r="AC173" s="82" t="str">
        <f>IF(AG173="","",WORKDAY(AG173-AF173+1,-1,{46329,46349,46384,46385,46386,46387,46388,46391,46398,46429,46441,46468}))</f>
        <v/>
      </c>
      <c r="AD173" s="68"/>
      <c r="AE173" s="67"/>
      <c r="AF173" s="83"/>
      <c r="AG173" s="72"/>
      <c r="AH173" s="71"/>
      <c r="AI173" s="70"/>
      <c r="AJ173" s="68"/>
      <c r="AK173" s="68"/>
      <c r="AL173" s="67"/>
      <c r="AM173" s="72"/>
      <c r="AN173" s="73"/>
      <c r="AO173" s="26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</row>
    <row r="174" spans="1:64" ht="25.5" customHeight="1">
      <c r="A174" s="10" cm="1">
        <f t="array" ref="A174">A173+1</f>
        <v>163</v>
      </c>
      <c r="B174" s="9"/>
      <c r="C174" s="19"/>
      <c r="D174" s="72"/>
      <c r="E174" s="71"/>
      <c r="F174" s="82" t="str">
        <f>IF(AG174="","",WORKDAY(I174-H174+1,-1,{46329,46349,46384,46385,46386,46387,46388,46391,46398,46429,46441,46468}))</f>
        <v/>
      </c>
      <c r="G174" s="67"/>
      <c r="H174" s="65"/>
      <c r="I174" s="66" t="str">
        <f>IF(AG174="","",WORKDAY(P174-K174+1,-1,{46329,46349,46384,46385,46386,46387,46388,46391,46398,46429,46441,46468}))</f>
        <v/>
      </c>
      <c r="J174" s="67"/>
      <c r="K174" s="65"/>
      <c r="L174" s="68"/>
      <c r="M174" s="68"/>
      <c r="N174" s="68"/>
      <c r="O174" s="68"/>
      <c r="P174" s="66" t="str">
        <f>IF(AG174="","",WORKDAY(AC174-R174-Q174+1,-1,{46329,46349,46384,46385,46386,46387,46388,46391,46398,46429,46441,46468}))</f>
        <v/>
      </c>
      <c r="Q174" s="69"/>
      <c r="R174" s="69"/>
      <c r="S174" s="68"/>
      <c r="T174" s="68"/>
      <c r="U174" s="68"/>
      <c r="V174" s="68"/>
      <c r="W174" s="68"/>
      <c r="X174" s="68"/>
      <c r="Y174" s="68"/>
      <c r="Z174" s="68"/>
      <c r="AA174" s="68"/>
      <c r="AB174" s="67"/>
      <c r="AC174" s="82" t="str">
        <f>IF(AG174="","",WORKDAY(AG174-AF174+1,-1,{46329,46349,46384,46385,46386,46387,46388,46391,46398,46429,46441,46468}))</f>
        <v/>
      </c>
      <c r="AD174" s="68"/>
      <c r="AE174" s="67"/>
      <c r="AF174" s="83"/>
      <c r="AG174" s="72"/>
      <c r="AH174" s="71"/>
      <c r="AI174" s="70"/>
      <c r="AJ174" s="68"/>
      <c r="AK174" s="68"/>
      <c r="AL174" s="67"/>
      <c r="AM174" s="72"/>
      <c r="AN174" s="73"/>
      <c r="AO174" s="26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</row>
    <row r="175" spans="1:64" ht="25.5" customHeight="1">
      <c r="A175" s="10" cm="1">
        <f t="array" ref="A175">A174+1</f>
        <v>164</v>
      </c>
      <c r="B175" s="9"/>
      <c r="C175" s="19"/>
      <c r="D175" s="72"/>
      <c r="E175" s="71"/>
      <c r="F175" s="82" t="str">
        <f>IF(AG175="","",WORKDAY(I175-H175+1,-1,{46329,46349,46384,46385,46386,46387,46388,46391,46398,46429,46441,46468}))</f>
        <v/>
      </c>
      <c r="G175" s="67"/>
      <c r="H175" s="65"/>
      <c r="I175" s="66" t="str">
        <f>IF(AG175="","",WORKDAY(P175-K175+1,-1,{46329,46349,46384,46385,46386,46387,46388,46391,46398,46429,46441,46468}))</f>
        <v/>
      </c>
      <c r="J175" s="67"/>
      <c r="K175" s="65"/>
      <c r="L175" s="68"/>
      <c r="M175" s="68"/>
      <c r="N175" s="68"/>
      <c r="O175" s="68"/>
      <c r="P175" s="66" t="str">
        <f>IF(AG175="","",WORKDAY(AC175-R175-Q175+1,-1,{46329,46349,46384,46385,46386,46387,46388,46391,46398,46429,46441,46468}))</f>
        <v/>
      </c>
      <c r="Q175" s="69"/>
      <c r="R175" s="69"/>
      <c r="S175" s="68"/>
      <c r="T175" s="68"/>
      <c r="U175" s="68"/>
      <c r="V175" s="68"/>
      <c r="W175" s="68"/>
      <c r="X175" s="68"/>
      <c r="Y175" s="68"/>
      <c r="Z175" s="68"/>
      <c r="AA175" s="68"/>
      <c r="AB175" s="67"/>
      <c r="AC175" s="82" t="str">
        <f>IF(AG175="","",WORKDAY(AG175-AF175+1,-1,{46329,46349,46384,46385,46386,46387,46388,46391,46398,46429,46441,46468}))</f>
        <v/>
      </c>
      <c r="AD175" s="68"/>
      <c r="AE175" s="67"/>
      <c r="AF175" s="83"/>
      <c r="AG175" s="72"/>
      <c r="AH175" s="71"/>
      <c r="AI175" s="70"/>
      <c r="AJ175" s="68"/>
      <c r="AK175" s="68"/>
      <c r="AL175" s="67"/>
      <c r="AM175" s="72"/>
      <c r="AN175" s="73"/>
      <c r="AO175" s="26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</row>
    <row r="176" spans="1:64" ht="25.5" customHeight="1">
      <c r="A176" s="10" cm="1">
        <f t="array" ref="A176">A175+1</f>
        <v>165</v>
      </c>
      <c r="B176" s="9"/>
      <c r="C176" s="19"/>
      <c r="D176" s="72"/>
      <c r="E176" s="71"/>
      <c r="F176" s="82" t="str">
        <f>IF(AG176="","",WORKDAY(I176-H176+1,-1,{46329,46349,46384,46385,46386,46387,46388,46391,46398,46429,46441,46468}))</f>
        <v/>
      </c>
      <c r="G176" s="67"/>
      <c r="H176" s="65"/>
      <c r="I176" s="66" t="str">
        <f>IF(AG176="","",WORKDAY(P176-K176+1,-1,{46329,46349,46384,46385,46386,46387,46388,46391,46398,46429,46441,46468}))</f>
        <v/>
      </c>
      <c r="J176" s="67"/>
      <c r="K176" s="65"/>
      <c r="L176" s="68"/>
      <c r="M176" s="68"/>
      <c r="N176" s="68"/>
      <c r="O176" s="68"/>
      <c r="P176" s="66" t="str">
        <f>IF(AG176="","",WORKDAY(AC176-R176-Q176+1,-1,{46329,46349,46384,46385,46386,46387,46388,46391,46398,46429,46441,46468}))</f>
        <v/>
      </c>
      <c r="Q176" s="69"/>
      <c r="R176" s="69"/>
      <c r="S176" s="68"/>
      <c r="T176" s="68"/>
      <c r="U176" s="68"/>
      <c r="V176" s="68"/>
      <c r="W176" s="68"/>
      <c r="X176" s="68"/>
      <c r="Y176" s="68"/>
      <c r="Z176" s="68"/>
      <c r="AA176" s="68"/>
      <c r="AB176" s="67"/>
      <c r="AC176" s="82" t="str">
        <f>IF(AG176="","",WORKDAY(AG176-AF176+1,-1,{46329,46349,46384,46385,46386,46387,46388,46391,46398,46429,46441,46468}))</f>
        <v/>
      </c>
      <c r="AD176" s="68"/>
      <c r="AE176" s="67"/>
      <c r="AF176" s="83"/>
      <c r="AG176" s="72"/>
      <c r="AH176" s="71"/>
      <c r="AI176" s="70"/>
      <c r="AJ176" s="68"/>
      <c r="AK176" s="68"/>
      <c r="AL176" s="67"/>
      <c r="AM176" s="72"/>
      <c r="AN176" s="73"/>
      <c r="AO176" s="26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</row>
    <row r="177" spans="1:64" ht="25.5" customHeight="1">
      <c r="A177" s="10" cm="1">
        <f t="array" ref="A177">A176+1</f>
        <v>166</v>
      </c>
      <c r="B177" s="9"/>
      <c r="C177" s="19"/>
      <c r="D177" s="72"/>
      <c r="E177" s="71"/>
      <c r="F177" s="82" t="str">
        <f>IF(AG177="","",WORKDAY(I177-H177+1,-1,{46329,46349,46384,46385,46386,46387,46388,46391,46398,46429,46441,46468}))</f>
        <v/>
      </c>
      <c r="G177" s="67"/>
      <c r="H177" s="65"/>
      <c r="I177" s="66" t="str">
        <f>IF(AG177="","",WORKDAY(P177-K177+1,-1,{46329,46349,46384,46385,46386,46387,46388,46391,46398,46429,46441,46468}))</f>
        <v/>
      </c>
      <c r="J177" s="67"/>
      <c r="K177" s="65"/>
      <c r="L177" s="68"/>
      <c r="M177" s="68"/>
      <c r="N177" s="68"/>
      <c r="O177" s="68"/>
      <c r="P177" s="66" t="str">
        <f>IF(AG177="","",WORKDAY(AC177-R177-Q177+1,-1,{46329,46349,46384,46385,46386,46387,46388,46391,46398,46429,46441,46468}))</f>
        <v/>
      </c>
      <c r="Q177" s="69"/>
      <c r="R177" s="69"/>
      <c r="S177" s="68"/>
      <c r="T177" s="68"/>
      <c r="U177" s="68"/>
      <c r="V177" s="68"/>
      <c r="W177" s="68"/>
      <c r="X177" s="68"/>
      <c r="Y177" s="68"/>
      <c r="Z177" s="68"/>
      <c r="AA177" s="68"/>
      <c r="AB177" s="67"/>
      <c r="AC177" s="82" t="str">
        <f>IF(AG177="","",WORKDAY(AG177-AF177+1,-1,{46329,46349,46384,46385,46386,46387,46388,46391,46398,46429,46441,46468}))</f>
        <v/>
      </c>
      <c r="AD177" s="68"/>
      <c r="AE177" s="67"/>
      <c r="AF177" s="83"/>
      <c r="AG177" s="72"/>
      <c r="AH177" s="71"/>
      <c r="AI177" s="70"/>
      <c r="AJ177" s="68"/>
      <c r="AK177" s="68"/>
      <c r="AL177" s="67"/>
      <c r="AM177" s="72"/>
      <c r="AN177" s="73"/>
      <c r="AO177" s="26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</row>
    <row r="178" spans="1:64" ht="25.5" customHeight="1">
      <c r="A178" s="10" cm="1">
        <f t="array" ref="A178">A177+1</f>
        <v>167</v>
      </c>
      <c r="B178" s="9"/>
      <c r="C178" s="19"/>
      <c r="D178" s="72"/>
      <c r="E178" s="71"/>
      <c r="F178" s="82" t="str">
        <f>IF(AG178="","",WORKDAY(I178-H178+1,-1,{46329,46349,46384,46385,46386,46387,46388,46391,46398,46429,46441,46468}))</f>
        <v/>
      </c>
      <c r="G178" s="67"/>
      <c r="H178" s="65"/>
      <c r="I178" s="66" t="str">
        <f>IF(AG178="","",WORKDAY(P178-K178+1,-1,{46329,46349,46384,46385,46386,46387,46388,46391,46398,46429,46441,46468}))</f>
        <v/>
      </c>
      <c r="J178" s="67"/>
      <c r="K178" s="65"/>
      <c r="L178" s="68"/>
      <c r="M178" s="68"/>
      <c r="N178" s="68"/>
      <c r="O178" s="68"/>
      <c r="P178" s="66" t="str">
        <f>IF(AG178="","",WORKDAY(AC178-R178-Q178+1,-1,{46329,46349,46384,46385,46386,46387,46388,46391,46398,46429,46441,46468}))</f>
        <v/>
      </c>
      <c r="Q178" s="69"/>
      <c r="R178" s="69"/>
      <c r="S178" s="68"/>
      <c r="T178" s="68"/>
      <c r="U178" s="68"/>
      <c r="V178" s="68"/>
      <c r="W178" s="68"/>
      <c r="X178" s="68"/>
      <c r="Y178" s="68"/>
      <c r="Z178" s="68"/>
      <c r="AA178" s="68"/>
      <c r="AB178" s="67"/>
      <c r="AC178" s="82" t="str">
        <f>IF(AG178="","",WORKDAY(AG178-AF178+1,-1,{46329,46349,46384,46385,46386,46387,46388,46391,46398,46429,46441,46468}))</f>
        <v/>
      </c>
      <c r="AD178" s="68"/>
      <c r="AE178" s="67"/>
      <c r="AF178" s="83"/>
      <c r="AG178" s="72"/>
      <c r="AH178" s="71"/>
      <c r="AI178" s="70"/>
      <c r="AJ178" s="68"/>
      <c r="AK178" s="68"/>
      <c r="AL178" s="67"/>
      <c r="AM178" s="72"/>
      <c r="AN178" s="73"/>
      <c r="AO178" s="26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</row>
    <row r="179" spans="1:64" ht="25.5" customHeight="1">
      <c r="A179" s="10" cm="1">
        <f t="array" ref="A179">A178+1</f>
        <v>168</v>
      </c>
      <c r="B179" s="9"/>
      <c r="C179" s="19"/>
      <c r="D179" s="72"/>
      <c r="E179" s="71"/>
      <c r="F179" s="82" t="str">
        <f>IF(AG179="","",WORKDAY(I179-H179+1,-1,{46329,46349,46384,46385,46386,46387,46388,46391,46398,46429,46441,46468}))</f>
        <v/>
      </c>
      <c r="G179" s="67"/>
      <c r="H179" s="65"/>
      <c r="I179" s="66" t="str">
        <f>IF(AG179="","",WORKDAY(P179-K179+1,-1,{46329,46349,46384,46385,46386,46387,46388,46391,46398,46429,46441,46468}))</f>
        <v/>
      </c>
      <c r="J179" s="67"/>
      <c r="K179" s="65"/>
      <c r="L179" s="68"/>
      <c r="M179" s="68"/>
      <c r="N179" s="68"/>
      <c r="O179" s="68"/>
      <c r="P179" s="66" t="str">
        <f>IF(AG179="","",WORKDAY(AC179-R179-Q179+1,-1,{46329,46349,46384,46385,46386,46387,46388,46391,46398,46429,46441,46468}))</f>
        <v/>
      </c>
      <c r="Q179" s="69"/>
      <c r="R179" s="69"/>
      <c r="S179" s="68"/>
      <c r="T179" s="68"/>
      <c r="U179" s="68"/>
      <c r="V179" s="68"/>
      <c r="W179" s="68"/>
      <c r="X179" s="68"/>
      <c r="Y179" s="68"/>
      <c r="Z179" s="68"/>
      <c r="AA179" s="68"/>
      <c r="AB179" s="67"/>
      <c r="AC179" s="82" t="str">
        <f>IF(AG179="","",WORKDAY(AG179-AF179+1,-1,{46329,46349,46384,46385,46386,46387,46388,46391,46398,46429,46441,46468}))</f>
        <v/>
      </c>
      <c r="AD179" s="68"/>
      <c r="AE179" s="67"/>
      <c r="AF179" s="83"/>
      <c r="AG179" s="72"/>
      <c r="AH179" s="71"/>
      <c r="AI179" s="70"/>
      <c r="AJ179" s="68"/>
      <c r="AK179" s="68"/>
      <c r="AL179" s="67"/>
      <c r="AM179" s="72"/>
      <c r="AN179" s="73"/>
      <c r="AO179" s="26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</row>
    <row r="180" spans="1:64" ht="25.5" customHeight="1">
      <c r="A180" s="10" cm="1">
        <f t="array" ref="A180">A179+1</f>
        <v>169</v>
      </c>
      <c r="B180" s="9"/>
      <c r="C180" s="19"/>
      <c r="D180" s="72"/>
      <c r="E180" s="71"/>
      <c r="F180" s="82" t="str">
        <f>IF(AG180="","",WORKDAY(I180-H180+1,-1,{46329,46349,46384,46385,46386,46387,46388,46391,46398,46429,46441,46468}))</f>
        <v/>
      </c>
      <c r="G180" s="67"/>
      <c r="H180" s="65"/>
      <c r="I180" s="66" t="str">
        <f>IF(AG180="","",WORKDAY(P180-K180+1,-1,{46329,46349,46384,46385,46386,46387,46388,46391,46398,46429,46441,46468}))</f>
        <v/>
      </c>
      <c r="J180" s="67"/>
      <c r="K180" s="65"/>
      <c r="L180" s="68"/>
      <c r="M180" s="68"/>
      <c r="N180" s="68"/>
      <c r="O180" s="68"/>
      <c r="P180" s="66" t="str">
        <f>IF(AG180="","",WORKDAY(AC180-R180-Q180+1,-1,{46329,46349,46384,46385,46386,46387,46388,46391,46398,46429,46441,46468}))</f>
        <v/>
      </c>
      <c r="Q180" s="69"/>
      <c r="R180" s="69"/>
      <c r="S180" s="68"/>
      <c r="T180" s="68"/>
      <c r="U180" s="68"/>
      <c r="V180" s="68"/>
      <c r="W180" s="68"/>
      <c r="X180" s="68"/>
      <c r="Y180" s="68"/>
      <c r="Z180" s="68"/>
      <c r="AA180" s="68"/>
      <c r="AB180" s="67"/>
      <c r="AC180" s="82" t="str">
        <f>IF(AG180="","",WORKDAY(AG180-AF180+1,-1,{46329,46349,46384,46385,46386,46387,46388,46391,46398,46429,46441,46468}))</f>
        <v/>
      </c>
      <c r="AD180" s="68"/>
      <c r="AE180" s="67"/>
      <c r="AF180" s="83"/>
      <c r="AG180" s="72"/>
      <c r="AH180" s="71"/>
      <c r="AI180" s="70"/>
      <c r="AJ180" s="68"/>
      <c r="AK180" s="68"/>
      <c r="AL180" s="67"/>
      <c r="AM180" s="72"/>
      <c r="AN180" s="73"/>
      <c r="AO180" s="26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</row>
    <row r="181" spans="1:64" ht="25.5" customHeight="1">
      <c r="A181" s="10" cm="1">
        <f t="array" ref="A181">A180+1</f>
        <v>170</v>
      </c>
      <c r="B181" s="9"/>
      <c r="C181" s="19"/>
      <c r="D181" s="72"/>
      <c r="E181" s="71"/>
      <c r="F181" s="82" t="str">
        <f>IF(AG181="","",WORKDAY(I181-H181+1,-1,{46329,46349,46384,46385,46386,46387,46388,46391,46398,46429,46441,46468}))</f>
        <v/>
      </c>
      <c r="G181" s="67"/>
      <c r="H181" s="65"/>
      <c r="I181" s="66" t="str">
        <f>IF(AG181="","",WORKDAY(P181-K181+1,-1,{46329,46349,46384,46385,46386,46387,46388,46391,46398,46429,46441,46468}))</f>
        <v/>
      </c>
      <c r="J181" s="67"/>
      <c r="K181" s="65"/>
      <c r="L181" s="68"/>
      <c r="M181" s="68"/>
      <c r="N181" s="68"/>
      <c r="O181" s="68"/>
      <c r="P181" s="66" t="str">
        <f>IF(AG181="","",WORKDAY(AC181-R181-Q181+1,-1,{46329,46349,46384,46385,46386,46387,46388,46391,46398,46429,46441,46468}))</f>
        <v/>
      </c>
      <c r="Q181" s="69"/>
      <c r="R181" s="69"/>
      <c r="S181" s="68"/>
      <c r="T181" s="68"/>
      <c r="U181" s="68"/>
      <c r="V181" s="68"/>
      <c r="W181" s="68"/>
      <c r="X181" s="68"/>
      <c r="Y181" s="68"/>
      <c r="Z181" s="68"/>
      <c r="AA181" s="68"/>
      <c r="AB181" s="67"/>
      <c r="AC181" s="82" t="str">
        <f>IF(AG181="","",WORKDAY(AG181-AF181+1,-1,{46329,46349,46384,46385,46386,46387,46388,46391,46398,46429,46441,46468}))</f>
        <v/>
      </c>
      <c r="AD181" s="68"/>
      <c r="AE181" s="67"/>
      <c r="AF181" s="83"/>
      <c r="AG181" s="72"/>
      <c r="AH181" s="71"/>
      <c r="AI181" s="70"/>
      <c r="AJ181" s="68"/>
      <c r="AK181" s="68"/>
      <c r="AL181" s="67"/>
      <c r="AM181" s="72"/>
      <c r="AN181" s="73"/>
      <c r="AO181" s="26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</row>
    <row r="182" spans="1:64" ht="25.5" customHeight="1">
      <c r="A182" s="10" cm="1">
        <f t="array" ref="A182">A181+1</f>
        <v>171</v>
      </c>
      <c r="B182" s="9"/>
      <c r="C182" s="19"/>
      <c r="D182" s="72"/>
      <c r="E182" s="71"/>
      <c r="F182" s="82" t="str">
        <f>IF(AG182="","",WORKDAY(I182-H182+1,-1,{46329,46349,46384,46385,46386,46387,46388,46391,46398,46429,46441,46468}))</f>
        <v/>
      </c>
      <c r="G182" s="67"/>
      <c r="H182" s="65"/>
      <c r="I182" s="66" t="str">
        <f>IF(AG182="","",WORKDAY(P182-K182+1,-1,{46329,46349,46384,46385,46386,46387,46388,46391,46398,46429,46441,46468}))</f>
        <v/>
      </c>
      <c r="J182" s="67"/>
      <c r="K182" s="65"/>
      <c r="L182" s="68"/>
      <c r="M182" s="68"/>
      <c r="N182" s="68"/>
      <c r="O182" s="68"/>
      <c r="P182" s="66" t="str">
        <f>IF(AG182="","",WORKDAY(AC182-R182-Q182+1,-1,{46329,46349,46384,46385,46386,46387,46388,46391,46398,46429,46441,46468}))</f>
        <v/>
      </c>
      <c r="Q182" s="69"/>
      <c r="R182" s="69"/>
      <c r="S182" s="68"/>
      <c r="T182" s="68"/>
      <c r="U182" s="68"/>
      <c r="V182" s="68"/>
      <c r="W182" s="68"/>
      <c r="X182" s="68"/>
      <c r="Y182" s="68"/>
      <c r="Z182" s="68"/>
      <c r="AA182" s="68"/>
      <c r="AB182" s="67"/>
      <c r="AC182" s="82" t="str">
        <f>IF(AG182="","",WORKDAY(AG182-AF182+1,-1,{46329,46349,46384,46385,46386,46387,46388,46391,46398,46429,46441,46468}))</f>
        <v/>
      </c>
      <c r="AD182" s="68"/>
      <c r="AE182" s="67"/>
      <c r="AF182" s="83"/>
      <c r="AG182" s="72"/>
      <c r="AH182" s="71"/>
      <c r="AI182" s="70"/>
      <c r="AJ182" s="68"/>
      <c r="AK182" s="68"/>
      <c r="AL182" s="67"/>
      <c r="AM182" s="72"/>
      <c r="AN182" s="73"/>
      <c r="AO182" s="26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</row>
    <row r="183" spans="1:64" ht="25.5" customHeight="1">
      <c r="A183" s="10" cm="1">
        <f t="array" ref="A183">A182+1</f>
        <v>172</v>
      </c>
      <c r="B183" s="9"/>
      <c r="C183" s="19"/>
      <c r="D183" s="72"/>
      <c r="E183" s="71"/>
      <c r="F183" s="82" t="str">
        <f>IF(AG183="","",WORKDAY(I183-H183+1,-1,{46329,46349,46384,46385,46386,46387,46388,46391,46398,46429,46441,46468}))</f>
        <v/>
      </c>
      <c r="G183" s="67"/>
      <c r="H183" s="65"/>
      <c r="I183" s="66" t="str">
        <f>IF(AG183="","",WORKDAY(P183-K183+1,-1,{46329,46349,46384,46385,46386,46387,46388,46391,46398,46429,46441,46468}))</f>
        <v/>
      </c>
      <c r="J183" s="67"/>
      <c r="K183" s="65"/>
      <c r="L183" s="68"/>
      <c r="M183" s="68"/>
      <c r="N183" s="68"/>
      <c r="O183" s="68"/>
      <c r="P183" s="66" t="str">
        <f>IF(AG183="","",WORKDAY(AC183-R183-Q183+1,-1,{46329,46349,46384,46385,46386,46387,46388,46391,46398,46429,46441,46468}))</f>
        <v/>
      </c>
      <c r="Q183" s="69"/>
      <c r="R183" s="69"/>
      <c r="S183" s="68"/>
      <c r="T183" s="68"/>
      <c r="U183" s="68"/>
      <c r="V183" s="68"/>
      <c r="W183" s="68"/>
      <c r="X183" s="68"/>
      <c r="Y183" s="68"/>
      <c r="Z183" s="68"/>
      <c r="AA183" s="68"/>
      <c r="AB183" s="67"/>
      <c r="AC183" s="82" t="str">
        <f>IF(AG183="","",WORKDAY(AG183-AF183+1,-1,{46329,46349,46384,46385,46386,46387,46388,46391,46398,46429,46441,46468}))</f>
        <v/>
      </c>
      <c r="AD183" s="68"/>
      <c r="AE183" s="67"/>
      <c r="AF183" s="83"/>
      <c r="AG183" s="72"/>
      <c r="AH183" s="71"/>
      <c r="AI183" s="70"/>
      <c r="AJ183" s="68"/>
      <c r="AK183" s="68"/>
      <c r="AL183" s="67"/>
      <c r="AM183" s="72"/>
      <c r="AN183" s="73"/>
      <c r="AO183" s="26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</row>
    <row r="184" spans="1:64" ht="25.5" customHeight="1">
      <c r="A184" s="10" cm="1">
        <f t="array" ref="A184">A183+1</f>
        <v>173</v>
      </c>
      <c r="B184" s="9"/>
      <c r="C184" s="19"/>
      <c r="D184" s="72"/>
      <c r="E184" s="71"/>
      <c r="F184" s="82" t="str">
        <f>IF(AG184="","",WORKDAY(I184-H184+1,-1,{46329,46349,46384,46385,46386,46387,46388,46391,46398,46429,46441,46468}))</f>
        <v/>
      </c>
      <c r="G184" s="67"/>
      <c r="H184" s="65"/>
      <c r="I184" s="66" t="str">
        <f>IF(AG184="","",WORKDAY(P184-K184+1,-1,{46329,46349,46384,46385,46386,46387,46388,46391,46398,46429,46441,46468}))</f>
        <v/>
      </c>
      <c r="J184" s="67"/>
      <c r="K184" s="65"/>
      <c r="L184" s="68"/>
      <c r="M184" s="68"/>
      <c r="N184" s="68"/>
      <c r="O184" s="68"/>
      <c r="P184" s="66" t="str">
        <f>IF(AG184="","",WORKDAY(AC184-R184-Q184+1,-1,{46329,46349,46384,46385,46386,46387,46388,46391,46398,46429,46441,46468}))</f>
        <v/>
      </c>
      <c r="Q184" s="69"/>
      <c r="R184" s="69"/>
      <c r="S184" s="68"/>
      <c r="T184" s="68"/>
      <c r="U184" s="68"/>
      <c r="V184" s="68"/>
      <c r="W184" s="68"/>
      <c r="X184" s="68"/>
      <c r="Y184" s="68"/>
      <c r="Z184" s="68"/>
      <c r="AA184" s="68"/>
      <c r="AB184" s="67"/>
      <c r="AC184" s="82" t="str">
        <f>IF(AG184="","",WORKDAY(AG184-AF184+1,-1,{46329,46349,46384,46385,46386,46387,46388,46391,46398,46429,46441,46468}))</f>
        <v/>
      </c>
      <c r="AD184" s="68"/>
      <c r="AE184" s="67"/>
      <c r="AF184" s="83"/>
      <c r="AG184" s="72"/>
      <c r="AH184" s="71"/>
      <c r="AI184" s="70"/>
      <c r="AJ184" s="68"/>
      <c r="AK184" s="68"/>
      <c r="AL184" s="67"/>
      <c r="AM184" s="72"/>
      <c r="AN184" s="73"/>
      <c r="AO184" s="26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</row>
    <row r="185" spans="1:64" ht="25.5" customHeight="1">
      <c r="A185" s="10" cm="1">
        <f t="array" ref="A185">A184+1</f>
        <v>174</v>
      </c>
      <c r="B185" s="9"/>
      <c r="C185" s="19"/>
      <c r="D185" s="72"/>
      <c r="E185" s="71"/>
      <c r="F185" s="82" t="str">
        <f>IF(AG185="","",WORKDAY(I185-H185+1,-1,{46329,46349,46384,46385,46386,46387,46388,46391,46398,46429,46441,46468}))</f>
        <v/>
      </c>
      <c r="G185" s="67"/>
      <c r="H185" s="65"/>
      <c r="I185" s="66" t="str">
        <f>IF(AG185="","",WORKDAY(P185-K185+1,-1,{46329,46349,46384,46385,46386,46387,46388,46391,46398,46429,46441,46468}))</f>
        <v/>
      </c>
      <c r="J185" s="67"/>
      <c r="K185" s="65"/>
      <c r="L185" s="68"/>
      <c r="M185" s="68"/>
      <c r="N185" s="68"/>
      <c r="O185" s="68"/>
      <c r="P185" s="66" t="str">
        <f>IF(AG185="","",WORKDAY(AC185-R185-Q185+1,-1,{46329,46349,46384,46385,46386,46387,46388,46391,46398,46429,46441,46468}))</f>
        <v/>
      </c>
      <c r="Q185" s="69"/>
      <c r="R185" s="69"/>
      <c r="S185" s="68"/>
      <c r="T185" s="68"/>
      <c r="U185" s="68"/>
      <c r="V185" s="68"/>
      <c r="W185" s="68"/>
      <c r="X185" s="68"/>
      <c r="Y185" s="68"/>
      <c r="Z185" s="68"/>
      <c r="AA185" s="68"/>
      <c r="AB185" s="67"/>
      <c r="AC185" s="82" t="str">
        <f>IF(AG185="","",WORKDAY(AG185-AF185+1,-1,{46329,46349,46384,46385,46386,46387,46388,46391,46398,46429,46441,46468}))</f>
        <v/>
      </c>
      <c r="AD185" s="68"/>
      <c r="AE185" s="67"/>
      <c r="AF185" s="83"/>
      <c r="AG185" s="72"/>
      <c r="AH185" s="71"/>
      <c r="AI185" s="70"/>
      <c r="AJ185" s="68"/>
      <c r="AK185" s="68"/>
      <c r="AL185" s="67"/>
      <c r="AM185" s="72"/>
      <c r="AN185" s="73"/>
      <c r="AO185" s="26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</row>
    <row r="186" spans="1:64" ht="25.5" customHeight="1">
      <c r="A186" s="10" cm="1">
        <f t="array" ref="A186">A185+1</f>
        <v>175</v>
      </c>
      <c r="B186" s="9"/>
      <c r="C186" s="19"/>
      <c r="D186" s="72"/>
      <c r="E186" s="71"/>
      <c r="F186" s="82" t="str">
        <f>IF(AG186="","",WORKDAY(I186-H186+1,-1,{46329,46349,46384,46385,46386,46387,46388,46391,46398,46429,46441,46468}))</f>
        <v/>
      </c>
      <c r="G186" s="67"/>
      <c r="H186" s="65"/>
      <c r="I186" s="66" t="str">
        <f>IF(AG186="","",WORKDAY(P186-K186+1,-1,{46329,46349,46384,46385,46386,46387,46388,46391,46398,46429,46441,46468}))</f>
        <v/>
      </c>
      <c r="J186" s="67"/>
      <c r="K186" s="65"/>
      <c r="L186" s="68"/>
      <c r="M186" s="68"/>
      <c r="N186" s="68"/>
      <c r="O186" s="68"/>
      <c r="P186" s="66" t="str">
        <f>IF(AG186="","",WORKDAY(AC186-R186-Q186+1,-1,{46329,46349,46384,46385,46386,46387,46388,46391,46398,46429,46441,46468}))</f>
        <v/>
      </c>
      <c r="Q186" s="69"/>
      <c r="R186" s="69"/>
      <c r="S186" s="68"/>
      <c r="T186" s="68"/>
      <c r="U186" s="68"/>
      <c r="V186" s="68"/>
      <c r="W186" s="68"/>
      <c r="X186" s="68"/>
      <c r="Y186" s="68"/>
      <c r="Z186" s="68"/>
      <c r="AA186" s="68"/>
      <c r="AB186" s="67"/>
      <c r="AC186" s="82" t="str">
        <f>IF(AG186="","",WORKDAY(AG186-AF186+1,-1,{46329,46349,46384,46385,46386,46387,46388,46391,46398,46429,46441,46468}))</f>
        <v/>
      </c>
      <c r="AD186" s="68"/>
      <c r="AE186" s="67"/>
      <c r="AF186" s="83"/>
      <c r="AG186" s="72"/>
      <c r="AH186" s="71"/>
      <c r="AI186" s="70"/>
      <c r="AJ186" s="68"/>
      <c r="AK186" s="68"/>
      <c r="AL186" s="67"/>
      <c r="AM186" s="72"/>
      <c r="AN186" s="73"/>
      <c r="AO186" s="26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</row>
    <row r="187" spans="1:64" ht="25.5" customHeight="1">
      <c r="A187" s="10" cm="1">
        <f t="array" ref="A187">A186+1</f>
        <v>176</v>
      </c>
      <c r="B187" s="9"/>
      <c r="C187" s="19"/>
      <c r="D187" s="72"/>
      <c r="E187" s="71"/>
      <c r="F187" s="82" t="str">
        <f>IF(AG187="","",WORKDAY(I187-H187+1,-1,{46329,46349,46384,46385,46386,46387,46388,46391,46398,46429,46441,46468}))</f>
        <v/>
      </c>
      <c r="G187" s="67"/>
      <c r="H187" s="65"/>
      <c r="I187" s="66" t="str">
        <f>IF(AG187="","",WORKDAY(P187-K187+1,-1,{46329,46349,46384,46385,46386,46387,46388,46391,46398,46429,46441,46468}))</f>
        <v/>
      </c>
      <c r="J187" s="67"/>
      <c r="K187" s="65"/>
      <c r="L187" s="68"/>
      <c r="M187" s="68"/>
      <c r="N187" s="68"/>
      <c r="O187" s="68"/>
      <c r="P187" s="66" t="str">
        <f>IF(AG187="","",WORKDAY(AC187-R187-Q187+1,-1,{46329,46349,46384,46385,46386,46387,46388,46391,46398,46429,46441,46468}))</f>
        <v/>
      </c>
      <c r="Q187" s="69"/>
      <c r="R187" s="69"/>
      <c r="S187" s="68"/>
      <c r="T187" s="68"/>
      <c r="U187" s="68"/>
      <c r="V187" s="68"/>
      <c r="W187" s="68"/>
      <c r="X187" s="68"/>
      <c r="Y187" s="68"/>
      <c r="Z187" s="68"/>
      <c r="AA187" s="68"/>
      <c r="AB187" s="67"/>
      <c r="AC187" s="82" t="str">
        <f>IF(AG187="","",WORKDAY(AG187-AF187+1,-1,{46329,46349,46384,46385,46386,46387,46388,46391,46398,46429,46441,46468}))</f>
        <v/>
      </c>
      <c r="AD187" s="68"/>
      <c r="AE187" s="67"/>
      <c r="AF187" s="83"/>
      <c r="AG187" s="72"/>
      <c r="AH187" s="71"/>
      <c r="AI187" s="70"/>
      <c r="AJ187" s="68"/>
      <c r="AK187" s="68"/>
      <c r="AL187" s="67"/>
      <c r="AM187" s="72"/>
      <c r="AN187" s="73"/>
      <c r="AO187" s="26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</row>
    <row r="188" spans="1:64" ht="25.5" customHeight="1">
      <c r="A188" s="10" cm="1">
        <f t="array" ref="A188">A187+1</f>
        <v>177</v>
      </c>
      <c r="B188" s="9"/>
      <c r="C188" s="19"/>
      <c r="D188" s="72"/>
      <c r="E188" s="71"/>
      <c r="F188" s="82" t="str">
        <f>IF(AG188="","",WORKDAY(I188-H188+1,-1,{46329,46349,46384,46385,46386,46387,46388,46391,46398,46429,46441,46468}))</f>
        <v/>
      </c>
      <c r="G188" s="67"/>
      <c r="H188" s="65"/>
      <c r="I188" s="66" t="str">
        <f>IF(AG188="","",WORKDAY(P188-K188+1,-1,{46329,46349,46384,46385,46386,46387,46388,46391,46398,46429,46441,46468}))</f>
        <v/>
      </c>
      <c r="J188" s="67"/>
      <c r="K188" s="65"/>
      <c r="L188" s="68"/>
      <c r="M188" s="68"/>
      <c r="N188" s="68"/>
      <c r="O188" s="68"/>
      <c r="P188" s="66" t="str">
        <f>IF(AG188="","",WORKDAY(AC188-R188-Q188+1,-1,{46329,46349,46384,46385,46386,46387,46388,46391,46398,46429,46441,46468}))</f>
        <v/>
      </c>
      <c r="Q188" s="69"/>
      <c r="R188" s="69"/>
      <c r="S188" s="68"/>
      <c r="T188" s="68"/>
      <c r="U188" s="68"/>
      <c r="V188" s="68"/>
      <c r="W188" s="68"/>
      <c r="X188" s="68"/>
      <c r="Y188" s="68"/>
      <c r="Z188" s="68"/>
      <c r="AA188" s="68"/>
      <c r="AB188" s="67"/>
      <c r="AC188" s="82" t="str">
        <f>IF(AG188="","",WORKDAY(AG188-AF188+1,-1,{46329,46349,46384,46385,46386,46387,46388,46391,46398,46429,46441,46468}))</f>
        <v/>
      </c>
      <c r="AD188" s="68"/>
      <c r="AE188" s="67"/>
      <c r="AF188" s="83"/>
      <c r="AG188" s="72"/>
      <c r="AH188" s="71"/>
      <c r="AI188" s="70"/>
      <c r="AJ188" s="68"/>
      <c r="AK188" s="68"/>
      <c r="AL188" s="67"/>
      <c r="AM188" s="72"/>
      <c r="AN188" s="73"/>
      <c r="AO188" s="26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</row>
    <row r="189" spans="1:64" ht="25.5" customHeight="1">
      <c r="A189" s="10" cm="1">
        <f t="array" ref="A189">A188+1</f>
        <v>178</v>
      </c>
      <c r="B189" s="9"/>
      <c r="C189" s="19"/>
      <c r="D189" s="72"/>
      <c r="E189" s="71"/>
      <c r="F189" s="82" t="str">
        <f>IF(AG189="","",WORKDAY(I189-H189+1,-1,{46329,46349,46384,46385,46386,46387,46388,46391,46398,46429,46441,46468}))</f>
        <v/>
      </c>
      <c r="G189" s="67"/>
      <c r="H189" s="65"/>
      <c r="I189" s="66" t="str">
        <f>IF(AG189="","",WORKDAY(P189-K189+1,-1,{46329,46349,46384,46385,46386,46387,46388,46391,46398,46429,46441,46468}))</f>
        <v/>
      </c>
      <c r="J189" s="67"/>
      <c r="K189" s="65"/>
      <c r="L189" s="68"/>
      <c r="M189" s="68"/>
      <c r="N189" s="68"/>
      <c r="O189" s="68"/>
      <c r="P189" s="66" t="str">
        <f>IF(AG189="","",WORKDAY(AC189-R189-Q189+1,-1,{46329,46349,46384,46385,46386,46387,46388,46391,46398,46429,46441,46468}))</f>
        <v/>
      </c>
      <c r="Q189" s="69"/>
      <c r="R189" s="69"/>
      <c r="S189" s="68"/>
      <c r="T189" s="68"/>
      <c r="U189" s="68"/>
      <c r="V189" s="68"/>
      <c r="W189" s="68"/>
      <c r="X189" s="68"/>
      <c r="Y189" s="68"/>
      <c r="Z189" s="68"/>
      <c r="AA189" s="68"/>
      <c r="AB189" s="67"/>
      <c r="AC189" s="82" t="str">
        <f>IF(AG189="","",WORKDAY(AG189-AF189+1,-1,{46329,46349,46384,46385,46386,46387,46388,46391,46398,46429,46441,46468}))</f>
        <v/>
      </c>
      <c r="AD189" s="68"/>
      <c r="AE189" s="67"/>
      <c r="AF189" s="83"/>
      <c r="AG189" s="72"/>
      <c r="AH189" s="71"/>
      <c r="AI189" s="70"/>
      <c r="AJ189" s="68"/>
      <c r="AK189" s="68"/>
      <c r="AL189" s="67"/>
      <c r="AM189" s="72"/>
      <c r="AN189" s="73"/>
      <c r="AO189" s="26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</row>
    <row r="190" spans="1:64" ht="25.5" customHeight="1">
      <c r="A190" s="10" cm="1">
        <f t="array" ref="A190">A189+1</f>
        <v>179</v>
      </c>
      <c r="B190" s="9"/>
      <c r="C190" s="19"/>
      <c r="D190" s="72"/>
      <c r="E190" s="71"/>
      <c r="F190" s="82" t="str">
        <f>IF(AG190="","",WORKDAY(I190-H190+1,-1,{46329,46349,46384,46385,46386,46387,46388,46391,46398,46429,46441,46468}))</f>
        <v/>
      </c>
      <c r="G190" s="67"/>
      <c r="H190" s="65"/>
      <c r="I190" s="66" t="str">
        <f>IF(AG190="","",WORKDAY(P190-K190+1,-1,{46329,46349,46384,46385,46386,46387,46388,46391,46398,46429,46441,46468}))</f>
        <v/>
      </c>
      <c r="J190" s="67"/>
      <c r="K190" s="65"/>
      <c r="L190" s="68"/>
      <c r="M190" s="68"/>
      <c r="N190" s="68"/>
      <c r="O190" s="68"/>
      <c r="P190" s="66" t="str">
        <f>IF(AG190="","",WORKDAY(AC190-R190-Q190+1,-1,{46329,46349,46384,46385,46386,46387,46388,46391,46398,46429,46441,46468}))</f>
        <v/>
      </c>
      <c r="Q190" s="69"/>
      <c r="R190" s="69"/>
      <c r="S190" s="68"/>
      <c r="T190" s="68"/>
      <c r="U190" s="68"/>
      <c r="V190" s="68"/>
      <c r="W190" s="68"/>
      <c r="X190" s="68"/>
      <c r="Y190" s="68"/>
      <c r="Z190" s="68"/>
      <c r="AA190" s="68"/>
      <c r="AB190" s="67"/>
      <c r="AC190" s="82" t="str">
        <f>IF(AG190="","",WORKDAY(AG190-AF190+1,-1,{46329,46349,46384,46385,46386,46387,46388,46391,46398,46429,46441,46468}))</f>
        <v/>
      </c>
      <c r="AD190" s="68"/>
      <c r="AE190" s="67"/>
      <c r="AF190" s="83"/>
      <c r="AG190" s="72"/>
      <c r="AH190" s="71"/>
      <c r="AI190" s="70"/>
      <c r="AJ190" s="68"/>
      <c r="AK190" s="68"/>
      <c r="AL190" s="67"/>
      <c r="AM190" s="72"/>
      <c r="AN190" s="73"/>
      <c r="AO190" s="26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</row>
    <row r="191" spans="1:64" ht="25.5" customHeight="1">
      <c r="A191" s="10" cm="1">
        <f t="array" ref="A191">A190+1</f>
        <v>180</v>
      </c>
      <c r="B191" s="9"/>
      <c r="C191" s="19"/>
      <c r="D191" s="72"/>
      <c r="E191" s="71"/>
      <c r="F191" s="82" t="str">
        <f>IF(AG191="","",WORKDAY(I191-H191+1,-1,{46329,46349,46384,46385,46386,46387,46388,46391,46398,46429,46441,46468}))</f>
        <v/>
      </c>
      <c r="G191" s="67"/>
      <c r="H191" s="65"/>
      <c r="I191" s="66" t="str">
        <f>IF(AG191="","",WORKDAY(P191-K191+1,-1,{46329,46349,46384,46385,46386,46387,46388,46391,46398,46429,46441,46468}))</f>
        <v/>
      </c>
      <c r="J191" s="67"/>
      <c r="K191" s="65"/>
      <c r="L191" s="68"/>
      <c r="M191" s="68"/>
      <c r="N191" s="68"/>
      <c r="O191" s="68"/>
      <c r="P191" s="66" t="str">
        <f>IF(AG191="","",WORKDAY(AC191-R191-Q191+1,-1,{46329,46349,46384,46385,46386,46387,46388,46391,46398,46429,46441,46468}))</f>
        <v/>
      </c>
      <c r="Q191" s="69"/>
      <c r="R191" s="69"/>
      <c r="S191" s="68"/>
      <c r="T191" s="68"/>
      <c r="U191" s="68"/>
      <c r="V191" s="68"/>
      <c r="W191" s="68"/>
      <c r="X191" s="68"/>
      <c r="Y191" s="68"/>
      <c r="Z191" s="68"/>
      <c r="AA191" s="68"/>
      <c r="AB191" s="67"/>
      <c r="AC191" s="82" t="str">
        <f>IF(AG191="","",WORKDAY(AG191-AF191+1,-1,{46329,46349,46384,46385,46386,46387,46388,46391,46398,46429,46441,46468}))</f>
        <v/>
      </c>
      <c r="AD191" s="68"/>
      <c r="AE191" s="67"/>
      <c r="AF191" s="83"/>
      <c r="AG191" s="72"/>
      <c r="AH191" s="71"/>
      <c r="AI191" s="70"/>
      <c r="AJ191" s="68"/>
      <c r="AK191" s="68"/>
      <c r="AL191" s="67"/>
      <c r="AM191" s="72"/>
      <c r="AN191" s="73"/>
      <c r="AO191" s="26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</row>
    <row r="192" spans="1:64" ht="25.5" customHeight="1">
      <c r="A192" s="10" cm="1">
        <f t="array" ref="A192">A191+1</f>
        <v>181</v>
      </c>
      <c r="B192" s="9"/>
      <c r="C192" s="19"/>
      <c r="D192" s="72"/>
      <c r="E192" s="71"/>
      <c r="F192" s="82" t="str">
        <f>IF(AG192="","",WORKDAY(I192-H192+1,-1,{46329,46349,46384,46385,46386,46387,46388,46391,46398,46429,46441,46468}))</f>
        <v/>
      </c>
      <c r="G192" s="67"/>
      <c r="H192" s="65"/>
      <c r="I192" s="66" t="str">
        <f>IF(AG192="","",WORKDAY(P192-K192+1,-1,{46329,46349,46384,46385,46386,46387,46388,46391,46398,46429,46441,46468}))</f>
        <v/>
      </c>
      <c r="J192" s="67"/>
      <c r="K192" s="65"/>
      <c r="L192" s="68"/>
      <c r="M192" s="68"/>
      <c r="N192" s="68"/>
      <c r="O192" s="68"/>
      <c r="P192" s="66" t="str">
        <f>IF(AG192="","",WORKDAY(AC192-R192-Q192+1,-1,{46329,46349,46384,46385,46386,46387,46388,46391,46398,46429,46441,46468}))</f>
        <v/>
      </c>
      <c r="Q192" s="69"/>
      <c r="R192" s="69"/>
      <c r="S192" s="68"/>
      <c r="T192" s="68"/>
      <c r="U192" s="68"/>
      <c r="V192" s="68"/>
      <c r="W192" s="68"/>
      <c r="X192" s="68"/>
      <c r="Y192" s="68"/>
      <c r="Z192" s="68"/>
      <c r="AA192" s="68"/>
      <c r="AB192" s="67"/>
      <c r="AC192" s="82" t="str">
        <f>IF(AG192="","",WORKDAY(AG192-AF192+1,-1,{46329,46349,46384,46385,46386,46387,46388,46391,46398,46429,46441,46468}))</f>
        <v/>
      </c>
      <c r="AD192" s="68"/>
      <c r="AE192" s="67"/>
      <c r="AF192" s="83"/>
      <c r="AG192" s="72"/>
      <c r="AH192" s="71"/>
      <c r="AI192" s="70"/>
      <c r="AJ192" s="68"/>
      <c r="AK192" s="68"/>
      <c r="AL192" s="67"/>
      <c r="AM192" s="72"/>
      <c r="AN192" s="73"/>
      <c r="AO192" s="26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</row>
    <row r="193" spans="1:64" ht="25.5" customHeight="1">
      <c r="A193" s="10" cm="1">
        <f t="array" ref="A193">A192+1</f>
        <v>182</v>
      </c>
      <c r="B193" s="9"/>
      <c r="C193" s="19"/>
      <c r="D193" s="72"/>
      <c r="E193" s="71"/>
      <c r="F193" s="82" t="str">
        <f>IF(AG193="","",WORKDAY(I193-H193+1,-1,{46329,46349,46384,46385,46386,46387,46388,46391,46398,46429,46441,46468}))</f>
        <v/>
      </c>
      <c r="G193" s="67"/>
      <c r="H193" s="65"/>
      <c r="I193" s="66" t="str">
        <f>IF(AG193="","",WORKDAY(P193-K193+1,-1,{46329,46349,46384,46385,46386,46387,46388,46391,46398,46429,46441,46468}))</f>
        <v/>
      </c>
      <c r="J193" s="67"/>
      <c r="K193" s="65"/>
      <c r="L193" s="68"/>
      <c r="M193" s="68"/>
      <c r="N193" s="68"/>
      <c r="O193" s="68"/>
      <c r="P193" s="66" t="str">
        <f>IF(AG193="","",WORKDAY(AC193-R193-Q193+1,-1,{46329,46349,46384,46385,46386,46387,46388,46391,46398,46429,46441,46468}))</f>
        <v/>
      </c>
      <c r="Q193" s="69"/>
      <c r="R193" s="69"/>
      <c r="S193" s="68"/>
      <c r="T193" s="68"/>
      <c r="U193" s="68"/>
      <c r="V193" s="68"/>
      <c r="W193" s="68"/>
      <c r="X193" s="68"/>
      <c r="Y193" s="68"/>
      <c r="Z193" s="68"/>
      <c r="AA193" s="68"/>
      <c r="AB193" s="67"/>
      <c r="AC193" s="82" t="str">
        <f>IF(AG193="","",WORKDAY(AG193-AF193+1,-1,{46329,46349,46384,46385,46386,46387,46388,46391,46398,46429,46441,46468}))</f>
        <v/>
      </c>
      <c r="AD193" s="68"/>
      <c r="AE193" s="67"/>
      <c r="AF193" s="83"/>
      <c r="AG193" s="72"/>
      <c r="AH193" s="71"/>
      <c r="AI193" s="70"/>
      <c r="AJ193" s="68"/>
      <c r="AK193" s="68"/>
      <c r="AL193" s="67"/>
      <c r="AM193" s="72"/>
      <c r="AN193" s="73"/>
      <c r="AO193" s="26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</row>
    <row r="194" spans="1:64" ht="25.5" customHeight="1">
      <c r="A194" s="10" cm="1">
        <f t="array" ref="A194">A193+1</f>
        <v>183</v>
      </c>
      <c r="B194" s="9"/>
      <c r="C194" s="19"/>
      <c r="D194" s="72"/>
      <c r="E194" s="71"/>
      <c r="F194" s="82" t="str">
        <f>IF(AG194="","",WORKDAY(I194-H194+1,-1,{46329,46349,46384,46385,46386,46387,46388,46391,46398,46429,46441,46468}))</f>
        <v/>
      </c>
      <c r="G194" s="67"/>
      <c r="H194" s="65"/>
      <c r="I194" s="66" t="str">
        <f>IF(AG194="","",WORKDAY(P194-K194+1,-1,{46329,46349,46384,46385,46386,46387,46388,46391,46398,46429,46441,46468}))</f>
        <v/>
      </c>
      <c r="J194" s="67"/>
      <c r="K194" s="65"/>
      <c r="L194" s="68"/>
      <c r="M194" s="68"/>
      <c r="N194" s="68"/>
      <c r="O194" s="68"/>
      <c r="P194" s="66" t="str">
        <f>IF(AG194="","",WORKDAY(AC194-R194-Q194+1,-1,{46329,46349,46384,46385,46386,46387,46388,46391,46398,46429,46441,46468}))</f>
        <v/>
      </c>
      <c r="Q194" s="69"/>
      <c r="R194" s="69"/>
      <c r="S194" s="68"/>
      <c r="T194" s="68"/>
      <c r="U194" s="68"/>
      <c r="V194" s="68"/>
      <c r="W194" s="68"/>
      <c r="X194" s="68"/>
      <c r="Y194" s="68"/>
      <c r="Z194" s="68"/>
      <c r="AA194" s="68"/>
      <c r="AB194" s="67"/>
      <c r="AC194" s="82" t="str">
        <f>IF(AG194="","",WORKDAY(AG194-AF194+1,-1,{46329,46349,46384,46385,46386,46387,46388,46391,46398,46429,46441,46468}))</f>
        <v/>
      </c>
      <c r="AD194" s="68"/>
      <c r="AE194" s="67"/>
      <c r="AF194" s="83"/>
      <c r="AG194" s="72"/>
      <c r="AH194" s="71"/>
      <c r="AI194" s="70"/>
      <c r="AJ194" s="68"/>
      <c r="AK194" s="68"/>
      <c r="AL194" s="67"/>
      <c r="AM194" s="72"/>
      <c r="AN194" s="73"/>
      <c r="AO194" s="26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</row>
    <row r="195" spans="1:64" ht="25.5" customHeight="1">
      <c r="A195" s="10" cm="1">
        <f t="array" ref="A195">A194+1</f>
        <v>184</v>
      </c>
      <c r="B195" s="9"/>
      <c r="C195" s="19"/>
      <c r="D195" s="72"/>
      <c r="E195" s="71"/>
      <c r="F195" s="82" t="str">
        <f>IF(AG195="","",WORKDAY(I195-H195+1,-1,{46329,46349,46384,46385,46386,46387,46388,46391,46398,46429,46441,46468}))</f>
        <v/>
      </c>
      <c r="G195" s="67"/>
      <c r="H195" s="65"/>
      <c r="I195" s="66" t="str">
        <f>IF(AG195="","",WORKDAY(P195-K195+1,-1,{46329,46349,46384,46385,46386,46387,46388,46391,46398,46429,46441,46468}))</f>
        <v/>
      </c>
      <c r="J195" s="67"/>
      <c r="K195" s="65"/>
      <c r="L195" s="68"/>
      <c r="M195" s="68"/>
      <c r="N195" s="68"/>
      <c r="O195" s="68"/>
      <c r="P195" s="66" t="str">
        <f>IF(AG195="","",WORKDAY(AC195-R195-Q195+1,-1,{46329,46349,46384,46385,46386,46387,46388,46391,46398,46429,46441,46468}))</f>
        <v/>
      </c>
      <c r="Q195" s="69"/>
      <c r="R195" s="69"/>
      <c r="S195" s="68"/>
      <c r="T195" s="68"/>
      <c r="U195" s="68"/>
      <c r="V195" s="68"/>
      <c r="W195" s="68"/>
      <c r="X195" s="68"/>
      <c r="Y195" s="68"/>
      <c r="Z195" s="68"/>
      <c r="AA195" s="68"/>
      <c r="AB195" s="67"/>
      <c r="AC195" s="82" t="str">
        <f>IF(AG195="","",WORKDAY(AG195-AF195+1,-1,{46329,46349,46384,46385,46386,46387,46388,46391,46398,46429,46441,46468}))</f>
        <v/>
      </c>
      <c r="AD195" s="68"/>
      <c r="AE195" s="67"/>
      <c r="AF195" s="83"/>
      <c r="AG195" s="72"/>
      <c r="AH195" s="71"/>
      <c r="AI195" s="70"/>
      <c r="AJ195" s="68"/>
      <c r="AK195" s="68"/>
      <c r="AL195" s="67"/>
      <c r="AM195" s="72"/>
      <c r="AN195" s="73"/>
      <c r="AO195" s="26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</row>
    <row r="196" spans="1:64" ht="25.5" customHeight="1">
      <c r="A196" s="10" cm="1">
        <f t="array" ref="A196">A195+1</f>
        <v>185</v>
      </c>
      <c r="B196" s="9"/>
      <c r="C196" s="19"/>
      <c r="D196" s="72"/>
      <c r="E196" s="71"/>
      <c r="F196" s="82" t="str">
        <f>IF(AG196="","",WORKDAY(I196-H196+1,-1,{46329,46349,46384,46385,46386,46387,46388,46391,46398,46429,46441,46468}))</f>
        <v/>
      </c>
      <c r="G196" s="67"/>
      <c r="H196" s="65"/>
      <c r="I196" s="66" t="str">
        <f>IF(AG196="","",WORKDAY(P196-K196+1,-1,{46329,46349,46384,46385,46386,46387,46388,46391,46398,46429,46441,46468}))</f>
        <v/>
      </c>
      <c r="J196" s="67"/>
      <c r="K196" s="65"/>
      <c r="L196" s="68"/>
      <c r="M196" s="68"/>
      <c r="N196" s="68"/>
      <c r="O196" s="68"/>
      <c r="P196" s="66" t="str">
        <f>IF(AG196="","",WORKDAY(AC196-R196-Q196+1,-1,{46329,46349,46384,46385,46386,46387,46388,46391,46398,46429,46441,46468}))</f>
        <v/>
      </c>
      <c r="Q196" s="69"/>
      <c r="R196" s="69"/>
      <c r="S196" s="68"/>
      <c r="T196" s="68"/>
      <c r="U196" s="68"/>
      <c r="V196" s="68"/>
      <c r="W196" s="68"/>
      <c r="X196" s="68"/>
      <c r="Y196" s="68"/>
      <c r="Z196" s="68"/>
      <c r="AA196" s="68"/>
      <c r="AB196" s="67"/>
      <c r="AC196" s="82" t="str">
        <f>IF(AG196="","",WORKDAY(AG196-AF196+1,-1,{46329,46349,46384,46385,46386,46387,46388,46391,46398,46429,46441,46468}))</f>
        <v/>
      </c>
      <c r="AD196" s="68"/>
      <c r="AE196" s="67"/>
      <c r="AF196" s="83"/>
      <c r="AG196" s="72"/>
      <c r="AH196" s="71"/>
      <c r="AI196" s="70"/>
      <c r="AJ196" s="68"/>
      <c r="AK196" s="68"/>
      <c r="AL196" s="67"/>
      <c r="AM196" s="72"/>
      <c r="AN196" s="73"/>
      <c r="AO196" s="26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</row>
    <row r="197" spans="1:64" ht="25.5" customHeight="1">
      <c r="A197" s="10" cm="1">
        <f t="array" ref="A197">A196+1</f>
        <v>186</v>
      </c>
      <c r="B197" s="9"/>
      <c r="C197" s="19"/>
      <c r="D197" s="72"/>
      <c r="E197" s="71"/>
      <c r="F197" s="82" t="str">
        <f>IF(AG197="","",WORKDAY(I197-H197+1,-1,{46329,46349,46384,46385,46386,46387,46388,46391,46398,46429,46441,46468}))</f>
        <v/>
      </c>
      <c r="G197" s="67"/>
      <c r="H197" s="65"/>
      <c r="I197" s="66" t="str">
        <f>IF(AG197="","",WORKDAY(P197-K197+1,-1,{46329,46349,46384,46385,46386,46387,46388,46391,46398,46429,46441,46468}))</f>
        <v/>
      </c>
      <c r="J197" s="67"/>
      <c r="K197" s="65"/>
      <c r="L197" s="68"/>
      <c r="M197" s="68"/>
      <c r="N197" s="68"/>
      <c r="O197" s="68"/>
      <c r="P197" s="66" t="str">
        <f>IF(AG197="","",WORKDAY(AC197-R197-Q197+1,-1,{46329,46349,46384,46385,46386,46387,46388,46391,46398,46429,46441,46468}))</f>
        <v/>
      </c>
      <c r="Q197" s="69"/>
      <c r="R197" s="69"/>
      <c r="S197" s="68"/>
      <c r="T197" s="68"/>
      <c r="U197" s="68"/>
      <c r="V197" s="68"/>
      <c r="W197" s="68"/>
      <c r="X197" s="68"/>
      <c r="Y197" s="68"/>
      <c r="Z197" s="68"/>
      <c r="AA197" s="68"/>
      <c r="AB197" s="67"/>
      <c r="AC197" s="82" t="str">
        <f>IF(AG197="","",WORKDAY(AG197-AF197+1,-1,{46329,46349,46384,46385,46386,46387,46388,46391,46398,46429,46441,46468}))</f>
        <v/>
      </c>
      <c r="AD197" s="68"/>
      <c r="AE197" s="67"/>
      <c r="AF197" s="83"/>
      <c r="AG197" s="72"/>
      <c r="AH197" s="71"/>
      <c r="AI197" s="70"/>
      <c r="AJ197" s="68"/>
      <c r="AK197" s="68"/>
      <c r="AL197" s="67"/>
      <c r="AM197" s="72"/>
      <c r="AN197" s="73"/>
      <c r="AO197" s="26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</row>
    <row r="198" spans="1:64" ht="25.5" customHeight="1">
      <c r="A198" s="10" cm="1">
        <f t="array" ref="A198">A197+1</f>
        <v>187</v>
      </c>
      <c r="B198" s="9"/>
      <c r="C198" s="19"/>
      <c r="D198" s="72"/>
      <c r="E198" s="71"/>
      <c r="F198" s="82" t="str">
        <f>IF(AG198="","",WORKDAY(I198-H198+1,-1,{46329,46349,46384,46385,46386,46387,46388,46391,46398,46429,46441,46468}))</f>
        <v/>
      </c>
      <c r="G198" s="67"/>
      <c r="H198" s="65"/>
      <c r="I198" s="66" t="str">
        <f>IF(AG198="","",WORKDAY(P198-K198+1,-1,{46329,46349,46384,46385,46386,46387,46388,46391,46398,46429,46441,46468}))</f>
        <v/>
      </c>
      <c r="J198" s="67"/>
      <c r="K198" s="65"/>
      <c r="L198" s="68"/>
      <c r="M198" s="68"/>
      <c r="N198" s="68"/>
      <c r="O198" s="68"/>
      <c r="P198" s="66" t="str">
        <f>IF(AG198="","",WORKDAY(AC198-R198-Q198+1,-1,{46329,46349,46384,46385,46386,46387,46388,46391,46398,46429,46441,46468}))</f>
        <v/>
      </c>
      <c r="Q198" s="69"/>
      <c r="R198" s="69"/>
      <c r="S198" s="68"/>
      <c r="T198" s="68"/>
      <c r="U198" s="68"/>
      <c r="V198" s="68"/>
      <c r="W198" s="68"/>
      <c r="X198" s="68"/>
      <c r="Y198" s="68"/>
      <c r="Z198" s="68"/>
      <c r="AA198" s="68"/>
      <c r="AB198" s="67"/>
      <c r="AC198" s="82" t="str">
        <f>IF(AG198="","",WORKDAY(AG198-AF198+1,-1,{46329,46349,46384,46385,46386,46387,46388,46391,46398,46429,46441,46468}))</f>
        <v/>
      </c>
      <c r="AD198" s="68"/>
      <c r="AE198" s="67"/>
      <c r="AF198" s="83"/>
      <c r="AG198" s="72"/>
      <c r="AH198" s="71"/>
      <c r="AI198" s="70"/>
      <c r="AJ198" s="68"/>
      <c r="AK198" s="68"/>
      <c r="AL198" s="67"/>
      <c r="AM198" s="72"/>
      <c r="AN198" s="73"/>
      <c r="AO198" s="26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</row>
    <row r="199" spans="1:64" ht="25.5" customHeight="1">
      <c r="A199" s="10" cm="1">
        <f t="array" ref="A199">A198+1</f>
        <v>188</v>
      </c>
      <c r="B199" s="9"/>
      <c r="C199" s="19"/>
      <c r="D199" s="72"/>
      <c r="E199" s="71"/>
      <c r="F199" s="82" t="str">
        <f>IF(AG199="","",WORKDAY(I199-H199+1,-1,{46329,46349,46384,46385,46386,46387,46388,46391,46398,46429,46441,46468}))</f>
        <v/>
      </c>
      <c r="G199" s="67"/>
      <c r="H199" s="65"/>
      <c r="I199" s="66" t="str">
        <f>IF(AG199="","",WORKDAY(P199-K199+1,-1,{46329,46349,46384,46385,46386,46387,46388,46391,46398,46429,46441,46468}))</f>
        <v/>
      </c>
      <c r="J199" s="67"/>
      <c r="K199" s="65"/>
      <c r="L199" s="68"/>
      <c r="M199" s="68"/>
      <c r="N199" s="68"/>
      <c r="O199" s="68"/>
      <c r="P199" s="66" t="str">
        <f>IF(AG199="","",WORKDAY(AC199-R199-Q199+1,-1,{46329,46349,46384,46385,46386,46387,46388,46391,46398,46429,46441,46468}))</f>
        <v/>
      </c>
      <c r="Q199" s="69"/>
      <c r="R199" s="69"/>
      <c r="S199" s="68"/>
      <c r="T199" s="68"/>
      <c r="U199" s="68"/>
      <c r="V199" s="68"/>
      <c r="W199" s="68"/>
      <c r="X199" s="68"/>
      <c r="Y199" s="68"/>
      <c r="Z199" s="68"/>
      <c r="AA199" s="68"/>
      <c r="AB199" s="67"/>
      <c r="AC199" s="82" t="str">
        <f>IF(AG199="","",WORKDAY(AG199-AF199+1,-1,{46329,46349,46384,46385,46386,46387,46388,46391,46398,46429,46441,46468}))</f>
        <v/>
      </c>
      <c r="AD199" s="68"/>
      <c r="AE199" s="67"/>
      <c r="AF199" s="83"/>
      <c r="AG199" s="72"/>
      <c r="AH199" s="71"/>
      <c r="AI199" s="70"/>
      <c r="AJ199" s="68"/>
      <c r="AK199" s="68"/>
      <c r="AL199" s="67"/>
      <c r="AM199" s="72"/>
      <c r="AN199" s="73"/>
      <c r="AO199" s="26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</row>
    <row r="200" spans="1:64" ht="25.5" customHeight="1">
      <c r="A200" s="10" cm="1">
        <f t="array" ref="A200">A199+1</f>
        <v>189</v>
      </c>
      <c r="B200" s="9"/>
      <c r="C200" s="19"/>
      <c r="D200" s="72"/>
      <c r="E200" s="71"/>
      <c r="F200" s="82" t="str">
        <f>IF(AG200="","",WORKDAY(I200-H200+1,-1,{46329,46349,46384,46385,46386,46387,46388,46391,46398,46429,46441,46468}))</f>
        <v/>
      </c>
      <c r="G200" s="67"/>
      <c r="H200" s="65"/>
      <c r="I200" s="66" t="str">
        <f>IF(AG200="","",WORKDAY(P200-K200+1,-1,{46329,46349,46384,46385,46386,46387,46388,46391,46398,46429,46441,46468}))</f>
        <v/>
      </c>
      <c r="J200" s="67"/>
      <c r="K200" s="65"/>
      <c r="L200" s="68"/>
      <c r="M200" s="68"/>
      <c r="N200" s="68"/>
      <c r="O200" s="68"/>
      <c r="P200" s="66" t="str">
        <f>IF(AG200="","",WORKDAY(AC200-R200-Q200+1,-1,{46329,46349,46384,46385,46386,46387,46388,46391,46398,46429,46441,46468}))</f>
        <v/>
      </c>
      <c r="Q200" s="69"/>
      <c r="R200" s="69"/>
      <c r="S200" s="68"/>
      <c r="T200" s="68"/>
      <c r="U200" s="68"/>
      <c r="V200" s="68"/>
      <c r="W200" s="68"/>
      <c r="X200" s="68"/>
      <c r="Y200" s="68"/>
      <c r="Z200" s="68"/>
      <c r="AA200" s="68"/>
      <c r="AB200" s="67"/>
      <c r="AC200" s="82" t="str">
        <f>IF(AG200="","",WORKDAY(AG200-AF200+1,-1,{46329,46349,46384,46385,46386,46387,46388,46391,46398,46429,46441,46468}))</f>
        <v/>
      </c>
      <c r="AD200" s="68"/>
      <c r="AE200" s="67"/>
      <c r="AF200" s="83"/>
      <c r="AG200" s="72"/>
      <c r="AH200" s="71"/>
      <c r="AI200" s="70"/>
      <c r="AJ200" s="68"/>
      <c r="AK200" s="68"/>
      <c r="AL200" s="67"/>
      <c r="AM200" s="72"/>
      <c r="AN200" s="73"/>
      <c r="AO200" s="26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</row>
    <row r="201" spans="1:64" ht="25.5" customHeight="1">
      <c r="A201" s="10" cm="1">
        <f t="array" ref="A201">A200+1</f>
        <v>190</v>
      </c>
      <c r="B201" s="9"/>
      <c r="C201" s="19"/>
      <c r="D201" s="72"/>
      <c r="E201" s="71"/>
      <c r="F201" s="82" t="str">
        <f>IF(AG201="","",WORKDAY(I201-H201+1,-1,{46329,46349,46384,46385,46386,46387,46388,46391,46398,46429,46441,46468}))</f>
        <v/>
      </c>
      <c r="G201" s="67"/>
      <c r="H201" s="65"/>
      <c r="I201" s="66" t="str">
        <f>IF(AG201="","",WORKDAY(P201-K201+1,-1,{46329,46349,46384,46385,46386,46387,46388,46391,46398,46429,46441,46468}))</f>
        <v/>
      </c>
      <c r="J201" s="67"/>
      <c r="K201" s="65"/>
      <c r="L201" s="68"/>
      <c r="M201" s="68"/>
      <c r="N201" s="68"/>
      <c r="O201" s="68"/>
      <c r="P201" s="66" t="str">
        <f>IF(AG201="","",WORKDAY(AC201-R201-Q201+1,-1,{46329,46349,46384,46385,46386,46387,46388,46391,46398,46429,46441,46468}))</f>
        <v/>
      </c>
      <c r="Q201" s="69"/>
      <c r="R201" s="69"/>
      <c r="S201" s="68"/>
      <c r="T201" s="68"/>
      <c r="U201" s="68"/>
      <c r="V201" s="68"/>
      <c r="W201" s="68"/>
      <c r="X201" s="68"/>
      <c r="Y201" s="68"/>
      <c r="Z201" s="68"/>
      <c r="AA201" s="68"/>
      <c r="AB201" s="67"/>
      <c r="AC201" s="82" t="str">
        <f>IF(AG201="","",WORKDAY(AG201-AF201+1,-1,{46329,46349,46384,46385,46386,46387,46388,46391,46398,46429,46441,46468}))</f>
        <v/>
      </c>
      <c r="AD201" s="68"/>
      <c r="AE201" s="67"/>
      <c r="AF201" s="83"/>
      <c r="AG201" s="72"/>
      <c r="AH201" s="71"/>
      <c r="AI201" s="70"/>
      <c r="AJ201" s="68"/>
      <c r="AK201" s="68"/>
      <c r="AL201" s="67"/>
      <c r="AM201" s="72"/>
      <c r="AN201" s="73"/>
      <c r="AO201" s="26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</row>
    <row r="202" spans="1:64" ht="25.5" customHeight="1">
      <c r="A202" s="10" cm="1">
        <f t="array" ref="A202">A201+1</f>
        <v>191</v>
      </c>
      <c r="B202" s="9"/>
      <c r="C202" s="19"/>
      <c r="D202" s="72"/>
      <c r="E202" s="71"/>
      <c r="F202" s="82" t="str">
        <f>IF(AG202="","",WORKDAY(I202-H202+1,-1,{46329,46349,46384,46385,46386,46387,46388,46391,46398,46429,46441,46468}))</f>
        <v/>
      </c>
      <c r="G202" s="67"/>
      <c r="H202" s="65"/>
      <c r="I202" s="66" t="str">
        <f>IF(AG202="","",WORKDAY(P202-K202+1,-1,{46329,46349,46384,46385,46386,46387,46388,46391,46398,46429,46441,46468}))</f>
        <v/>
      </c>
      <c r="J202" s="67"/>
      <c r="K202" s="65"/>
      <c r="L202" s="68"/>
      <c r="M202" s="68"/>
      <c r="N202" s="68"/>
      <c r="O202" s="68"/>
      <c r="P202" s="66" t="str">
        <f>IF(AG202="","",WORKDAY(AC202-R202-Q202+1,-1,{46329,46349,46384,46385,46386,46387,46388,46391,46398,46429,46441,46468}))</f>
        <v/>
      </c>
      <c r="Q202" s="69"/>
      <c r="R202" s="69"/>
      <c r="S202" s="68"/>
      <c r="T202" s="68"/>
      <c r="U202" s="68"/>
      <c r="V202" s="68"/>
      <c r="W202" s="68"/>
      <c r="X202" s="68"/>
      <c r="Y202" s="68"/>
      <c r="Z202" s="68"/>
      <c r="AA202" s="68"/>
      <c r="AB202" s="67"/>
      <c r="AC202" s="82" t="str">
        <f>IF(AG202="","",WORKDAY(AG202-AF202+1,-1,{46329,46349,46384,46385,46386,46387,46388,46391,46398,46429,46441,46468}))</f>
        <v/>
      </c>
      <c r="AD202" s="68"/>
      <c r="AE202" s="67"/>
      <c r="AF202" s="83"/>
      <c r="AG202" s="72"/>
      <c r="AH202" s="71"/>
      <c r="AI202" s="70"/>
      <c r="AJ202" s="68"/>
      <c r="AK202" s="68"/>
      <c r="AL202" s="67"/>
      <c r="AM202" s="72"/>
      <c r="AN202" s="73"/>
      <c r="AO202" s="26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</row>
    <row r="203" spans="1:64" ht="25.5" customHeight="1">
      <c r="A203" s="10" cm="1">
        <f t="array" ref="A203">A202+1</f>
        <v>192</v>
      </c>
      <c r="B203" s="9"/>
      <c r="C203" s="19"/>
      <c r="D203" s="72"/>
      <c r="E203" s="71"/>
      <c r="F203" s="82" t="str">
        <f>IF(AG203="","",WORKDAY(I203-H203+1,-1,{46329,46349,46384,46385,46386,46387,46388,46391,46398,46429,46441,46468}))</f>
        <v/>
      </c>
      <c r="G203" s="67"/>
      <c r="H203" s="65"/>
      <c r="I203" s="66" t="str">
        <f>IF(AG203="","",WORKDAY(P203-K203+1,-1,{46329,46349,46384,46385,46386,46387,46388,46391,46398,46429,46441,46468}))</f>
        <v/>
      </c>
      <c r="J203" s="67"/>
      <c r="K203" s="65"/>
      <c r="L203" s="68"/>
      <c r="M203" s="68"/>
      <c r="N203" s="68"/>
      <c r="O203" s="68"/>
      <c r="P203" s="66" t="str">
        <f>IF(AG203="","",WORKDAY(AC203-R203-Q203+1,-1,{46329,46349,46384,46385,46386,46387,46388,46391,46398,46429,46441,46468}))</f>
        <v/>
      </c>
      <c r="Q203" s="69"/>
      <c r="R203" s="69"/>
      <c r="S203" s="68"/>
      <c r="T203" s="68"/>
      <c r="U203" s="68"/>
      <c r="V203" s="68"/>
      <c r="W203" s="68"/>
      <c r="X203" s="68"/>
      <c r="Y203" s="68"/>
      <c r="Z203" s="68"/>
      <c r="AA203" s="68"/>
      <c r="AB203" s="67"/>
      <c r="AC203" s="82" t="str">
        <f>IF(AG203="","",WORKDAY(AG203-AF203+1,-1,{46329,46349,46384,46385,46386,46387,46388,46391,46398,46429,46441,46468}))</f>
        <v/>
      </c>
      <c r="AD203" s="68"/>
      <c r="AE203" s="67"/>
      <c r="AF203" s="83"/>
      <c r="AG203" s="72"/>
      <c r="AH203" s="71"/>
      <c r="AI203" s="70"/>
      <c r="AJ203" s="68"/>
      <c r="AK203" s="68"/>
      <c r="AL203" s="67"/>
      <c r="AM203" s="72"/>
      <c r="AN203" s="73"/>
      <c r="AO203" s="26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</row>
    <row r="204" spans="1:64" ht="25.5" customHeight="1">
      <c r="A204" s="10" cm="1">
        <f t="array" ref="A204">A203+1</f>
        <v>193</v>
      </c>
      <c r="B204" s="9"/>
      <c r="C204" s="19"/>
      <c r="D204" s="72"/>
      <c r="E204" s="71"/>
      <c r="F204" s="82" t="str">
        <f>IF(AG204="","",WORKDAY(I204-H204+1,-1,{46329,46349,46384,46385,46386,46387,46388,46391,46398,46429,46441,46468}))</f>
        <v/>
      </c>
      <c r="G204" s="67"/>
      <c r="H204" s="65"/>
      <c r="I204" s="66" t="str">
        <f>IF(AG204="","",WORKDAY(P204-K204+1,-1,{46329,46349,46384,46385,46386,46387,46388,46391,46398,46429,46441,46468}))</f>
        <v/>
      </c>
      <c r="J204" s="67"/>
      <c r="K204" s="65"/>
      <c r="L204" s="68"/>
      <c r="M204" s="68"/>
      <c r="N204" s="68"/>
      <c r="O204" s="68"/>
      <c r="P204" s="66" t="str">
        <f>IF(AG204="","",WORKDAY(AC204-R204-Q204+1,-1,{46329,46349,46384,46385,46386,46387,46388,46391,46398,46429,46441,46468}))</f>
        <v/>
      </c>
      <c r="Q204" s="69"/>
      <c r="R204" s="69"/>
      <c r="S204" s="68"/>
      <c r="T204" s="68"/>
      <c r="U204" s="68"/>
      <c r="V204" s="68"/>
      <c r="W204" s="68"/>
      <c r="X204" s="68"/>
      <c r="Y204" s="68"/>
      <c r="Z204" s="68"/>
      <c r="AA204" s="68"/>
      <c r="AB204" s="67"/>
      <c r="AC204" s="82" t="str">
        <f>IF(AG204="","",WORKDAY(AG204-AF204+1,-1,{46329,46349,46384,46385,46386,46387,46388,46391,46398,46429,46441,46468}))</f>
        <v/>
      </c>
      <c r="AD204" s="68"/>
      <c r="AE204" s="67"/>
      <c r="AF204" s="83"/>
      <c r="AG204" s="72"/>
      <c r="AH204" s="71"/>
      <c r="AI204" s="70"/>
      <c r="AJ204" s="68"/>
      <c r="AK204" s="68"/>
      <c r="AL204" s="67"/>
      <c r="AM204" s="72"/>
      <c r="AN204" s="73"/>
      <c r="AO204" s="26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</row>
    <row r="205" spans="1:64" ht="25.5" customHeight="1">
      <c r="A205" s="10" cm="1">
        <f t="array" ref="A205">A204+1</f>
        <v>194</v>
      </c>
      <c r="B205" s="9"/>
      <c r="C205" s="19"/>
      <c r="D205" s="72"/>
      <c r="E205" s="71"/>
      <c r="F205" s="82" t="str">
        <f>IF(AG205="","",WORKDAY(I205-H205+1,-1,{46329,46349,46384,46385,46386,46387,46388,46391,46398,46429,46441,46468}))</f>
        <v/>
      </c>
      <c r="G205" s="67"/>
      <c r="H205" s="65"/>
      <c r="I205" s="66" t="str">
        <f>IF(AG205="","",WORKDAY(P205-K205+1,-1,{46329,46349,46384,46385,46386,46387,46388,46391,46398,46429,46441,46468}))</f>
        <v/>
      </c>
      <c r="J205" s="67"/>
      <c r="K205" s="65"/>
      <c r="L205" s="68"/>
      <c r="M205" s="68"/>
      <c r="N205" s="68"/>
      <c r="O205" s="68"/>
      <c r="P205" s="66" t="str">
        <f>IF(AG205="","",WORKDAY(AC205-R205-Q205+1,-1,{46329,46349,46384,46385,46386,46387,46388,46391,46398,46429,46441,46468}))</f>
        <v/>
      </c>
      <c r="Q205" s="69"/>
      <c r="R205" s="69"/>
      <c r="S205" s="68"/>
      <c r="T205" s="68"/>
      <c r="U205" s="68"/>
      <c r="V205" s="68"/>
      <c r="W205" s="68"/>
      <c r="X205" s="68"/>
      <c r="Y205" s="68"/>
      <c r="Z205" s="68"/>
      <c r="AA205" s="68"/>
      <c r="AB205" s="67"/>
      <c r="AC205" s="82" t="str">
        <f>IF(AG205="","",WORKDAY(AG205-AF205+1,-1,{46329,46349,46384,46385,46386,46387,46388,46391,46398,46429,46441,46468}))</f>
        <v/>
      </c>
      <c r="AD205" s="68"/>
      <c r="AE205" s="67"/>
      <c r="AF205" s="83"/>
      <c r="AG205" s="72"/>
      <c r="AH205" s="71"/>
      <c r="AI205" s="70"/>
      <c r="AJ205" s="68"/>
      <c r="AK205" s="68"/>
      <c r="AL205" s="67"/>
      <c r="AM205" s="72"/>
      <c r="AN205" s="73"/>
      <c r="AO205" s="26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</row>
    <row r="206" spans="1:64" ht="25.5" customHeight="1">
      <c r="A206" s="10" cm="1">
        <f t="array" ref="A206">A205+1</f>
        <v>195</v>
      </c>
      <c r="B206" s="9"/>
      <c r="C206" s="19"/>
      <c r="D206" s="72"/>
      <c r="E206" s="71"/>
      <c r="F206" s="82" t="str">
        <f>IF(AG206="","",WORKDAY(I206-H206+1,-1,{46329,46349,46384,46385,46386,46387,46388,46391,46398,46429,46441,46468}))</f>
        <v/>
      </c>
      <c r="G206" s="67"/>
      <c r="H206" s="65"/>
      <c r="I206" s="66" t="str">
        <f>IF(AG206="","",WORKDAY(P206-K206+1,-1,{46329,46349,46384,46385,46386,46387,46388,46391,46398,46429,46441,46468}))</f>
        <v/>
      </c>
      <c r="J206" s="67"/>
      <c r="K206" s="65"/>
      <c r="L206" s="68"/>
      <c r="M206" s="68"/>
      <c r="N206" s="68"/>
      <c r="O206" s="68"/>
      <c r="P206" s="66" t="str">
        <f>IF(AG206="","",WORKDAY(AC206-R206-Q206+1,-1,{46329,46349,46384,46385,46386,46387,46388,46391,46398,46429,46441,46468}))</f>
        <v/>
      </c>
      <c r="Q206" s="69"/>
      <c r="R206" s="69"/>
      <c r="S206" s="68"/>
      <c r="T206" s="68"/>
      <c r="U206" s="68"/>
      <c r="V206" s="68"/>
      <c r="W206" s="68"/>
      <c r="X206" s="68"/>
      <c r="Y206" s="68"/>
      <c r="Z206" s="68"/>
      <c r="AA206" s="68"/>
      <c r="AB206" s="67"/>
      <c r="AC206" s="82" t="str">
        <f>IF(AG206="","",WORKDAY(AG206-AF206+1,-1,{46329,46349,46384,46385,46386,46387,46388,46391,46398,46429,46441,46468}))</f>
        <v/>
      </c>
      <c r="AD206" s="68"/>
      <c r="AE206" s="67"/>
      <c r="AF206" s="83"/>
      <c r="AG206" s="72"/>
      <c r="AH206" s="71"/>
      <c r="AI206" s="70"/>
      <c r="AJ206" s="68"/>
      <c r="AK206" s="68"/>
      <c r="AL206" s="67"/>
      <c r="AM206" s="72"/>
      <c r="AN206" s="73"/>
      <c r="AO206" s="26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</row>
    <row r="207" spans="1:64" ht="25.5" customHeight="1">
      <c r="A207" s="10" cm="1">
        <f t="array" ref="A207">A206+1</f>
        <v>196</v>
      </c>
      <c r="B207" s="9"/>
      <c r="C207" s="19"/>
      <c r="D207" s="72"/>
      <c r="E207" s="71"/>
      <c r="F207" s="82" t="str">
        <f>IF(AG207="","",WORKDAY(I207-H207+1,-1,{46329,46349,46384,46385,46386,46387,46388,46391,46398,46429,46441,46468}))</f>
        <v/>
      </c>
      <c r="G207" s="67"/>
      <c r="H207" s="65"/>
      <c r="I207" s="66" t="str">
        <f>IF(AG207="","",WORKDAY(P207-K207+1,-1,{46329,46349,46384,46385,46386,46387,46388,46391,46398,46429,46441,46468}))</f>
        <v/>
      </c>
      <c r="J207" s="67"/>
      <c r="K207" s="65"/>
      <c r="L207" s="68"/>
      <c r="M207" s="68"/>
      <c r="N207" s="68"/>
      <c r="O207" s="68"/>
      <c r="P207" s="66" t="str">
        <f>IF(AG207="","",WORKDAY(AC207-R207-Q207+1,-1,{46329,46349,46384,46385,46386,46387,46388,46391,46398,46429,46441,46468}))</f>
        <v/>
      </c>
      <c r="Q207" s="69"/>
      <c r="R207" s="69"/>
      <c r="S207" s="68"/>
      <c r="T207" s="68"/>
      <c r="U207" s="68"/>
      <c r="V207" s="68"/>
      <c r="W207" s="68"/>
      <c r="X207" s="68"/>
      <c r="Y207" s="68"/>
      <c r="Z207" s="68"/>
      <c r="AA207" s="68"/>
      <c r="AB207" s="67"/>
      <c r="AC207" s="82" t="str">
        <f>IF(AG207="","",WORKDAY(AG207-AF207+1,-1,{46329,46349,46384,46385,46386,46387,46388,46391,46398,46429,46441,46468}))</f>
        <v/>
      </c>
      <c r="AD207" s="68"/>
      <c r="AE207" s="67"/>
      <c r="AF207" s="83"/>
      <c r="AG207" s="72"/>
      <c r="AH207" s="71"/>
      <c r="AI207" s="70"/>
      <c r="AJ207" s="68"/>
      <c r="AK207" s="68"/>
      <c r="AL207" s="67"/>
      <c r="AM207" s="72"/>
      <c r="AN207" s="73"/>
      <c r="AO207" s="26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</row>
    <row r="208" spans="1:64" ht="25.5" customHeight="1">
      <c r="A208" s="10" cm="1">
        <f t="array" ref="A208">A207+1</f>
        <v>197</v>
      </c>
      <c r="B208" s="9"/>
      <c r="C208" s="19"/>
      <c r="D208" s="72"/>
      <c r="E208" s="71"/>
      <c r="F208" s="82" t="str">
        <f>IF(AG208="","",WORKDAY(I208-H208+1,-1,{46329,46349,46384,46385,46386,46387,46388,46391,46398,46429,46441,46468}))</f>
        <v/>
      </c>
      <c r="G208" s="67"/>
      <c r="H208" s="65"/>
      <c r="I208" s="66" t="str">
        <f>IF(AG208="","",WORKDAY(P208-K208+1,-1,{46329,46349,46384,46385,46386,46387,46388,46391,46398,46429,46441,46468}))</f>
        <v/>
      </c>
      <c r="J208" s="67"/>
      <c r="K208" s="65"/>
      <c r="L208" s="68"/>
      <c r="M208" s="68"/>
      <c r="N208" s="68"/>
      <c r="O208" s="68"/>
      <c r="P208" s="66" t="str">
        <f>IF(AG208="","",WORKDAY(AC208-R208-Q208+1,-1,{46329,46349,46384,46385,46386,46387,46388,46391,46398,46429,46441,46468}))</f>
        <v/>
      </c>
      <c r="Q208" s="69"/>
      <c r="R208" s="69"/>
      <c r="S208" s="68"/>
      <c r="T208" s="68"/>
      <c r="U208" s="68"/>
      <c r="V208" s="68"/>
      <c r="W208" s="68"/>
      <c r="X208" s="68"/>
      <c r="Y208" s="68"/>
      <c r="Z208" s="68"/>
      <c r="AA208" s="68"/>
      <c r="AB208" s="67"/>
      <c r="AC208" s="82" t="str">
        <f>IF(AG208="","",WORKDAY(AG208-AF208+1,-1,{46329,46349,46384,46385,46386,46387,46388,46391,46398,46429,46441,46468}))</f>
        <v/>
      </c>
      <c r="AD208" s="68"/>
      <c r="AE208" s="67"/>
      <c r="AF208" s="83"/>
      <c r="AG208" s="72"/>
      <c r="AH208" s="71"/>
      <c r="AI208" s="70"/>
      <c r="AJ208" s="68"/>
      <c r="AK208" s="68"/>
      <c r="AL208" s="67"/>
      <c r="AM208" s="72"/>
      <c r="AN208" s="73"/>
      <c r="AO208" s="26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</row>
    <row r="209" spans="1:64" ht="25.5" customHeight="1">
      <c r="A209" s="10" cm="1">
        <f t="array" ref="A209">A208+1</f>
        <v>198</v>
      </c>
      <c r="B209" s="9"/>
      <c r="C209" s="19"/>
      <c r="D209" s="72"/>
      <c r="E209" s="71"/>
      <c r="F209" s="82" t="str">
        <f>IF(AG209="","",WORKDAY(I209-H209+1,-1,{46329,46349,46384,46385,46386,46387,46388,46391,46398,46429,46441,46468}))</f>
        <v/>
      </c>
      <c r="G209" s="67"/>
      <c r="H209" s="65"/>
      <c r="I209" s="66" t="str">
        <f>IF(AG209="","",WORKDAY(P209-K209+1,-1,{46329,46349,46384,46385,46386,46387,46388,46391,46398,46429,46441,46468}))</f>
        <v/>
      </c>
      <c r="J209" s="67"/>
      <c r="K209" s="65"/>
      <c r="L209" s="68"/>
      <c r="M209" s="68"/>
      <c r="N209" s="68"/>
      <c r="O209" s="68"/>
      <c r="P209" s="66" t="str">
        <f>IF(AG209="","",WORKDAY(AC209-R209-Q209+1,-1,{46329,46349,46384,46385,46386,46387,46388,46391,46398,46429,46441,46468}))</f>
        <v/>
      </c>
      <c r="Q209" s="69"/>
      <c r="R209" s="69"/>
      <c r="S209" s="68"/>
      <c r="T209" s="68"/>
      <c r="U209" s="68"/>
      <c r="V209" s="68"/>
      <c r="W209" s="68"/>
      <c r="X209" s="68"/>
      <c r="Y209" s="68"/>
      <c r="Z209" s="68"/>
      <c r="AA209" s="68"/>
      <c r="AB209" s="67"/>
      <c r="AC209" s="82" t="str">
        <f>IF(AG209="","",WORKDAY(AG209-AF209+1,-1,{46329,46349,46384,46385,46386,46387,46388,46391,46398,46429,46441,46468}))</f>
        <v/>
      </c>
      <c r="AD209" s="68"/>
      <c r="AE209" s="67"/>
      <c r="AF209" s="83"/>
      <c r="AG209" s="72"/>
      <c r="AH209" s="71"/>
      <c r="AI209" s="70"/>
      <c r="AJ209" s="68"/>
      <c r="AK209" s="68"/>
      <c r="AL209" s="67"/>
      <c r="AM209" s="72"/>
      <c r="AN209" s="73"/>
      <c r="AO209" s="26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</row>
    <row r="210" spans="1:64" ht="25.5" customHeight="1">
      <c r="A210" s="10" cm="1">
        <f t="array" ref="A210">A209+1</f>
        <v>199</v>
      </c>
      <c r="B210" s="9"/>
      <c r="C210" s="19"/>
      <c r="D210" s="72"/>
      <c r="E210" s="71"/>
      <c r="F210" s="82" t="str">
        <f>IF(AG210="","",WORKDAY(I210-H210+1,-1,{46329,46349,46384,46385,46386,46387,46388,46391,46398,46429,46441,46468}))</f>
        <v/>
      </c>
      <c r="G210" s="67"/>
      <c r="H210" s="65"/>
      <c r="I210" s="66" t="str">
        <f>IF(AG210="","",WORKDAY(P210-K210+1,-1,{46329,46349,46384,46385,46386,46387,46388,46391,46398,46429,46441,46468}))</f>
        <v/>
      </c>
      <c r="J210" s="67"/>
      <c r="K210" s="65"/>
      <c r="L210" s="68"/>
      <c r="M210" s="68"/>
      <c r="N210" s="68"/>
      <c r="O210" s="68"/>
      <c r="P210" s="66" t="str">
        <f>IF(AG210="","",WORKDAY(AC210-R210-Q210+1,-1,{46329,46349,46384,46385,46386,46387,46388,46391,46398,46429,46441,46468}))</f>
        <v/>
      </c>
      <c r="Q210" s="69"/>
      <c r="R210" s="69"/>
      <c r="S210" s="68"/>
      <c r="T210" s="68"/>
      <c r="U210" s="68"/>
      <c r="V210" s="68"/>
      <c r="W210" s="68"/>
      <c r="X210" s="68"/>
      <c r="Y210" s="68"/>
      <c r="Z210" s="68"/>
      <c r="AA210" s="68"/>
      <c r="AB210" s="67"/>
      <c r="AC210" s="82" t="str">
        <f>IF(AG210="","",WORKDAY(AG210-AF210+1,-1,{46329,46349,46384,46385,46386,46387,46388,46391,46398,46429,46441,46468}))</f>
        <v/>
      </c>
      <c r="AD210" s="68"/>
      <c r="AE210" s="67"/>
      <c r="AF210" s="83"/>
      <c r="AG210" s="72"/>
      <c r="AH210" s="71"/>
      <c r="AI210" s="70"/>
      <c r="AJ210" s="68"/>
      <c r="AK210" s="68"/>
      <c r="AL210" s="67"/>
      <c r="AM210" s="72"/>
      <c r="AN210" s="73"/>
      <c r="AO210" s="26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</row>
  </sheetData>
  <sheetProtection password="CC6F" sheet="1" objects="1" scenarios="1"/>
  <mergeCells count="71">
    <mergeCell ref="AP2:BD2"/>
    <mergeCell ref="AA4:AB4"/>
    <mergeCell ref="W5:W9"/>
    <mergeCell ref="X5:X9"/>
    <mergeCell ref="Y5:Y9"/>
    <mergeCell ref="Z5:Z9"/>
    <mergeCell ref="AA5:AA9"/>
    <mergeCell ref="AB5:AB9"/>
    <mergeCell ref="AV5:AV9"/>
    <mergeCell ref="AW5:AW9"/>
    <mergeCell ref="AQ3:AQ9"/>
    <mergeCell ref="AR3:AR9"/>
    <mergeCell ref="AS3:AS9"/>
    <mergeCell ref="AT3:AU4"/>
    <mergeCell ref="AV3:AW4"/>
    <mergeCell ref="AT5:AT9"/>
    <mergeCell ref="U4:V4"/>
    <mergeCell ref="U5:U9"/>
    <mergeCell ref="V5:V9"/>
    <mergeCell ref="W4:X4"/>
    <mergeCell ref="Y4:Z4"/>
    <mergeCell ref="AU5:AU9"/>
    <mergeCell ref="H4:H9"/>
    <mergeCell ref="L5:L9"/>
    <mergeCell ref="M5:M9"/>
    <mergeCell ref="I4:I9"/>
    <mergeCell ref="J4:J9"/>
    <mergeCell ref="AC4:AC9"/>
    <mergeCell ref="AE4:AE9"/>
    <mergeCell ref="AG3:AG6"/>
    <mergeCell ref="AH3:AH6"/>
    <mergeCell ref="AC3:AE3"/>
    <mergeCell ref="N5:N9"/>
    <mergeCell ref="O5:O9"/>
    <mergeCell ref="S5:S9"/>
    <mergeCell ref="T5:T9"/>
    <mergeCell ref="Q4:Q9"/>
    <mergeCell ref="AD4:AD9"/>
    <mergeCell ref="AN3:AN9"/>
    <mergeCell ref="AK4:AL4"/>
    <mergeCell ref="AF3:AF9"/>
    <mergeCell ref="AI3:AL3"/>
    <mergeCell ref="AM3:AM9"/>
    <mergeCell ref="AI5:AI9"/>
    <mergeCell ref="AJ5:AJ9"/>
    <mergeCell ref="AK5:AK9"/>
    <mergeCell ref="AL5:AL9"/>
    <mergeCell ref="AI4:AJ4"/>
    <mergeCell ref="A2:B2"/>
    <mergeCell ref="AI2:AK2"/>
    <mergeCell ref="AL2:AN2"/>
    <mergeCell ref="A1:AH1"/>
    <mergeCell ref="C2:AH2"/>
    <mergeCell ref="AI1:AK1"/>
    <mergeCell ref="AL1:AN1"/>
    <mergeCell ref="A3:B3"/>
    <mergeCell ref="F3:G3"/>
    <mergeCell ref="K3:T3"/>
    <mergeCell ref="K4:K9"/>
    <mergeCell ref="L4:M4"/>
    <mergeCell ref="N4:O4"/>
    <mergeCell ref="P4:P9"/>
    <mergeCell ref="A4:A9"/>
    <mergeCell ref="B4:B9"/>
    <mergeCell ref="D4:D9"/>
    <mergeCell ref="F4:F9"/>
    <mergeCell ref="G4:G9"/>
    <mergeCell ref="E4:E9"/>
    <mergeCell ref="R4:R9"/>
    <mergeCell ref="S4:T4"/>
    <mergeCell ref="H3:J3"/>
  </mergeCells>
  <phoneticPr fontId="17"/>
  <conditionalFormatting sqref="C11:C210">
    <cfRule type="expression" dxfId="81" priority="61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E11:E210">
    <cfRule type="expression" dxfId="80" priority="24">
      <formula>AND(ISNUMBER(E11),YEAR(E11)=$AH$7)</formula>
    </cfRule>
    <cfRule type="expression" dxfId="79" priority="25">
      <formula>AND(ISNUMBER(E11),YEAR(E11)=$AH$8)</formula>
    </cfRule>
    <cfRule type="expression" dxfId="78" priority="26">
      <formula>AND(ISNUMBER(E11),YEAR(E11)=$AH$9)</formula>
    </cfRule>
  </conditionalFormatting>
  <conditionalFormatting sqref="F11:F210">
    <cfRule type="expression" dxfId="77" priority="30">
      <formula>AND(ISNUMBER(F11),F11&lt;=TODAY(),G11="")</formula>
    </cfRule>
    <cfRule type="expression" dxfId="76" priority="31">
      <formula>AND(ISNUMBER(F11),YEAR(F11)=$AH$7)</formula>
    </cfRule>
    <cfRule type="expression" dxfId="75" priority="32">
      <formula>AND(ISNUMBER(F11),YEAR(F11)=$AH$8)</formula>
    </cfRule>
    <cfRule type="expression" dxfId="74" priority="33">
      <formula>AND(ISNUMBER(F11),YEAR(F11)=$AH$9)</formula>
    </cfRule>
    <cfRule type="expression" dxfId="73" priority="27" stopIfTrue="1">
      <formula>AND(AND(ISNUMBER(F11),F11&lt;=TODAY(),G11=""),YEAR(F11)=$AH$7)</formula>
    </cfRule>
    <cfRule type="expression" dxfId="72" priority="28" stopIfTrue="1">
      <formula>AND(AND(ISNUMBER(F11),F11&lt;=TODAY(),G11=""),YEAR(F11)=$AH$8)</formula>
    </cfRule>
    <cfRule type="expression" dxfId="71" priority="29" stopIfTrue="1">
      <formula>AND(AND(ISNUMBER(F11),F11&lt;=TODAY(),G11=""),YEAR(F11)=$AH$9)</formula>
    </cfRule>
  </conditionalFormatting>
  <conditionalFormatting sqref="G11:G210">
    <cfRule type="expression" dxfId="70" priority="13" stopIfTrue="1">
      <formula>AND(G11="",ISNUMBER(F11),F11&gt;TODAY(),F11&lt;=TODAY()+7)</formula>
    </cfRule>
    <cfRule type="expression" dxfId="69" priority="12" stopIfTrue="1">
      <formula>AND(G11="",ISNUMBER(F11),F11&lt;=TODAY())</formula>
    </cfRule>
  </conditionalFormatting>
  <conditionalFormatting sqref="H11:H210 K11:K210 Q11:R210">
    <cfRule type="notContainsBlanks" dxfId="68" priority="3" stopIfTrue="1">
      <formula>NOT(ISBLANK(H11))</formula>
    </cfRule>
    <cfRule type="cellIs" dxfId="67" priority="2" stopIfTrue="1" operator="lessThan">
      <formula>0</formula>
    </cfRule>
  </conditionalFormatting>
  <conditionalFormatting sqref="I11:I210">
    <cfRule type="expression" dxfId="66" priority="40">
      <formula>AND(ISNUMBER(I11),YEAR(I11)=$AH$9)</formula>
    </cfRule>
    <cfRule type="expression" dxfId="65" priority="34" stopIfTrue="1">
      <formula>AND(AND(ISNUMBER(I11),I11&lt;=TODAY(),J11=""),YEAR(I11)=$AH$7)</formula>
    </cfRule>
    <cfRule type="expression" dxfId="64" priority="35" stopIfTrue="1">
      <formula>AND(AND(ISNUMBER(I11),I11&lt;=TODAY(),J11=""),YEAR(I11)=$AH$8)</formula>
    </cfRule>
    <cfRule type="expression" dxfId="63" priority="36" stopIfTrue="1">
      <formula>AND(AND(ISNUMBER(I11),I11&lt;=TODAY(),J11=""),YEAR(I11)=$AH$9)</formula>
    </cfRule>
    <cfRule type="expression" dxfId="62" priority="37">
      <formula>AND(ISNUMBER(I11),I11&lt;=TODAY(),J11="")</formula>
    </cfRule>
    <cfRule type="expression" dxfId="61" priority="38">
      <formula>AND(ISNUMBER(I11),YEAR(I11)=$AH$7)</formula>
    </cfRule>
    <cfRule type="expression" dxfId="60" priority="39">
      <formula>AND(ISNUMBER(I11),YEAR(I11)=$AH$8)</formula>
    </cfRule>
  </conditionalFormatting>
  <conditionalFormatting sqref="J11:J210">
    <cfRule type="expression" dxfId="59" priority="14" stopIfTrue="1">
      <formula>AND(J11="",ISNUMBER(I11),I11&lt;=TODAY())</formula>
    </cfRule>
    <cfRule type="expression" dxfId="58" priority="15" stopIfTrue="1">
      <formula>AND(J11="",ISNUMBER(I11),I11&gt;TODAY(),I11&lt;=TODAY()+7)</formula>
    </cfRule>
  </conditionalFormatting>
  <conditionalFormatting sqref="L11:L210">
    <cfRule type="expression" dxfId="57" priority="16" stopIfTrue="1">
      <formula>AND(L11="",ISNUMBER(P11),P11&lt;=TODAY())</formula>
    </cfRule>
    <cfRule type="expression" dxfId="56" priority="17" stopIfTrue="1">
      <formula>AND(L11="",ISNUMBER(P11),P11&gt;TODAY(),P11&lt;=TODAY()+7)</formula>
    </cfRule>
  </conditionalFormatting>
  <conditionalFormatting sqref="M11:M210">
    <cfRule type="expression" dxfId="55" priority="18" stopIfTrue="1">
      <formula>AND(M11="",ISNUMBER(P11),P11&lt;=TODAY())</formula>
    </cfRule>
    <cfRule type="expression" dxfId="54" priority="19" stopIfTrue="1">
      <formula>AND(M11="",ISNUMBER(P11),P11&gt;TODAY(),P11&lt;=TODAY()+7)</formula>
    </cfRule>
  </conditionalFormatting>
  <conditionalFormatting sqref="P11:P210">
    <cfRule type="expression" dxfId="53" priority="43" stopIfTrue="1">
      <formula>AND(AND(ISNUMBER(P11),P11&lt;=TODAY(),OR(L11="",M11="")),YEAR(P11)=$AH$9)</formula>
    </cfRule>
    <cfRule type="expression" dxfId="52" priority="42" stopIfTrue="1">
      <formula>AND(AND(ISNUMBER(P11),P11&lt;=TODAY(),OR(L11="",M11="")),YEAR(P11)=$AH$8)</formula>
    </cfRule>
    <cfRule type="expression" dxfId="51" priority="41" stopIfTrue="1">
      <formula>AND(AND(ISNUMBER(P11),P11&lt;=TODAY(),OR(L11="",M11="")),YEAR(P11)=$AH$7)</formula>
    </cfRule>
    <cfRule type="expression" dxfId="50" priority="44">
      <formula>AND(ISNUMBER(P11),P11&lt;=TODAY(),OR(L11="",M11=""))</formula>
    </cfRule>
    <cfRule type="expression" dxfId="49" priority="45">
      <formula>AND(ISNUMBER(P11),YEAR(P11)=$AH$7)</formula>
    </cfRule>
    <cfRule type="expression" dxfId="48" priority="47">
      <formula>AND(ISNUMBER(P11),YEAR(P11)=$AH$9)</formula>
    </cfRule>
    <cfRule type="expression" dxfId="47" priority="46">
      <formula>AND(ISNUMBER(P11),YEAR(P11)=$AH$8)</formula>
    </cfRule>
  </conditionalFormatting>
  <conditionalFormatting sqref="S11:S210">
    <cfRule type="expression" dxfId="46" priority="20" stopIfTrue="1">
      <formula>AND(S11="",ISNUMBER(AC11),AC11&lt;=TODAY())</formula>
    </cfRule>
    <cfRule type="expression" dxfId="45" priority="21" stopIfTrue="1">
      <formula>AND(S11="",ISNUMBER(AC11),AC11&gt;TODAY(),AC11&lt;=TODAY()+7)</formula>
    </cfRule>
  </conditionalFormatting>
  <conditionalFormatting sqref="S11:AB210">
    <cfRule type="notContainsBlanks" dxfId="44" priority="7" stopIfTrue="1">
      <formula>NOT(ISBLANK(S11))</formula>
    </cfRule>
  </conditionalFormatting>
  <conditionalFormatting sqref="T11:T210">
    <cfRule type="expression" dxfId="43" priority="23" stopIfTrue="1">
      <formula>AND(T11="",ISNUMBER(AC11),AC11&gt;TODAY(),AC11&lt;=TODAY()+7)</formula>
    </cfRule>
    <cfRule type="expression" dxfId="42" priority="22" stopIfTrue="1">
      <formula>AND(T11="",ISNUMBER(AC11),AC11&lt;=TODAY())</formula>
    </cfRule>
  </conditionalFormatting>
  <conditionalFormatting sqref="AC11:AC210">
    <cfRule type="expression" dxfId="41" priority="48" stopIfTrue="1">
      <formula>AND(AND(ISNUMBER(AC11),AC11&lt;=TODAY(),OR(S11="",T11="")),YEAR(AC11)=$AH$7)</formula>
    </cfRule>
    <cfRule type="expression" dxfId="40" priority="49" stopIfTrue="1">
      <formula>AND(AND(ISNUMBER(AC11),AC11&lt;=TODAY(),OR(S11="",T11="")),YEAR(AC11)=$AH$8)</formula>
    </cfRule>
    <cfRule type="expression" dxfId="39" priority="50" stopIfTrue="1">
      <formula>AND(AND(ISNUMBER(AC11),AC11&lt;=TODAY(),OR(S11="",T11="")),YEAR(AC11)=$AH$9)</formula>
    </cfRule>
    <cfRule type="expression" dxfId="38" priority="51">
      <formula>AND(ISNUMBER(AC11),AC11&lt;=TODAY(),OR(S11="",T11=""))</formula>
    </cfRule>
  </conditionalFormatting>
  <conditionalFormatting sqref="AC11:AD210">
    <cfRule type="expression" dxfId="37" priority="53">
      <formula>AND(ISNUMBER(AC11),YEAR(AC11)=$AH$8)</formula>
    </cfRule>
    <cfRule type="expression" dxfId="36" priority="54">
      <formula>AND(ISNUMBER(AC11),YEAR(AC11)=$AH$9)</formula>
    </cfRule>
    <cfRule type="expression" dxfId="35" priority="52">
      <formula>AND(ISNUMBER(AC11),YEAR(AC11)=$AH$7)</formula>
    </cfRule>
  </conditionalFormatting>
  <conditionalFormatting sqref="AF11:AF210">
    <cfRule type="notContainsBlanks" dxfId="34" priority="10" stopIfTrue="1">
      <formula>NOT(ISBLANK(AF11))</formula>
    </cfRule>
    <cfRule type="cellIs" dxfId="33" priority="9" stopIfTrue="1" operator="lessThan">
      <formula>0</formula>
    </cfRule>
  </conditionalFormatting>
  <conditionalFormatting sqref="AG11:AG210">
    <cfRule type="expression" dxfId="32" priority="58">
      <formula>AND(ISNUMBER(AG11),YEAR(AG11)=$AH$7)</formula>
    </cfRule>
    <cfRule type="expression" dxfId="31" priority="59">
      <formula>AND(ISNUMBER(AG11),YEAR(AG11)=$AH$8)</formula>
    </cfRule>
    <cfRule type="expression" dxfId="30" priority="60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  <pageSetUpPr fitToPage="1"/>
  </sheetPr>
  <dimension ref="A1:AR146"/>
  <sheetViews>
    <sheetView showGridLines="0" topLeftCell="B1" workbookViewId="0">
      <selection activeCell="U5" sqref="U1:Z1048576"/>
    </sheetView>
  </sheetViews>
  <sheetFormatPr defaultColWidth="9" defaultRowHeight="13.5" customHeight="1" outlineLevelCol="1"/>
  <cols>
    <col min="1" max="2" width="5.77734375" style="1" customWidth="1"/>
    <col min="3" max="3" width="29.109375" style="1" customWidth="1"/>
    <col min="4" max="4" width="12.33203125" style="1" customWidth="1"/>
    <col min="5" max="20" width="5.109375" style="76" customWidth="1"/>
    <col min="21" max="26" width="5.109375" style="76" hidden="1" customWidth="1" outlineLevel="1"/>
    <col min="27" max="27" width="5.109375" style="76" customWidth="1" collapsed="1"/>
    <col min="28" max="30" width="5.109375" style="76" customWidth="1"/>
    <col min="31" max="31" width="23.77734375" style="76" customWidth="1"/>
    <col min="32" max="41" width="9.33203125" style="76" customWidth="1"/>
    <col min="42" max="45" width="9" style="76" customWidth="1"/>
    <col min="46" max="16384" width="9" style="76"/>
  </cols>
  <sheetData>
    <row r="1" spans="1:44" ht="24.75" customHeight="1">
      <c r="A1" s="172" t="str">
        <f>①施工図リスト!A1</f>
        <v>現場／統括：、現場責任者：金子主任、主任：、担当：</v>
      </c>
      <c r="B1" s="172"/>
      <c r="C1" s="172"/>
      <c r="D1" s="172"/>
      <c r="E1" s="173"/>
      <c r="F1" s="86" cm="1">
        <f t="array" ref="F1">①施工図リスト!AG7</f>
        <v>7</v>
      </c>
      <c r="G1" s="176" cm="1">
        <f t="array" ref="G1">①施工図リスト!AH7</f>
        <v>2025</v>
      </c>
      <c r="H1" s="176"/>
      <c r="I1" s="176"/>
      <c r="J1" s="136" t="s">
        <v>1</v>
      </c>
      <c r="K1" s="137"/>
      <c r="L1" s="137"/>
      <c r="M1" s="137"/>
      <c r="N1" s="138"/>
      <c r="O1" s="136" t="s">
        <v>2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8"/>
      <c r="AF1" s="87"/>
      <c r="AG1" s="88"/>
      <c r="AH1" s="88"/>
      <c r="AI1" s="88"/>
      <c r="AJ1" s="88"/>
      <c r="AK1" s="88"/>
      <c r="AL1" s="88"/>
      <c r="AM1" s="88"/>
      <c r="AN1" s="88"/>
      <c r="AO1" s="88"/>
      <c r="AP1" s="28"/>
      <c r="AQ1" s="28"/>
      <c r="AR1" s="28"/>
    </row>
    <row r="2" spans="1:44" ht="56.7" customHeight="1">
      <c r="A2" s="174" t="s">
        <v>3</v>
      </c>
      <c r="B2" s="175"/>
      <c r="C2" s="186" t="str">
        <f>①施工図リスト!C2</f>
        <v>椙山女学園　星が丘キャンパス大学会館食堂リニューアル工事</v>
      </c>
      <c r="D2" s="187"/>
      <c r="E2" s="188"/>
      <c r="F2" s="89" cm="1">
        <f t="array" ref="F2">①施工図リスト!AG8</f>
        <v>8</v>
      </c>
      <c r="G2" s="176" cm="1">
        <f t="array" ref="G2">①施工図リスト!AH8</f>
        <v>2026</v>
      </c>
      <c r="H2" s="176"/>
      <c r="I2" s="176"/>
      <c r="J2" s="139"/>
      <c r="K2" s="140"/>
      <c r="L2" s="140"/>
      <c r="M2" s="140"/>
      <c r="N2" s="141"/>
      <c r="O2" s="145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7"/>
      <c r="AF2" s="87"/>
      <c r="AG2" s="88"/>
      <c r="AH2" s="90" t="s">
        <v>5</v>
      </c>
      <c r="AI2" s="88"/>
      <c r="AJ2" s="88"/>
      <c r="AK2" s="88"/>
      <c r="AL2" s="88"/>
      <c r="AM2" s="88"/>
      <c r="AN2" s="88"/>
      <c r="AO2" s="88"/>
      <c r="AP2" s="28"/>
      <c r="AQ2" s="28"/>
      <c r="AR2" s="28"/>
    </row>
    <row r="3" spans="1:44" ht="18.600000000000001" customHeight="1">
      <c r="A3" s="9"/>
      <c r="B3" s="12"/>
      <c r="C3" s="13"/>
      <c r="D3" s="13"/>
      <c r="E3" s="91"/>
      <c r="F3" s="92" cm="1">
        <f t="array" ref="F3">①施工図リスト!AG9</f>
        <v>9</v>
      </c>
      <c r="G3" s="176" cm="1">
        <f t="array" ref="G3">①施工図リスト!AH9</f>
        <v>2027</v>
      </c>
      <c r="H3" s="176"/>
      <c r="I3" s="176"/>
      <c r="J3" s="142"/>
      <c r="K3" s="143"/>
      <c r="L3" s="143"/>
      <c r="M3" s="143"/>
      <c r="N3" s="144"/>
      <c r="O3" s="148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0"/>
      <c r="AF3" s="87"/>
      <c r="AG3" s="88"/>
      <c r="AH3" s="93"/>
      <c r="AI3" s="93"/>
      <c r="AJ3" s="93"/>
      <c r="AK3" s="93"/>
      <c r="AL3" s="93"/>
      <c r="AM3" s="93"/>
      <c r="AN3" s="93"/>
      <c r="AO3" s="88"/>
      <c r="AP3" s="28"/>
      <c r="AQ3" s="94" t="s">
        <v>6</v>
      </c>
      <c r="AR3" s="31" cm="1">
        <f t="array" ref="AR3">AP4/AO4</f>
        <v>0.04</v>
      </c>
    </row>
    <row r="4" spans="1:44" ht="40.200000000000003" customHeight="1">
      <c r="A4" s="177" t="s">
        <v>135</v>
      </c>
      <c r="B4" s="177" t="s">
        <v>136</v>
      </c>
      <c r="C4" s="180" t="s">
        <v>137</v>
      </c>
      <c r="D4" s="183" t="s">
        <v>138</v>
      </c>
      <c r="E4" s="189" t="s">
        <v>139</v>
      </c>
      <c r="F4" s="158" t="s">
        <v>140</v>
      </c>
      <c r="G4" s="166" t="s">
        <v>141</v>
      </c>
      <c r="H4" s="158" t="s">
        <v>142</v>
      </c>
      <c r="I4" s="184" t="s">
        <v>143</v>
      </c>
      <c r="J4" s="166" t="s">
        <v>33</v>
      </c>
      <c r="K4" s="155" t="s">
        <v>144</v>
      </c>
      <c r="L4" s="156"/>
      <c r="M4" s="156"/>
      <c r="N4" s="157"/>
      <c r="O4" s="168" t="s">
        <v>145</v>
      </c>
      <c r="P4" s="166" t="s">
        <v>33</v>
      </c>
      <c r="Q4" s="151" t="s">
        <v>146</v>
      </c>
      <c r="R4" s="152"/>
      <c r="S4" s="170" t="s">
        <v>146</v>
      </c>
      <c r="T4" s="152"/>
      <c r="U4" s="170" t="s">
        <v>146</v>
      </c>
      <c r="V4" s="152"/>
      <c r="W4" s="170" t="s">
        <v>146</v>
      </c>
      <c r="X4" s="152"/>
      <c r="Y4" s="170" t="s">
        <v>146</v>
      </c>
      <c r="Z4" s="171"/>
      <c r="AA4" s="158" t="s">
        <v>147</v>
      </c>
      <c r="AB4" s="160" t="s">
        <v>148</v>
      </c>
      <c r="AC4" s="164" t="s">
        <v>12</v>
      </c>
      <c r="AD4" s="162" t="s">
        <v>149</v>
      </c>
      <c r="AE4" s="153" t="s">
        <v>150</v>
      </c>
      <c r="AF4" s="96"/>
      <c r="AG4" s="97"/>
      <c r="AH4" s="194" t="s">
        <v>18</v>
      </c>
      <c r="AI4" s="202" t="s">
        <v>19</v>
      </c>
      <c r="AJ4" s="202" t="s">
        <v>20</v>
      </c>
      <c r="AK4" s="151" t="s">
        <v>151</v>
      </c>
      <c r="AL4" s="171"/>
      <c r="AM4" s="151" t="s">
        <v>152</v>
      </c>
      <c r="AN4" s="171"/>
      <c r="AO4" s="98" cm="1">
        <f t="array" ref="AO4">COUNTA($AD$7:$AD$146)*5</f>
        <v>75</v>
      </c>
      <c r="AP4" s="40" cm="1">
        <f t="array" ref="AP4">COUNTA($I$7:$I$146)+COUNTA($K$7:$K$146)+COUNTA($L$7:$L$146)+COUNTA($Q$7:$Q$146)+COUNTA($R$7:$R$146)</f>
        <v>3</v>
      </c>
      <c r="AQ4" s="94" t="s">
        <v>23</v>
      </c>
      <c r="AR4" s="31" cm="1">
        <f t="array" ref="AR4">1-AR3</f>
        <v>0.96</v>
      </c>
    </row>
    <row r="5" spans="1:44" ht="20.100000000000001" customHeight="1">
      <c r="A5" s="178"/>
      <c r="B5" s="192"/>
      <c r="C5" s="181"/>
      <c r="D5" s="181"/>
      <c r="E5" s="190"/>
      <c r="F5" s="159"/>
      <c r="G5" s="167"/>
      <c r="H5" s="159"/>
      <c r="I5" s="185"/>
      <c r="J5" s="167"/>
      <c r="K5" s="197" t="s">
        <v>153</v>
      </c>
      <c r="L5" s="198"/>
      <c r="M5" s="197" t="s">
        <v>154</v>
      </c>
      <c r="N5" s="199"/>
      <c r="O5" s="169"/>
      <c r="P5" s="167"/>
      <c r="Q5" s="195" t="s">
        <v>50</v>
      </c>
      <c r="R5" s="200" t="s">
        <v>51</v>
      </c>
      <c r="S5" s="200" t="s">
        <v>50</v>
      </c>
      <c r="T5" s="200" t="s">
        <v>51</v>
      </c>
      <c r="U5" s="200" t="s">
        <v>50</v>
      </c>
      <c r="V5" s="200" t="s">
        <v>51</v>
      </c>
      <c r="W5" s="200" t="s">
        <v>50</v>
      </c>
      <c r="X5" s="200" t="s">
        <v>51</v>
      </c>
      <c r="Y5" s="200" t="s">
        <v>50</v>
      </c>
      <c r="Z5" s="204" t="s">
        <v>51</v>
      </c>
      <c r="AA5" s="159"/>
      <c r="AB5" s="161"/>
      <c r="AC5" s="165"/>
      <c r="AD5" s="163"/>
      <c r="AE5" s="154"/>
      <c r="AF5" s="96"/>
      <c r="AG5" s="97"/>
      <c r="AH5" s="163"/>
      <c r="AI5" s="203"/>
      <c r="AJ5" s="203"/>
      <c r="AK5" s="195" t="s">
        <v>50</v>
      </c>
      <c r="AL5" s="204" t="s">
        <v>51</v>
      </c>
      <c r="AM5" s="195" t="s">
        <v>50</v>
      </c>
      <c r="AN5" s="204" t="s">
        <v>51</v>
      </c>
      <c r="AO5" s="96"/>
      <c r="AP5" s="28"/>
      <c r="AQ5" s="28"/>
      <c r="AR5" s="28"/>
    </row>
    <row r="6" spans="1:44" ht="40.200000000000003" customHeight="1">
      <c r="A6" s="179"/>
      <c r="B6" s="193"/>
      <c r="C6" s="182"/>
      <c r="D6" s="181"/>
      <c r="E6" s="191"/>
      <c r="F6" s="159"/>
      <c r="G6" s="167"/>
      <c r="H6" s="159"/>
      <c r="I6" s="185"/>
      <c r="J6" s="167"/>
      <c r="K6" s="100" t="s">
        <v>50</v>
      </c>
      <c r="L6" s="101" t="s">
        <v>51</v>
      </c>
      <c r="M6" s="100" t="s">
        <v>50</v>
      </c>
      <c r="N6" s="101" t="s">
        <v>51</v>
      </c>
      <c r="O6" s="169"/>
      <c r="P6" s="167"/>
      <c r="Q6" s="196"/>
      <c r="R6" s="201"/>
      <c r="S6" s="201"/>
      <c r="T6" s="201"/>
      <c r="U6" s="201"/>
      <c r="V6" s="201"/>
      <c r="W6" s="201"/>
      <c r="X6" s="201"/>
      <c r="Y6" s="201"/>
      <c r="Z6" s="205"/>
      <c r="AA6" s="159"/>
      <c r="AB6" s="161"/>
      <c r="AC6" s="165"/>
      <c r="AD6" s="163"/>
      <c r="AE6" s="154"/>
      <c r="AF6" s="96"/>
      <c r="AG6" s="97"/>
      <c r="AH6" s="163"/>
      <c r="AI6" s="203"/>
      <c r="AJ6" s="203"/>
      <c r="AK6" s="196"/>
      <c r="AL6" s="205"/>
      <c r="AM6" s="196"/>
      <c r="AN6" s="205"/>
      <c r="AO6" s="96"/>
      <c r="AP6" s="28"/>
      <c r="AQ6" s="28"/>
      <c r="AR6" s="28"/>
    </row>
    <row r="7" spans="1:44" ht="22.5" customHeight="1">
      <c r="A7" s="14">
        <v>0</v>
      </c>
      <c r="B7" s="15"/>
      <c r="C7" s="21"/>
      <c r="D7" s="21"/>
      <c r="E7" s="102"/>
      <c r="F7" s="103" cm="1" t="str">
        <f t="array" ref="F7">IF(AD7="","",H7-G7)</f>
        <v/>
      </c>
      <c r="G7" s="104"/>
      <c r="H7" s="103" cm="1" t="str">
        <f t="array" ref="H7">IF(AD7="","",AA7-J7-P7-O7)</f>
        <v/>
      </c>
      <c r="I7" s="105"/>
      <c r="J7" s="104"/>
      <c r="K7" s="106"/>
      <c r="L7" s="107"/>
      <c r="M7" s="106"/>
      <c r="N7" s="105"/>
      <c r="O7" s="108"/>
      <c r="P7" s="104"/>
      <c r="Q7" s="106"/>
      <c r="R7" s="105"/>
      <c r="S7" s="105"/>
      <c r="T7" s="105"/>
      <c r="U7" s="105"/>
      <c r="V7" s="105"/>
      <c r="W7" s="105"/>
      <c r="X7" s="105"/>
      <c r="Y7" s="105"/>
      <c r="Z7" s="107"/>
      <c r="AA7" s="103" cm="1" t="str">
        <f t="array" ref="AA7">IF(AD7="","",AD7-AC7)</f>
        <v/>
      </c>
      <c r="AB7" s="107"/>
      <c r="AC7" s="99"/>
      <c r="AD7" s="102"/>
      <c r="AE7" s="109"/>
      <c r="AF7" s="110"/>
      <c r="AG7" s="111"/>
      <c r="AH7" s="112"/>
      <c r="AI7" s="112"/>
      <c r="AJ7" s="112"/>
      <c r="AK7" s="112"/>
      <c r="AL7" s="112"/>
      <c r="AM7" s="112"/>
      <c r="AN7" s="112"/>
      <c r="AO7" s="111"/>
      <c r="AP7" s="28"/>
      <c r="AQ7" s="28"/>
      <c r="AR7" s="113"/>
    </row>
    <row r="8" spans="1:44" ht="22.5" customHeight="1">
      <c r="A8" s="14" cm="1">
        <f t="array" ref="A8">A7+1</f>
        <v>1</v>
      </c>
      <c r="B8" s="16" t="s">
        <v>155</v>
      </c>
      <c r="C8" s="22" t="s">
        <v>156</v>
      </c>
      <c r="D8" s="21" t="s">
        <v>270</v>
      </c>
      <c r="E8" s="102"/>
      <c r="F8" s="106" cm="1">
        <f t="array" ref="F8">IF($AD8="","",$H8-$G8)</f>
        <v>46293</v>
      </c>
      <c r="G8" s="114">
        <v>7</v>
      </c>
      <c r="H8" s="106" cm="1">
        <f t="array" ref="H8">IF($AD8="","",$AA8-$J8-$P8-$O8)</f>
        <v>46300</v>
      </c>
      <c r="I8" s="105">
        <v>46324</v>
      </c>
      <c r="J8" s="114">
        <v>7</v>
      </c>
      <c r="K8" s="115">
        <v>46324</v>
      </c>
      <c r="L8" s="116"/>
      <c r="M8" s="106"/>
      <c r="N8" s="105"/>
      <c r="O8" s="117">
        <v>7</v>
      </c>
      <c r="P8" s="114">
        <v>14</v>
      </c>
      <c r="Q8" s="106"/>
      <c r="R8" s="105"/>
      <c r="S8" s="105"/>
      <c r="T8" s="105"/>
      <c r="U8" s="105"/>
      <c r="V8" s="105"/>
      <c r="W8" s="105"/>
      <c r="X8" s="105"/>
      <c r="Y8" s="105"/>
      <c r="Z8" s="107"/>
      <c r="AA8" s="106" cm="1">
        <f t="array" ref="AA8">IF(AD8="","",AD8-AC8)</f>
        <v>46328</v>
      </c>
      <c r="AB8" s="107"/>
      <c r="AC8" s="118">
        <v>7</v>
      </c>
      <c r="AD8" s="102">
        <v>46335</v>
      </c>
      <c r="AE8" s="119" t="s">
        <v>157</v>
      </c>
      <c r="AF8" s="110"/>
      <c r="AG8" s="111"/>
      <c r="AH8" s="111"/>
      <c r="AI8" s="111"/>
      <c r="AJ8" s="111"/>
      <c r="AK8" s="111"/>
      <c r="AL8" s="111"/>
      <c r="AM8" s="111"/>
      <c r="AN8" s="111"/>
      <c r="AO8" s="111"/>
      <c r="AP8" s="28"/>
      <c r="AQ8" s="120"/>
      <c r="AR8" s="121"/>
    </row>
    <row r="9" spans="1:44" ht="22.5" customHeight="1">
      <c r="A9" s="14" cm="1">
        <f t="array" ref="A9">A8+1</f>
        <v>2</v>
      </c>
      <c r="B9" s="16" t="s">
        <v>158</v>
      </c>
      <c r="C9" s="23" t="s">
        <v>159</v>
      </c>
      <c r="D9" s="22" t="s">
        <v>160</v>
      </c>
      <c r="E9" s="125"/>
      <c r="F9" s="126" cm="1">
        <f t="array" ref="F9">IF($AD9="","",$H9-$G9)</f>
        <v>46370</v>
      </c>
      <c r="G9" s="114"/>
      <c r="H9" s="126" cm="1">
        <f t="array" ref="H9">IF($AD9="","",$AA9-$J9-$P9-$O9)</f>
        <v>46370</v>
      </c>
      <c r="I9" s="127"/>
      <c r="J9" s="114"/>
      <c r="K9" s="128"/>
      <c r="L9" s="129"/>
      <c r="M9" s="126"/>
      <c r="N9" s="127"/>
      <c r="O9" s="117"/>
      <c r="P9" s="114"/>
      <c r="Q9" s="126"/>
      <c r="R9" s="127"/>
      <c r="S9" s="127"/>
      <c r="T9" s="127"/>
      <c r="U9" s="127"/>
      <c r="V9" s="127"/>
      <c r="W9" s="127"/>
      <c r="X9" s="127"/>
      <c r="Y9" s="127"/>
      <c r="Z9" s="130"/>
      <c r="AA9" s="126" cm="1">
        <f t="array" ref="AA9">IF(AD9="","",AD9-AC9)</f>
        <v>46370</v>
      </c>
      <c r="AB9" s="130"/>
      <c r="AC9" s="118"/>
      <c r="AD9" s="102">
        <v>46370</v>
      </c>
      <c r="AE9" s="119" t="s">
        <v>161</v>
      </c>
      <c r="AF9" s="110"/>
      <c r="AG9" s="111"/>
      <c r="AH9" s="111"/>
      <c r="AI9" s="111"/>
      <c r="AJ9" s="111"/>
      <c r="AK9" s="111"/>
      <c r="AL9" s="111"/>
      <c r="AM9" s="111"/>
      <c r="AN9" s="111"/>
      <c r="AO9" s="111"/>
      <c r="AP9" s="28"/>
      <c r="AQ9" s="28"/>
      <c r="AR9" s="122"/>
    </row>
    <row r="10" spans="1:44" ht="22.5" customHeight="1">
      <c r="A10" s="14" cm="1">
        <f t="array" ref="A10">A9+1</f>
        <v>3</v>
      </c>
      <c r="B10" s="16" t="s">
        <v>162</v>
      </c>
      <c r="C10" s="23" t="s">
        <v>163</v>
      </c>
      <c r="D10" s="22" t="s">
        <v>164</v>
      </c>
      <c r="E10" s="125"/>
      <c r="F10" s="126" cm="1">
        <f t="array" ref="F10">IF($AD10="","",$H10-$G10)</f>
        <v>46370</v>
      </c>
      <c r="G10" s="114"/>
      <c r="H10" s="126" cm="1">
        <f t="array" ref="H10">IF($AD10="","",$AA10-$J10-$P10-$O10)</f>
        <v>46370</v>
      </c>
      <c r="I10" s="127"/>
      <c r="J10" s="114"/>
      <c r="K10" s="128"/>
      <c r="L10" s="129"/>
      <c r="M10" s="126"/>
      <c r="N10" s="127"/>
      <c r="O10" s="117"/>
      <c r="P10" s="114"/>
      <c r="Q10" s="126"/>
      <c r="R10" s="127"/>
      <c r="S10" s="127"/>
      <c r="T10" s="127"/>
      <c r="U10" s="127"/>
      <c r="V10" s="127"/>
      <c r="W10" s="127"/>
      <c r="X10" s="127"/>
      <c r="Y10" s="127"/>
      <c r="Z10" s="130"/>
      <c r="AA10" s="126" cm="1">
        <f t="array" ref="AA10">IF(AD10="","",AD10-AC10)</f>
        <v>46370</v>
      </c>
      <c r="AB10" s="130"/>
      <c r="AC10" s="95"/>
      <c r="AD10" s="102">
        <v>46370</v>
      </c>
      <c r="AE10" s="119" t="s">
        <v>161</v>
      </c>
      <c r="AF10" s="110"/>
      <c r="AG10" s="111"/>
      <c r="AH10" s="111"/>
      <c r="AI10" s="111"/>
      <c r="AJ10" s="111"/>
      <c r="AK10" s="111"/>
      <c r="AL10" s="111"/>
      <c r="AM10" s="111"/>
      <c r="AN10" s="111"/>
      <c r="AO10" s="111"/>
      <c r="AP10" s="28"/>
      <c r="AQ10" s="28"/>
      <c r="AR10" s="28"/>
    </row>
    <row r="11" spans="1:44" ht="22.5" customHeight="1">
      <c r="A11" s="14" cm="1">
        <f t="array" ref="A11">A10+1</f>
        <v>4</v>
      </c>
      <c r="B11" s="16" t="s">
        <v>165</v>
      </c>
      <c r="C11" s="22" t="s">
        <v>166</v>
      </c>
      <c r="D11" s="22" t="s">
        <v>164</v>
      </c>
      <c r="E11" s="102"/>
      <c r="F11" s="106" cm="1">
        <f t="array" ref="F11">IF($AD11="","",$H11-$G11)</f>
        <v>46344</v>
      </c>
      <c r="G11" s="114">
        <v>7</v>
      </c>
      <c r="H11" s="106" cm="1">
        <f t="array" ref="H11">IF($AD11="","",$AA11-$J11-$P11-$O11)</f>
        <v>46351</v>
      </c>
      <c r="I11" s="105"/>
      <c r="J11" s="114">
        <v>7</v>
      </c>
      <c r="K11" s="115"/>
      <c r="L11" s="116"/>
      <c r="M11" s="106"/>
      <c r="N11" s="105"/>
      <c r="O11" s="117">
        <v>7</v>
      </c>
      <c r="P11" s="114">
        <v>14</v>
      </c>
      <c r="Q11" s="106"/>
      <c r="R11" s="105"/>
      <c r="S11" s="105"/>
      <c r="T11" s="105"/>
      <c r="U11" s="105"/>
      <c r="V11" s="105"/>
      <c r="W11" s="105"/>
      <c r="X11" s="105"/>
      <c r="Y11" s="105"/>
      <c r="Z11" s="107"/>
      <c r="AA11" s="106" cm="1">
        <f t="array" ref="AA11">IF(AD11="","",AD11-AC11)</f>
        <v>46379</v>
      </c>
      <c r="AB11" s="107"/>
      <c r="AC11" s="118">
        <v>14</v>
      </c>
      <c r="AD11" s="102">
        <v>46393</v>
      </c>
      <c r="AE11" s="347" t="inlineStr">
        <is>
          <t>0918質疑対応とする⇒設計図に記載有り。とりあえず作成する、工程変更 1/6</t>
        </is>
      </c>
      <c r="AF11" s="110"/>
      <c r="AG11" s="111"/>
      <c r="AH11" s="111"/>
      <c r="AI11" s="111"/>
      <c r="AJ11" s="111"/>
      <c r="AK11" s="111"/>
      <c r="AL11" s="111"/>
      <c r="AM11" s="111"/>
      <c r="AN11" s="111"/>
      <c r="AO11" s="111"/>
      <c r="AP11" s="28"/>
      <c r="AQ11" s="28"/>
      <c r="AR11" s="28"/>
    </row>
    <row r="12" spans="1:44" ht="22.5" customHeight="1">
      <c r="A12" s="14" cm="1">
        <f t="array" ref="A12">A11+1</f>
        <v>5</v>
      </c>
      <c r="B12" s="16" t="s">
        <v>168</v>
      </c>
      <c r="C12" s="22" t="s">
        <v>169</v>
      </c>
      <c r="D12" s="22" t="s">
        <v>170</v>
      </c>
      <c r="E12" s="102">
        <v>46298</v>
      </c>
      <c r="F12" s="106" cm="1">
        <f t="array" ref="F12">IF($AD12="","",$H12-$G12)</f>
        <v>46351</v>
      </c>
      <c r="G12" s="114">
        <v>7</v>
      </c>
      <c r="H12" s="106" cm="1">
        <f t="array" ref="H12">IF($AD12="","",$AA12-$J12-$P12-$O12)</f>
        <v>46358</v>
      </c>
      <c r="I12" s="105"/>
      <c r="J12" s="114">
        <v>7</v>
      </c>
      <c r="K12" s="115"/>
      <c r="L12" s="116"/>
      <c r="M12" s="106"/>
      <c r="N12" s="105"/>
      <c r="O12" s="117">
        <v>7</v>
      </c>
      <c r="P12" s="114">
        <v>14</v>
      </c>
      <c r="Q12" s="106"/>
      <c r="R12" s="105"/>
      <c r="S12" s="105"/>
      <c r="T12" s="105"/>
      <c r="U12" s="105"/>
      <c r="V12" s="105"/>
      <c r="W12" s="105"/>
      <c r="X12" s="105"/>
      <c r="Y12" s="105"/>
      <c r="Z12" s="107"/>
      <c r="AA12" s="106" cm="1">
        <f t="array" ref="AA12">IF(AD12="","",AD12-AC12)</f>
        <v>46386</v>
      </c>
      <c r="AB12" s="107"/>
      <c r="AC12" s="118">
        <v>14</v>
      </c>
      <c r="AD12" s="102">
        <v>46400</v>
      </c>
      <c r="AE12" s="109"/>
      <c r="AF12" s="110"/>
      <c r="AG12" s="111"/>
      <c r="AH12" s="111"/>
      <c r="AI12" s="111"/>
      <c r="AJ12" s="111"/>
      <c r="AK12" s="111"/>
      <c r="AL12" s="111"/>
      <c r="AM12" s="111"/>
      <c r="AN12" s="111"/>
      <c r="AO12" s="111"/>
      <c r="AP12" s="28"/>
      <c r="AQ12" s="28"/>
      <c r="AR12" s="28"/>
    </row>
    <row r="13" spans="1:44" ht="22.5" customHeight="1">
      <c r="A13" s="14" cm="1">
        <f t="array" ref="A13">A12+1</f>
        <v>6</v>
      </c>
      <c r="B13" s="16" t="s">
        <v>171</v>
      </c>
      <c r="C13" s="22" t="s">
        <v>172</v>
      </c>
      <c r="D13" s="22" t="s">
        <v>173</v>
      </c>
      <c r="E13" s="102"/>
      <c r="F13" s="106" cm="1">
        <f t="array" ref="F13">IF($AD13="","",$H13-$G13)</f>
        <v>46370</v>
      </c>
      <c r="G13" s="114">
        <v>7</v>
      </c>
      <c r="H13" s="106" cm="1">
        <f t="array" ref="H13">IF($AD13="","",$AA13-$J13-$P13-$O13)</f>
        <v>46377</v>
      </c>
      <c r="I13" s="105"/>
      <c r="J13" s="114">
        <v>7</v>
      </c>
      <c r="K13" s="115"/>
      <c r="L13" s="116"/>
      <c r="M13" s="106"/>
      <c r="N13" s="105"/>
      <c r="O13" s="117">
        <v>7</v>
      </c>
      <c r="P13" s="114">
        <v>14</v>
      </c>
      <c r="Q13" s="106"/>
      <c r="R13" s="105"/>
      <c r="S13" s="105"/>
      <c r="T13" s="105"/>
      <c r="U13" s="105"/>
      <c r="V13" s="105"/>
      <c r="W13" s="105"/>
      <c r="X13" s="105"/>
      <c r="Y13" s="105"/>
      <c r="Z13" s="107"/>
      <c r="AA13" s="106" cm="1">
        <f t="array" ref="AA13">IF(AD13="","",AD13-AC13)</f>
        <v>46405</v>
      </c>
      <c r="AB13" s="107"/>
      <c r="AC13" s="118">
        <v>14</v>
      </c>
      <c r="AD13" s="102">
        <v>46419</v>
      </c>
      <c r="AE13" s="119" t="s">
        <v>282</v>
      </c>
      <c r="AF13" s="110"/>
      <c r="AG13" s="111"/>
      <c r="AH13" s="111"/>
      <c r="AI13" s="111"/>
      <c r="AJ13" s="111"/>
      <c r="AK13" s="111"/>
      <c r="AL13" s="111"/>
      <c r="AM13" s="111"/>
      <c r="AN13" s="111"/>
      <c r="AO13" s="111"/>
      <c r="AP13" s="28"/>
      <c r="AQ13" s="28"/>
      <c r="AR13" s="28"/>
    </row>
    <row r="14" spans="1:44" ht="22.5" customHeight="1">
      <c r="A14" s="14" cm="1">
        <f t="array" ref="A14">A13+1</f>
        <v>7</v>
      </c>
      <c r="B14" s="16" t="s">
        <v>174</v>
      </c>
      <c r="C14" s="22" t="s">
        <v>175</v>
      </c>
      <c r="D14" s="22" t="s">
        <v>176</v>
      </c>
      <c r="E14" s="102"/>
      <c r="F14" s="106" cm="1">
        <f t="array" ref="F14">IF($AD14="","",$H14-$G14)</f>
        <v>46321</v>
      </c>
      <c r="G14" s="114">
        <v>7</v>
      </c>
      <c r="H14" s="106" cm="1">
        <f t="array" ref="H14">IF($AD14="","",$AA14-$J14-$P14-$O14)</f>
        <v>46328</v>
      </c>
      <c r="I14" s="105"/>
      <c r="J14" s="114">
        <v>7</v>
      </c>
      <c r="K14" s="115"/>
      <c r="L14" s="116"/>
      <c r="M14" s="106"/>
      <c r="N14" s="105"/>
      <c r="O14" s="117">
        <v>7</v>
      </c>
      <c r="P14" s="114">
        <v>14</v>
      </c>
      <c r="Q14" s="106"/>
      <c r="R14" s="105"/>
      <c r="S14" s="105"/>
      <c r="T14" s="105"/>
      <c r="U14" s="105"/>
      <c r="V14" s="105"/>
      <c r="W14" s="105"/>
      <c r="X14" s="105"/>
      <c r="Y14" s="105"/>
      <c r="Z14" s="107"/>
      <c r="AA14" s="106" cm="1">
        <f t="array" ref="AA14">IF(AD14="","",AD14-AC14)</f>
        <v>46356</v>
      </c>
      <c r="AB14" s="107"/>
      <c r="AC14" s="118">
        <v>14</v>
      </c>
      <c r="AD14" s="102">
        <v>46370</v>
      </c>
      <c r="AE14" s="109"/>
      <c r="AF14" s="110"/>
      <c r="AG14" s="111"/>
      <c r="AH14" s="111"/>
      <c r="AI14" s="111"/>
      <c r="AJ14" s="111"/>
      <c r="AK14" s="111"/>
      <c r="AL14" s="111"/>
      <c r="AM14" s="111"/>
      <c r="AN14" s="111"/>
      <c r="AO14" s="111"/>
      <c r="AP14" s="28"/>
      <c r="AQ14" s="28"/>
      <c r="AR14" s="28"/>
    </row>
    <row r="15" spans="1:44" ht="22.5" customHeight="1">
      <c r="A15" s="14" cm="1">
        <f t="array" ref="A15">A14+1</f>
        <v>8</v>
      </c>
      <c r="B15" s="16" t="s">
        <v>177</v>
      </c>
      <c r="C15" s="22" t="s">
        <v>178</v>
      </c>
      <c r="D15" s="22" t="s">
        <v>179</v>
      </c>
      <c r="E15" s="102"/>
      <c r="F15" s="106" cm="1">
        <f t="array" ref="F15">IF($AD15="","",$H15-$G15)</f>
        <v>46345</v>
      </c>
      <c r="G15" s="114">
        <v>7</v>
      </c>
      <c r="H15" s="106" cm="1">
        <f t="array" ref="H15">IF($AD15="","",$AA15-$J15-$P15-$O15)</f>
        <v>46352</v>
      </c>
      <c r="I15" s="105"/>
      <c r="J15" s="114">
        <v>7</v>
      </c>
      <c r="K15" s="115"/>
      <c r="L15" s="116"/>
      <c r="M15" s="106"/>
      <c r="N15" s="105"/>
      <c r="O15" s="117">
        <v>7</v>
      </c>
      <c r="P15" s="114">
        <v>14</v>
      </c>
      <c r="Q15" s="106"/>
      <c r="R15" s="105"/>
      <c r="S15" s="105"/>
      <c r="T15" s="105"/>
      <c r="U15" s="105"/>
      <c r="V15" s="105"/>
      <c r="W15" s="105"/>
      <c r="X15" s="105"/>
      <c r="Y15" s="105"/>
      <c r="Z15" s="107"/>
      <c r="AA15" s="106" cm="1">
        <f t="array" ref="AA15">IF(AD15="","",AD15-AC15)</f>
        <v>46380</v>
      </c>
      <c r="AB15" s="107"/>
      <c r="AC15" s="118">
        <v>14</v>
      </c>
      <c r="AD15" s="102">
        <v>46394</v>
      </c>
      <c r="AE15" s="109" t="s">
        <v>283</v>
      </c>
      <c r="AF15" s="110"/>
      <c r="AG15" s="111"/>
      <c r="AH15" s="111"/>
      <c r="AI15" s="111"/>
      <c r="AJ15" s="111"/>
      <c r="AK15" s="111"/>
      <c r="AL15" s="111"/>
      <c r="AM15" s="111"/>
      <c r="AN15" s="111"/>
      <c r="AO15" s="111"/>
      <c r="AP15" s="28"/>
      <c r="AQ15" s="28"/>
      <c r="AR15" s="28"/>
    </row>
    <row r="16" spans="1:44" ht="22.5" customHeight="1">
      <c r="A16" s="14" cm="1">
        <f t="array" ref="A16">A15+1</f>
        <v>9</v>
      </c>
      <c r="B16" s="16" t="s">
        <v>180</v>
      </c>
      <c r="C16" s="22" t="s">
        <v>181</v>
      </c>
      <c r="D16" s="22" t="s">
        <v>182</v>
      </c>
      <c r="E16" s="102">
        <v>46294</v>
      </c>
      <c r="F16" s="106" cm="1">
        <f t="array" ref="F16">IF($AD16="","",$H16-$G16)</f>
        <v>46352</v>
      </c>
      <c r="G16" s="114">
        <v>7</v>
      </c>
      <c r="H16" s="106" cm="1">
        <f t="array" ref="H16">IF($AD16="","",$AA16-$J16-$P16-$O16)</f>
        <v>46359</v>
      </c>
      <c r="I16" s="105"/>
      <c r="J16" s="114">
        <v>7</v>
      </c>
      <c r="K16" s="115"/>
      <c r="L16" s="116"/>
      <c r="M16" s="106"/>
      <c r="N16" s="105"/>
      <c r="O16" s="117">
        <v>7</v>
      </c>
      <c r="P16" s="114">
        <v>14</v>
      </c>
      <c r="Q16" s="106"/>
      <c r="R16" s="105"/>
      <c r="S16" s="105"/>
      <c r="T16" s="105"/>
      <c r="U16" s="105"/>
      <c r="V16" s="105"/>
      <c r="W16" s="105"/>
      <c r="X16" s="105"/>
      <c r="Y16" s="105"/>
      <c r="Z16" s="107"/>
      <c r="AA16" s="106" cm="1">
        <f t="array" ref="AA16">IF(AD16="","",AD16-AC16)</f>
        <v>46387</v>
      </c>
      <c r="AB16" s="107"/>
      <c r="AC16" s="118">
        <v>14</v>
      </c>
      <c r="AD16" s="102">
        <v>46401</v>
      </c>
      <c r="AE16" s="135" t="inlineStr">
        <is>
          <t>工程変更 1/14</t>
        </is>
      </c>
      <c r="AF16" s="110"/>
      <c r="AG16" s="111"/>
      <c r="AH16" s="111"/>
      <c r="AI16" s="111"/>
      <c r="AJ16" s="111"/>
      <c r="AK16" s="111"/>
      <c r="AL16" s="111"/>
      <c r="AM16" s="111"/>
      <c r="AN16" s="111"/>
      <c r="AO16" s="111"/>
      <c r="AP16" s="28"/>
      <c r="AQ16" s="28"/>
      <c r="AR16" s="28"/>
    </row>
    <row r="17" spans="1:44" ht="22.5" customHeight="1">
      <c r="A17" s="14" cm="1">
        <f t="array" ref="A17">A16+1</f>
        <v>10</v>
      </c>
      <c r="B17" s="16" t="s">
        <v>183</v>
      </c>
      <c r="C17" s="22" t="s">
        <v>184</v>
      </c>
      <c r="D17" s="22" t="s">
        <v>185</v>
      </c>
      <c r="E17" s="102"/>
      <c r="F17" s="106" cm="1">
        <f t="array" ref="F17">IF($AD17="","",$H17-$G17)</f>
        <v>46356</v>
      </c>
      <c r="G17" s="114">
        <v>7</v>
      </c>
      <c r="H17" s="106" cm="1">
        <f t="array" ref="H17">IF($AD17="","",$AA17-$J17-$P17-$O17)</f>
        <v>46363</v>
      </c>
      <c r="I17" s="105"/>
      <c r="J17" s="114">
        <v>7</v>
      </c>
      <c r="K17" s="115"/>
      <c r="L17" s="116"/>
      <c r="M17" s="106"/>
      <c r="N17" s="105"/>
      <c r="O17" s="117">
        <v>7</v>
      </c>
      <c r="P17" s="114">
        <v>14</v>
      </c>
      <c r="Q17" s="106"/>
      <c r="R17" s="105"/>
      <c r="S17" s="105"/>
      <c r="T17" s="105"/>
      <c r="U17" s="105"/>
      <c r="V17" s="105"/>
      <c r="W17" s="105"/>
      <c r="X17" s="105"/>
      <c r="Y17" s="105"/>
      <c r="Z17" s="107"/>
      <c r="AA17" s="106" cm="1">
        <f t="array" ref="AA17">IF(AD17="","",AD17-AC17)</f>
        <v>46391</v>
      </c>
      <c r="AB17" s="107"/>
      <c r="AC17" s="118">
        <v>14</v>
      </c>
      <c r="AD17" s="102">
        <v>46405</v>
      </c>
      <c r="AE17" s="109"/>
      <c r="AF17" s="110"/>
      <c r="AG17" s="111"/>
      <c r="AH17" s="111"/>
      <c r="AI17" s="111"/>
      <c r="AJ17" s="111"/>
      <c r="AK17" s="111"/>
      <c r="AL17" s="111"/>
      <c r="AM17" s="111"/>
      <c r="AN17" s="111"/>
      <c r="AO17" s="111"/>
      <c r="AP17" s="28"/>
      <c r="AQ17" s="28"/>
      <c r="AR17" s="28"/>
    </row>
    <row r="18" spans="1:44" ht="22.5" customHeight="1">
      <c r="A18" s="14" cm="1">
        <f t="array" ref="A18">A17+1</f>
        <v>11</v>
      </c>
      <c r="B18" s="16" t="s">
        <v>186</v>
      </c>
      <c r="C18" s="23" t="s">
        <v>187</v>
      </c>
      <c r="D18" s="22" t="s">
        <v>271</v>
      </c>
      <c r="E18" s="125"/>
      <c r="F18" s="126" cm="1">
        <f t="array" ref="F18">IF($AD18="","",$H18-$G18)</f>
        <v>46366</v>
      </c>
      <c r="G18" s="114"/>
      <c r="H18" s="126" cm="1">
        <f t="array" ref="H18">IF($AD18="","",$AA18-$J18-$P18-$O18)</f>
        <v>46366</v>
      </c>
      <c r="I18" s="127"/>
      <c r="J18" s="114"/>
      <c r="K18" s="128"/>
      <c r="L18" s="129"/>
      <c r="M18" s="126"/>
      <c r="N18" s="127"/>
      <c r="O18" s="117"/>
      <c r="P18" s="114"/>
      <c r="Q18" s="126"/>
      <c r="R18" s="127"/>
      <c r="S18" s="127"/>
      <c r="T18" s="127"/>
      <c r="U18" s="127"/>
      <c r="V18" s="127"/>
      <c r="W18" s="127"/>
      <c r="X18" s="127"/>
      <c r="Y18" s="127"/>
      <c r="Z18" s="130"/>
      <c r="AA18" s="126" cm="1">
        <f t="array" ref="AA18">IF(AD18="","",AD18-AC18)</f>
        <v>46366</v>
      </c>
      <c r="AB18" s="130"/>
      <c r="AC18" s="118"/>
      <c r="AD18" s="102">
        <v>46366</v>
      </c>
      <c r="AE18" s="119" t="s">
        <v>161</v>
      </c>
      <c r="AF18" s="110"/>
      <c r="AG18" s="111"/>
      <c r="AH18" s="111"/>
      <c r="AI18" s="111"/>
      <c r="AJ18" s="111"/>
      <c r="AK18" s="111"/>
      <c r="AL18" s="111"/>
      <c r="AM18" s="111"/>
      <c r="AN18" s="111"/>
      <c r="AO18" s="111"/>
      <c r="AP18" s="28"/>
      <c r="AQ18" s="28"/>
      <c r="AR18" s="28"/>
    </row>
    <row r="19" spans="1:44" ht="22.5" customHeight="1">
      <c r="A19" s="14" cm="1">
        <f t="array" ref="A19">A18+1</f>
        <v>12</v>
      </c>
      <c r="B19" s="16" t="s">
        <v>188</v>
      </c>
      <c r="C19" s="22" t="s">
        <v>189</v>
      </c>
      <c r="D19" s="22" t="s">
        <v>190</v>
      </c>
      <c r="E19" s="102"/>
      <c r="F19" s="106" cm="1">
        <f t="array" ref="F19">IF($AD19="","",$H19-$G19)</f>
        <v>46329</v>
      </c>
      <c r="G19" s="114">
        <v>7</v>
      </c>
      <c r="H19" s="106" cm="1">
        <f t="array" ref="H19">IF($AD19="","",$AA19-$J19-$P19-$O19)</f>
        <v>46336</v>
      </c>
      <c r="I19" s="105"/>
      <c r="J19" s="114">
        <v>7</v>
      </c>
      <c r="K19" s="115"/>
      <c r="L19" s="116"/>
      <c r="M19" s="106"/>
      <c r="N19" s="105"/>
      <c r="O19" s="117">
        <v>7</v>
      </c>
      <c r="P19" s="114">
        <v>14</v>
      </c>
      <c r="Q19" s="106"/>
      <c r="R19" s="105"/>
      <c r="S19" s="105"/>
      <c r="T19" s="105"/>
      <c r="U19" s="105"/>
      <c r="V19" s="105"/>
      <c r="W19" s="105"/>
      <c r="X19" s="105"/>
      <c r="Y19" s="105"/>
      <c r="Z19" s="107"/>
      <c r="AA19" s="106" cm="1">
        <f t="array" ref="AA19">IF(AD19="","",AD19-AC19)</f>
        <v>46364</v>
      </c>
      <c r="AB19" s="107"/>
      <c r="AC19" s="118">
        <v>14</v>
      </c>
      <c r="AD19" s="102">
        <v>46378</v>
      </c>
      <c r="AE19" s="134" t="inlineStr">
        <is>
          <t>工程変更 12/22</t>
        </is>
      </c>
      <c r="AF19" s="110"/>
      <c r="AG19" s="111"/>
      <c r="AH19" s="111"/>
      <c r="AI19" s="111"/>
      <c r="AJ19" s="111"/>
      <c r="AK19" s="111"/>
      <c r="AL19" s="111"/>
      <c r="AM19" s="111"/>
      <c r="AN19" s="111"/>
      <c r="AO19" s="111"/>
      <c r="AP19" s="28"/>
      <c r="AQ19" s="28"/>
      <c r="AR19" s="28"/>
    </row>
    <row r="20" spans="1:44" ht="22.5" customHeight="1">
      <c r="A20" s="14" cm="1">
        <f t="array" ref="A20">A19+1</f>
        <v>13</v>
      </c>
      <c r="B20" s="16" t="s">
        <v>191</v>
      </c>
      <c r="C20" s="22" t="s">
        <v>192</v>
      </c>
      <c r="D20" s="22" t="s">
        <v>193</v>
      </c>
      <c r="E20" s="102">
        <v>46295</v>
      </c>
      <c r="F20" s="106" cm="1">
        <f t="array" ref="F20">IF($AD20="","",$H20-$G20)</f>
        <v>46328</v>
      </c>
      <c r="G20" s="114">
        <v>7</v>
      </c>
      <c r="H20" s="106" cm="1">
        <f t="array" ref="H20">IF($AD20="","",$AA20-$J20-$P20-$O20)</f>
        <v>46335</v>
      </c>
      <c r="I20" s="105"/>
      <c r="J20" s="114">
        <v>7</v>
      </c>
      <c r="K20" s="115"/>
      <c r="L20" s="116"/>
      <c r="M20" s="106"/>
      <c r="N20" s="105"/>
      <c r="O20" s="117">
        <v>7</v>
      </c>
      <c r="P20" s="114">
        <v>14</v>
      </c>
      <c r="Q20" s="106"/>
      <c r="R20" s="105"/>
      <c r="S20" s="105"/>
      <c r="T20" s="105"/>
      <c r="U20" s="105"/>
      <c r="V20" s="105"/>
      <c r="W20" s="105"/>
      <c r="X20" s="105"/>
      <c r="Y20" s="105"/>
      <c r="Z20" s="107"/>
      <c r="AA20" s="106" cm="1">
        <f t="array" ref="AA20">IF(AD20="","",AD20-AC20)</f>
        <v>46363</v>
      </c>
      <c r="AB20" s="107"/>
      <c r="AC20" s="118">
        <v>14</v>
      </c>
      <c r="AD20" s="102">
        <v>46377</v>
      </c>
      <c r="AE20" s="135" t="inlineStr">
        <is>
          <t>工程変更 12/21</t>
        </is>
      </c>
      <c r="AF20" s="110"/>
      <c r="AG20" s="111"/>
      <c r="AH20" s="111"/>
      <c r="AI20" s="111"/>
      <c r="AJ20" s="111"/>
      <c r="AK20" s="111"/>
      <c r="AL20" s="111"/>
      <c r="AM20" s="111"/>
      <c r="AN20" s="111"/>
      <c r="AO20" s="111"/>
      <c r="AP20" s="28"/>
      <c r="AQ20" s="28"/>
      <c r="AR20" s="28"/>
    </row>
    <row r="21" spans="1:44" ht="22.5" customHeight="1">
      <c r="A21" s="14" cm="1">
        <f t="array" ref="A21">A20+1</f>
        <v>14</v>
      </c>
      <c r="B21" s="16" t="s">
        <v>194</v>
      </c>
      <c r="C21" s="22" t="s">
        <v>195</v>
      </c>
      <c r="D21" s="22" t="s">
        <v>196</v>
      </c>
      <c r="E21" s="102"/>
      <c r="F21" s="106" cm="1">
        <f t="array" ref="F21">IF($AD21="","",$H21-$G21)</f>
        <v>46301</v>
      </c>
      <c r="G21" s="114">
        <v>7</v>
      </c>
      <c r="H21" s="106" cm="1">
        <f t="array" ref="H21">IF($AD21="","",$AA21-$J21-$P21-$O21)</f>
        <v>46308</v>
      </c>
      <c r="I21" s="105"/>
      <c r="J21" s="114">
        <v>7</v>
      </c>
      <c r="K21" s="115"/>
      <c r="L21" s="116"/>
      <c r="M21" s="106"/>
      <c r="N21" s="105"/>
      <c r="O21" s="117">
        <v>7</v>
      </c>
      <c r="P21" s="114">
        <v>14</v>
      </c>
      <c r="Q21" s="106"/>
      <c r="R21" s="105"/>
      <c r="S21" s="105"/>
      <c r="T21" s="105"/>
      <c r="U21" s="105"/>
      <c r="V21" s="105"/>
      <c r="W21" s="105"/>
      <c r="X21" s="105"/>
      <c r="Y21" s="105"/>
      <c r="Z21" s="107"/>
      <c r="AA21" s="106" cm="1">
        <f t="array" ref="AA21">IF(AD21="","",AD21-AC21)</f>
        <v>46336</v>
      </c>
      <c r="AB21" s="107"/>
      <c r="AC21" s="118">
        <v>14</v>
      </c>
      <c r="AD21" s="102">
        <v>46350</v>
      </c>
      <c r="AE21" s="135" t="inlineStr">
        <is>
          <t>工程変更 11/24</t>
        </is>
      </c>
      <c r="AF21" s="110"/>
      <c r="AG21" s="111"/>
      <c r="AH21" s="111"/>
      <c r="AI21" s="111"/>
      <c r="AJ21" s="111"/>
      <c r="AK21" s="111"/>
      <c r="AL21" s="111"/>
      <c r="AM21" s="111"/>
      <c r="AN21" s="111"/>
      <c r="AO21" s="111"/>
      <c r="AP21" s="28"/>
      <c r="AQ21" s="28"/>
      <c r="AR21" s="28"/>
    </row>
    <row r="22" spans="1:44" ht="22.5" customHeight="1">
      <c r="A22" s="14" cm="1">
        <f t="array" ref="A22">A21+1</f>
        <v>15</v>
      </c>
      <c r="B22" s="16" t="s">
        <v>197</v>
      </c>
      <c r="C22" s="22" t="s">
        <v>198</v>
      </c>
      <c r="D22" s="22" t="s">
        <v>199</v>
      </c>
      <c r="E22" s="102"/>
      <c r="F22" s="106" cm="1">
        <f t="array" ref="F22">IF($AD22="","",$H22-$G22)</f>
        <v>46370</v>
      </c>
      <c r="G22" s="114">
        <v>7</v>
      </c>
      <c r="H22" s="106" cm="1">
        <f t="array" ref="H22">IF($AD22="","",$AA22-$J22-$P22-$O22)</f>
        <v>46377</v>
      </c>
      <c r="I22" s="105"/>
      <c r="J22" s="114">
        <v>7</v>
      </c>
      <c r="K22" s="115"/>
      <c r="L22" s="116"/>
      <c r="M22" s="106"/>
      <c r="N22" s="105"/>
      <c r="O22" s="117">
        <v>7</v>
      </c>
      <c r="P22" s="114">
        <v>7</v>
      </c>
      <c r="Q22" s="106"/>
      <c r="R22" s="105"/>
      <c r="S22" s="105"/>
      <c r="T22" s="105"/>
      <c r="U22" s="105"/>
      <c r="V22" s="105"/>
      <c r="W22" s="105"/>
      <c r="X22" s="105"/>
      <c r="Y22" s="105"/>
      <c r="Z22" s="107"/>
      <c r="AA22" s="106" cm="1">
        <f t="array" ref="AA22">IF(AD22="","",AD22-AC22)</f>
        <v>46398</v>
      </c>
      <c r="AB22" s="107"/>
      <c r="AC22" s="118">
        <v>14</v>
      </c>
      <c r="AD22" s="102">
        <v>46412</v>
      </c>
      <c r="AE22" s="135" t="inlineStr">
        <is>
          <t>工程変更 1/25</t>
        </is>
      </c>
      <c r="AF22" s="110"/>
      <c r="AG22" s="111"/>
      <c r="AH22" s="111"/>
      <c r="AI22" s="111"/>
      <c r="AJ22" s="111"/>
      <c r="AK22" s="111"/>
      <c r="AL22" s="111"/>
      <c r="AM22" s="111"/>
      <c r="AN22" s="111"/>
      <c r="AO22" s="111"/>
      <c r="AP22" s="28"/>
      <c r="AQ22" s="28"/>
      <c r="AR22" s="28"/>
    </row>
    <row r="23" spans="1:44" ht="22.5" customHeight="1">
      <c r="A23" s="14" cm="1">
        <f t="array" ref="A23">A22+1</f>
        <v>16</v>
      </c>
      <c r="B23" s="15"/>
      <c r="C23" s="21"/>
      <c r="D23" s="21"/>
      <c r="E23" s="102"/>
      <c r="F23" s="103" cm="1" t="str">
        <f t="array" ref="F23">IF($AD23="","",$H23-$G23)</f>
        <v/>
      </c>
      <c r="G23" s="104"/>
      <c r="H23" s="103" cm="1" t="str">
        <f t="array" ref="H23">IF($AD23="","",$AA23-$J23-$P23-$O23)</f>
        <v/>
      </c>
      <c r="I23" s="105"/>
      <c r="J23" s="104"/>
      <c r="K23" s="115"/>
      <c r="L23" s="116"/>
      <c r="M23" s="106"/>
      <c r="N23" s="105"/>
      <c r="O23" s="108"/>
      <c r="P23" s="104"/>
      <c r="Q23" s="106"/>
      <c r="R23" s="105"/>
      <c r="S23" s="105"/>
      <c r="T23" s="105"/>
      <c r="U23" s="105"/>
      <c r="V23" s="105"/>
      <c r="W23" s="105"/>
      <c r="X23" s="105"/>
      <c r="Y23" s="105"/>
      <c r="Z23" s="107"/>
      <c r="AA23" s="103" cm="1" t="str">
        <f t="array" ref="AA23">IF(AD23="","",AD23-AC23)</f>
        <v/>
      </c>
      <c r="AB23" s="107"/>
      <c r="AC23" s="99"/>
      <c r="AD23" s="102"/>
      <c r="AE23" s="109"/>
      <c r="AF23" s="110"/>
      <c r="AG23" s="111"/>
      <c r="AH23" s="111"/>
      <c r="AI23" s="111"/>
      <c r="AJ23" s="111"/>
      <c r="AK23" s="111"/>
      <c r="AL23" s="111"/>
      <c r="AM23" s="111"/>
      <c r="AN23" s="111"/>
      <c r="AO23" s="111"/>
      <c r="AP23" s="28"/>
      <c r="AQ23" s="28"/>
      <c r="AR23" s="28"/>
    </row>
    <row r="24" spans="1:44" ht="22.5" customHeight="1">
      <c r="A24" s="14" cm="1">
        <f t="array" ref="A24">A23+1</f>
        <v>17</v>
      </c>
      <c r="B24" s="15"/>
      <c r="C24" s="22" t="s">
        <v>200</v>
      </c>
      <c r="D24" s="21"/>
      <c r="E24" s="102"/>
      <c r="F24" s="103" cm="1" t="str">
        <f t="array" ref="F24">IF($AD24="","",$H24-$G24)</f>
        <v/>
      </c>
      <c r="G24" s="104"/>
      <c r="H24" s="103" cm="1" t="str">
        <f t="array" ref="H24">IF($AD24="","",$AA24-$J24-$P24-$O24)</f>
        <v/>
      </c>
      <c r="I24" s="105"/>
      <c r="J24" s="104"/>
      <c r="K24" s="115"/>
      <c r="L24" s="116"/>
      <c r="M24" s="106"/>
      <c r="N24" s="105"/>
      <c r="O24" s="108"/>
      <c r="P24" s="104"/>
      <c r="Q24" s="106"/>
      <c r="R24" s="105"/>
      <c r="S24" s="105"/>
      <c r="T24" s="105"/>
      <c r="U24" s="105"/>
      <c r="V24" s="105"/>
      <c r="W24" s="105"/>
      <c r="X24" s="105"/>
      <c r="Y24" s="105"/>
      <c r="Z24" s="107"/>
      <c r="AA24" s="103" cm="1" t="str">
        <f t="array" ref="AA24">IF(AD24="","",AD24-AC24)</f>
        <v/>
      </c>
      <c r="AB24" s="107"/>
      <c r="AC24" s="99"/>
      <c r="AD24" s="102"/>
      <c r="AE24" s="109"/>
      <c r="AF24" s="110"/>
      <c r="AG24" s="111"/>
      <c r="AH24" s="111"/>
      <c r="AI24" s="111"/>
      <c r="AJ24" s="111"/>
      <c r="AK24" s="111"/>
      <c r="AL24" s="111"/>
      <c r="AM24" s="111"/>
      <c r="AN24" s="111"/>
      <c r="AO24" s="111"/>
      <c r="AP24" s="28"/>
      <c r="AQ24" s="28"/>
      <c r="AR24" s="28"/>
    </row>
    <row r="25" spans="1:44" ht="22.5" customHeight="1">
      <c r="A25" s="14" cm="1">
        <f t="array" ref="A25">A24+1</f>
        <v>18</v>
      </c>
      <c r="B25" s="16" t="s">
        <v>201</v>
      </c>
      <c r="C25" s="22" t="s">
        <v>202</v>
      </c>
      <c r="D25" s="21"/>
      <c r="E25" s="102"/>
      <c r="F25" s="103" cm="1" t="str">
        <f t="array" ref="F25">IF($AD25="","",$H25-$G25)</f>
        <v/>
      </c>
      <c r="G25" s="104"/>
      <c r="H25" s="103" cm="1" t="str">
        <f t="array" ref="H25">IF($AD25="","",$AA25-$J25-$P25-$O25)</f>
        <v/>
      </c>
      <c r="I25" s="105"/>
      <c r="J25" s="104"/>
      <c r="K25" s="115"/>
      <c r="L25" s="116"/>
      <c r="M25" s="106"/>
      <c r="N25" s="105"/>
      <c r="O25" s="108"/>
      <c r="P25" s="104"/>
      <c r="Q25" s="106">
        <v>46325</v>
      </c>
      <c r="R25" s="105"/>
      <c r="S25" s="105"/>
      <c r="T25" s="105"/>
      <c r="U25" s="105"/>
      <c r="V25" s="105"/>
      <c r="W25" s="105"/>
      <c r="X25" s="105"/>
      <c r="Y25" s="105"/>
      <c r="Z25" s="107"/>
      <c r="AA25" s="103" cm="1" t="str">
        <f t="array" ref="AA25">IF(AD25="","",AD25-AC25)</f>
        <v/>
      </c>
      <c r="AB25" s="107"/>
      <c r="AC25" s="99"/>
      <c r="AD25" s="102"/>
      <c r="AE25" s="119" t="s">
        <v>284</v>
      </c>
      <c r="AF25" s="110"/>
      <c r="AG25" s="111"/>
      <c r="AH25" s="111"/>
      <c r="AI25" s="111"/>
      <c r="AJ25" s="111"/>
      <c r="AK25" s="111"/>
      <c r="AL25" s="111"/>
      <c r="AM25" s="111"/>
      <c r="AN25" s="111"/>
      <c r="AO25" s="111"/>
      <c r="AP25" s="28"/>
      <c r="AQ25" s="28"/>
      <c r="AR25" s="28"/>
    </row>
    <row r="26" spans="1:44" ht="22.5" customHeight="1">
      <c r="A26" s="14" cm="1">
        <f t="array" ref="A26">A25+1</f>
        <v>19</v>
      </c>
      <c r="B26" s="16" t="s">
        <v>203</v>
      </c>
      <c r="C26" s="22" t="s">
        <v>204</v>
      </c>
      <c r="D26" s="21"/>
      <c r="E26" s="102"/>
      <c r="F26" s="103" cm="1" t="str">
        <f t="array" ref="F26">IF($AD26="","",$H26-$G26)</f>
        <v/>
      </c>
      <c r="G26" s="104"/>
      <c r="H26" s="103" cm="1" t="str">
        <f t="array" ref="H26">IF($AD26="","",$AA26-$J26-$P26-$O26)</f>
        <v/>
      </c>
      <c r="I26" s="105"/>
      <c r="J26" s="104"/>
      <c r="K26" s="115"/>
      <c r="L26" s="116"/>
      <c r="M26" s="106"/>
      <c r="N26" s="105"/>
      <c r="O26" s="108"/>
      <c r="P26" s="104"/>
      <c r="Q26" s="106"/>
      <c r="R26" s="105"/>
      <c r="S26" s="105"/>
      <c r="T26" s="105"/>
      <c r="U26" s="105"/>
      <c r="V26" s="105"/>
      <c r="W26" s="105"/>
      <c r="X26" s="105"/>
      <c r="Y26" s="105"/>
      <c r="Z26" s="107"/>
      <c r="AA26" s="103" cm="1" t="str">
        <f t="array" ref="AA26">IF(AD26="","",AD26-AC26)</f>
        <v/>
      </c>
      <c r="AB26" s="107"/>
      <c r="AC26" s="99"/>
      <c r="AD26" s="102"/>
      <c r="AE26" s="119" t="s">
        <v>205</v>
      </c>
      <c r="AF26" s="110"/>
      <c r="AG26" s="111"/>
      <c r="AH26" s="111"/>
      <c r="AI26" s="111"/>
      <c r="AJ26" s="111"/>
      <c r="AK26" s="111"/>
      <c r="AL26" s="111"/>
      <c r="AM26" s="111"/>
      <c r="AN26" s="111"/>
      <c r="AO26" s="111"/>
      <c r="AP26" s="28"/>
      <c r="AQ26" s="28"/>
      <c r="AR26" s="28"/>
    </row>
    <row r="27" spans="1:44" ht="22.5" customHeight="1">
      <c r="A27" s="14" cm="1">
        <f t="array" ref="A27">A26+1</f>
        <v>20</v>
      </c>
      <c r="B27" s="15"/>
      <c r="C27" s="21"/>
      <c r="D27" s="21"/>
      <c r="E27" s="102"/>
      <c r="F27" s="103" cm="1" t="str">
        <f t="array" ref="F27">IF($AD27="","",$H27-$G27)</f>
        <v/>
      </c>
      <c r="G27" s="104"/>
      <c r="H27" s="103" cm="1" t="str">
        <f t="array" ref="H27">IF($AD27="","",$AA27-$J27-$P27-$O27)</f>
        <v/>
      </c>
      <c r="I27" s="105"/>
      <c r="J27" s="104"/>
      <c r="K27" s="115"/>
      <c r="L27" s="116"/>
      <c r="M27" s="106"/>
      <c r="N27" s="105"/>
      <c r="O27" s="108"/>
      <c r="P27" s="104"/>
      <c r="Q27" s="106"/>
      <c r="R27" s="105"/>
      <c r="S27" s="105"/>
      <c r="T27" s="105"/>
      <c r="U27" s="105"/>
      <c r="V27" s="105"/>
      <c r="W27" s="105"/>
      <c r="X27" s="105"/>
      <c r="Y27" s="105"/>
      <c r="Z27" s="107"/>
      <c r="AA27" s="103" cm="1" t="str">
        <f t="array" ref="AA27">IF(AD27="","",AD27-AC27)</f>
        <v/>
      </c>
      <c r="AB27" s="107"/>
      <c r="AC27" s="99"/>
      <c r="AD27" s="102"/>
      <c r="AE27" s="109"/>
      <c r="AF27" s="110"/>
      <c r="AG27" s="111"/>
      <c r="AH27" s="111"/>
      <c r="AI27" s="111"/>
      <c r="AJ27" s="111"/>
      <c r="AK27" s="111"/>
      <c r="AL27" s="111"/>
      <c r="AM27" s="111"/>
      <c r="AN27" s="111"/>
      <c r="AO27" s="111"/>
      <c r="AP27" s="28"/>
      <c r="AQ27" s="28"/>
      <c r="AR27" s="28"/>
    </row>
    <row r="28" spans="1:44" ht="22.5" customHeight="1">
      <c r="A28" s="14" cm="1">
        <f t="array" ref="A28">A27+1</f>
        <v>21</v>
      </c>
      <c r="B28" s="15"/>
      <c r="C28" s="21"/>
      <c r="D28" s="21"/>
      <c r="E28" s="102"/>
      <c r="F28" s="103" cm="1" t="str">
        <f t="array" ref="F28">IF($AD28="","",$H28-$G28)</f>
        <v/>
      </c>
      <c r="G28" s="104"/>
      <c r="H28" s="103" cm="1" t="str">
        <f t="array" ref="H28">IF($AD28="","",$AA28-$J28-$P28-$O28)</f>
        <v/>
      </c>
      <c r="I28" s="105"/>
      <c r="J28" s="104"/>
      <c r="K28" s="115"/>
      <c r="L28" s="116"/>
      <c r="M28" s="106"/>
      <c r="N28" s="105"/>
      <c r="O28" s="108"/>
      <c r="P28" s="104"/>
      <c r="Q28" s="106"/>
      <c r="R28" s="105"/>
      <c r="S28" s="105"/>
      <c r="T28" s="105"/>
      <c r="U28" s="105"/>
      <c r="V28" s="105"/>
      <c r="W28" s="105"/>
      <c r="X28" s="105"/>
      <c r="Y28" s="105"/>
      <c r="Z28" s="107"/>
      <c r="AA28" s="103" cm="1" t="str">
        <f t="array" ref="AA28">IF(AD28="","",AD28-AC28)</f>
        <v/>
      </c>
      <c r="AB28" s="107"/>
      <c r="AC28" s="99"/>
      <c r="AD28" s="102"/>
      <c r="AE28" s="109"/>
      <c r="AF28" s="110"/>
      <c r="AG28" s="111"/>
      <c r="AH28" s="111"/>
      <c r="AI28" s="111"/>
      <c r="AJ28" s="111"/>
      <c r="AK28" s="111"/>
      <c r="AL28" s="111"/>
      <c r="AM28" s="111"/>
      <c r="AN28" s="111"/>
      <c r="AO28" s="111"/>
      <c r="AP28" s="28"/>
      <c r="AQ28" s="28"/>
      <c r="AR28" s="28"/>
    </row>
    <row r="29" spans="1:44" ht="22.5" customHeight="1">
      <c r="A29" s="14" cm="1">
        <f t="array" ref="A29">A28+1</f>
        <v>22</v>
      </c>
      <c r="B29" s="15"/>
      <c r="C29" s="21"/>
      <c r="D29" s="21"/>
      <c r="E29" s="102"/>
      <c r="F29" s="103" cm="1" t="str">
        <f t="array" ref="F29">IF($AD29="","",$H29-$G29)</f>
        <v/>
      </c>
      <c r="G29" s="104"/>
      <c r="H29" s="103" cm="1" t="str">
        <f t="array" ref="H29">IF($AD29="","",$AA29-$J29-$P29-$O29)</f>
        <v/>
      </c>
      <c r="I29" s="105"/>
      <c r="J29" s="104"/>
      <c r="K29" s="115"/>
      <c r="L29" s="116"/>
      <c r="M29" s="106"/>
      <c r="N29" s="105"/>
      <c r="O29" s="108"/>
      <c r="P29" s="104"/>
      <c r="Q29" s="106"/>
      <c r="R29" s="105"/>
      <c r="S29" s="105"/>
      <c r="T29" s="105"/>
      <c r="U29" s="105"/>
      <c r="V29" s="105"/>
      <c r="W29" s="105"/>
      <c r="X29" s="105"/>
      <c r="Y29" s="105"/>
      <c r="Z29" s="107"/>
      <c r="AA29" s="103" cm="1" t="str">
        <f t="array" ref="AA29">IF(AD29="","",AD29-AC29)</f>
        <v/>
      </c>
      <c r="AB29" s="107"/>
      <c r="AC29" s="99"/>
      <c r="AD29" s="102"/>
      <c r="AE29" s="109"/>
      <c r="AF29" s="110"/>
      <c r="AG29" s="111"/>
      <c r="AH29" s="111"/>
      <c r="AI29" s="111"/>
      <c r="AJ29" s="111"/>
      <c r="AK29" s="111"/>
      <c r="AL29" s="111"/>
      <c r="AM29" s="111"/>
      <c r="AN29" s="111"/>
      <c r="AO29" s="111"/>
      <c r="AP29" s="28"/>
      <c r="AQ29" s="28"/>
      <c r="AR29" s="28"/>
    </row>
    <row r="30" spans="1:44" ht="22.5" customHeight="1">
      <c r="A30" s="14" cm="1">
        <f t="array" ref="A30">A29+1</f>
        <v>23</v>
      </c>
      <c r="B30" s="15"/>
      <c r="C30" s="21"/>
      <c r="D30" s="21"/>
      <c r="E30" s="102"/>
      <c r="F30" s="103" cm="1" t="str">
        <f t="array" ref="F30">IF($AD30="","",$H30-$G30)</f>
        <v/>
      </c>
      <c r="G30" s="104"/>
      <c r="H30" s="103" cm="1" t="str">
        <f t="array" ref="H30">IF($AD30="","",$AA30-$J30-$P30-$O30)</f>
        <v/>
      </c>
      <c r="I30" s="105"/>
      <c r="J30" s="104"/>
      <c r="K30" s="115"/>
      <c r="L30" s="116"/>
      <c r="M30" s="106"/>
      <c r="N30" s="105"/>
      <c r="O30" s="108"/>
      <c r="P30" s="104"/>
      <c r="Q30" s="106"/>
      <c r="R30" s="105"/>
      <c r="S30" s="105"/>
      <c r="T30" s="105"/>
      <c r="U30" s="105"/>
      <c r="V30" s="105"/>
      <c r="W30" s="105"/>
      <c r="X30" s="105"/>
      <c r="Y30" s="105"/>
      <c r="Z30" s="107"/>
      <c r="AA30" s="103" cm="1" t="str">
        <f t="array" ref="AA30">IF(AD30="","",AD30-AC30)</f>
        <v/>
      </c>
      <c r="AB30" s="107"/>
      <c r="AC30" s="99"/>
      <c r="AD30" s="102"/>
      <c r="AE30" s="109"/>
      <c r="AF30" s="110"/>
      <c r="AG30" s="111"/>
      <c r="AH30" s="111"/>
      <c r="AI30" s="111"/>
      <c r="AJ30" s="111"/>
      <c r="AK30" s="111"/>
      <c r="AL30" s="111"/>
      <c r="AM30" s="111"/>
      <c r="AN30" s="111"/>
      <c r="AO30" s="111"/>
      <c r="AP30" s="28"/>
      <c r="AQ30" s="28"/>
      <c r="AR30" s="28"/>
    </row>
    <row r="31" spans="1:44" ht="22.5" customHeight="1">
      <c r="A31" s="14" cm="1">
        <f t="array" ref="A31">A30+1</f>
        <v>24</v>
      </c>
      <c r="B31" s="15"/>
      <c r="C31" s="21"/>
      <c r="D31" s="21"/>
      <c r="E31" s="102"/>
      <c r="F31" s="103" cm="1" t="str">
        <f t="array" ref="F31">IF($AD31="","",$H31-$G31)</f>
        <v/>
      </c>
      <c r="G31" s="104"/>
      <c r="H31" s="103" cm="1" t="str">
        <f t="array" ref="H31">IF($AD31="","",$AA31-$J31-$P31-$O31)</f>
        <v/>
      </c>
      <c r="I31" s="105"/>
      <c r="J31" s="104"/>
      <c r="K31" s="115"/>
      <c r="L31" s="116"/>
      <c r="M31" s="106"/>
      <c r="N31" s="105"/>
      <c r="O31" s="108"/>
      <c r="P31" s="104"/>
      <c r="Q31" s="106"/>
      <c r="R31" s="105"/>
      <c r="S31" s="105"/>
      <c r="T31" s="105"/>
      <c r="U31" s="105"/>
      <c r="V31" s="105"/>
      <c r="W31" s="105"/>
      <c r="X31" s="105"/>
      <c r="Y31" s="105"/>
      <c r="Z31" s="107"/>
      <c r="AA31" s="103" cm="1" t="str">
        <f t="array" ref="AA31">IF(AD31="","",AD31-AC31)</f>
        <v/>
      </c>
      <c r="AB31" s="107"/>
      <c r="AC31" s="99"/>
      <c r="AD31" s="102"/>
      <c r="AE31" s="109"/>
      <c r="AF31" s="110"/>
      <c r="AG31" s="111"/>
      <c r="AH31" s="111"/>
      <c r="AI31" s="111"/>
      <c r="AJ31" s="111"/>
      <c r="AK31" s="111"/>
      <c r="AL31" s="111"/>
      <c r="AM31" s="111"/>
      <c r="AN31" s="111"/>
      <c r="AO31" s="111"/>
      <c r="AP31" s="28"/>
      <c r="AQ31" s="28"/>
      <c r="AR31" s="28"/>
    </row>
    <row r="32" spans="1:44" ht="22.5" customHeight="1">
      <c r="A32" s="14" cm="1">
        <f t="array" ref="A32">A31+1</f>
        <v>25</v>
      </c>
      <c r="B32" s="15"/>
      <c r="C32" s="21"/>
      <c r="D32" s="21"/>
      <c r="E32" s="102"/>
      <c r="F32" s="103" cm="1" t="str">
        <f t="array" ref="F32">IF($AD32="","",$H32-$G32)</f>
        <v/>
      </c>
      <c r="G32" s="104"/>
      <c r="H32" s="103" cm="1" t="str">
        <f t="array" ref="H32">IF($AD32="","",$AA32-$J32-$P32-$O32)</f>
        <v/>
      </c>
      <c r="I32" s="105"/>
      <c r="J32" s="104"/>
      <c r="K32" s="115"/>
      <c r="L32" s="116"/>
      <c r="M32" s="106"/>
      <c r="N32" s="105"/>
      <c r="O32" s="108"/>
      <c r="P32" s="104"/>
      <c r="Q32" s="106"/>
      <c r="R32" s="105"/>
      <c r="S32" s="105"/>
      <c r="T32" s="105"/>
      <c r="U32" s="105"/>
      <c r="V32" s="105"/>
      <c r="W32" s="105"/>
      <c r="X32" s="105"/>
      <c r="Y32" s="105"/>
      <c r="Z32" s="107"/>
      <c r="AA32" s="103" cm="1" t="str">
        <f t="array" ref="AA32">IF(AD32="","",AD32-AC32)</f>
        <v/>
      </c>
      <c r="AB32" s="107"/>
      <c r="AC32" s="99"/>
      <c r="AD32" s="102"/>
      <c r="AE32" s="109"/>
      <c r="AF32" s="110"/>
      <c r="AG32" s="111"/>
      <c r="AH32" s="111"/>
      <c r="AI32" s="111"/>
      <c r="AJ32" s="111"/>
      <c r="AK32" s="111"/>
      <c r="AL32" s="111"/>
      <c r="AM32" s="111"/>
      <c r="AN32" s="111"/>
      <c r="AO32" s="111"/>
      <c r="AP32" s="28"/>
      <c r="AQ32" s="28"/>
      <c r="AR32" s="28"/>
    </row>
    <row r="33" spans="1:44" ht="22.5" customHeight="1">
      <c r="A33" s="14" cm="1">
        <f t="array" ref="A33">A32+1</f>
        <v>26</v>
      </c>
      <c r="B33" s="15"/>
      <c r="C33" s="21"/>
      <c r="D33" s="21"/>
      <c r="E33" s="102"/>
      <c r="F33" s="103" cm="1" t="str">
        <f t="array" ref="F33">IF($AD33="","",$H33-$G33)</f>
        <v/>
      </c>
      <c r="G33" s="104"/>
      <c r="H33" s="103" cm="1" t="str">
        <f t="array" ref="H33">IF($AD33="","",$AA33-$J33-$P33-$O33)</f>
        <v/>
      </c>
      <c r="I33" s="105"/>
      <c r="J33" s="104"/>
      <c r="K33" s="115"/>
      <c r="L33" s="116"/>
      <c r="M33" s="106"/>
      <c r="N33" s="105"/>
      <c r="O33" s="108"/>
      <c r="P33" s="104"/>
      <c r="Q33" s="106"/>
      <c r="R33" s="105"/>
      <c r="S33" s="105"/>
      <c r="T33" s="105"/>
      <c r="U33" s="105"/>
      <c r="V33" s="105"/>
      <c r="W33" s="105"/>
      <c r="X33" s="105"/>
      <c r="Y33" s="105"/>
      <c r="Z33" s="107"/>
      <c r="AA33" s="103" cm="1" t="str">
        <f t="array" ref="AA33">IF(AD33="","",AD33-AC33)</f>
        <v/>
      </c>
      <c r="AB33" s="107"/>
      <c r="AC33" s="99"/>
      <c r="AD33" s="102"/>
      <c r="AE33" s="109"/>
      <c r="AF33" s="110"/>
      <c r="AG33" s="111"/>
      <c r="AH33" s="111"/>
      <c r="AI33" s="111"/>
      <c r="AJ33" s="111"/>
      <c r="AK33" s="111"/>
      <c r="AL33" s="111"/>
      <c r="AM33" s="111"/>
      <c r="AN33" s="111"/>
      <c r="AO33" s="111"/>
      <c r="AP33" s="28"/>
      <c r="AQ33" s="28"/>
      <c r="AR33" s="28"/>
    </row>
    <row r="34" spans="1:44" ht="22.5" customHeight="1">
      <c r="A34" s="14" cm="1">
        <f t="array" ref="A34">A33+1</f>
        <v>27</v>
      </c>
      <c r="B34" s="15"/>
      <c r="C34" s="21"/>
      <c r="D34" s="21"/>
      <c r="E34" s="102"/>
      <c r="F34" s="103" cm="1" t="str">
        <f t="array" ref="F34">IF($AD34="","",$H34-$G34)</f>
        <v/>
      </c>
      <c r="G34" s="104"/>
      <c r="H34" s="103" cm="1" t="str">
        <f t="array" ref="H34">IF($AD34="","",$AA34-$J34-$P34-$O34)</f>
        <v/>
      </c>
      <c r="I34" s="105"/>
      <c r="J34" s="104"/>
      <c r="K34" s="115"/>
      <c r="L34" s="116"/>
      <c r="M34" s="106"/>
      <c r="N34" s="105"/>
      <c r="O34" s="108"/>
      <c r="P34" s="104"/>
      <c r="Q34" s="106"/>
      <c r="R34" s="105"/>
      <c r="S34" s="105"/>
      <c r="T34" s="105"/>
      <c r="U34" s="105"/>
      <c r="V34" s="105"/>
      <c r="W34" s="105"/>
      <c r="X34" s="105"/>
      <c r="Y34" s="105"/>
      <c r="Z34" s="107"/>
      <c r="AA34" s="103" cm="1" t="str">
        <f t="array" ref="AA34">IF(AD34="","",AD34-AC34)</f>
        <v/>
      </c>
      <c r="AB34" s="107"/>
      <c r="AC34" s="99"/>
      <c r="AD34" s="102"/>
      <c r="AE34" s="109"/>
      <c r="AF34" s="110"/>
      <c r="AG34" s="111"/>
      <c r="AH34" s="111"/>
      <c r="AI34" s="111"/>
      <c r="AJ34" s="111"/>
      <c r="AK34" s="111"/>
      <c r="AL34" s="111"/>
      <c r="AM34" s="111"/>
      <c r="AN34" s="111"/>
      <c r="AO34" s="111"/>
      <c r="AP34" s="28"/>
      <c r="AQ34" s="28"/>
      <c r="AR34" s="28"/>
    </row>
    <row r="35" spans="1:44" ht="22.5" customHeight="1">
      <c r="A35" s="14" cm="1">
        <f t="array" ref="A35">A34+1</f>
        <v>28</v>
      </c>
      <c r="B35" s="15"/>
      <c r="C35" s="21"/>
      <c r="D35" s="21"/>
      <c r="E35" s="102"/>
      <c r="F35" s="103" cm="1" t="str">
        <f t="array" ref="F35">IF($AD35="","",$H35-$G35)</f>
        <v/>
      </c>
      <c r="G35" s="104"/>
      <c r="H35" s="103" cm="1" t="str">
        <f t="array" ref="H35">IF($AD35="","",$AA35-$J35-$P35-$O35)</f>
        <v/>
      </c>
      <c r="I35" s="105"/>
      <c r="J35" s="104"/>
      <c r="K35" s="115"/>
      <c r="L35" s="116"/>
      <c r="M35" s="106"/>
      <c r="N35" s="105"/>
      <c r="O35" s="108"/>
      <c r="P35" s="104"/>
      <c r="Q35" s="106"/>
      <c r="R35" s="105"/>
      <c r="S35" s="105"/>
      <c r="T35" s="105"/>
      <c r="U35" s="105"/>
      <c r="V35" s="105"/>
      <c r="W35" s="105"/>
      <c r="X35" s="105"/>
      <c r="Y35" s="105"/>
      <c r="Z35" s="107"/>
      <c r="AA35" s="103" cm="1" t="str">
        <f t="array" ref="AA35">IF(AD35="","",AD35-AC35)</f>
        <v/>
      </c>
      <c r="AB35" s="107"/>
      <c r="AC35" s="99"/>
      <c r="AD35" s="102"/>
      <c r="AE35" s="109"/>
      <c r="AF35" s="110"/>
      <c r="AG35" s="111"/>
      <c r="AH35" s="111"/>
      <c r="AI35" s="111"/>
      <c r="AJ35" s="111"/>
      <c r="AK35" s="111"/>
      <c r="AL35" s="111"/>
      <c r="AM35" s="111"/>
      <c r="AN35" s="111"/>
      <c r="AO35" s="111"/>
      <c r="AP35" s="28"/>
      <c r="AQ35" s="28"/>
      <c r="AR35" s="28"/>
    </row>
    <row r="36" spans="1:44" ht="22.5" customHeight="1">
      <c r="A36" s="14" cm="1">
        <f t="array" ref="A36">A35+1</f>
        <v>29</v>
      </c>
      <c r="B36" s="15"/>
      <c r="C36" s="21"/>
      <c r="D36" s="21"/>
      <c r="E36" s="102"/>
      <c r="F36" s="103" cm="1" t="str">
        <f t="array" ref="F36">IF($AD36="","",$H36-$G36)</f>
        <v/>
      </c>
      <c r="G36" s="104"/>
      <c r="H36" s="103" cm="1" t="str">
        <f t="array" ref="H36">IF($AD36="","",$AA36-$J36-$P36-$O36)</f>
        <v/>
      </c>
      <c r="I36" s="105"/>
      <c r="J36" s="104"/>
      <c r="K36" s="115"/>
      <c r="L36" s="116"/>
      <c r="M36" s="106"/>
      <c r="N36" s="105"/>
      <c r="O36" s="108"/>
      <c r="P36" s="104"/>
      <c r="Q36" s="106"/>
      <c r="R36" s="105"/>
      <c r="S36" s="105"/>
      <c r="T36" s="105"/>
      <c r="U36" s="105"/>
      <c r="V36" s="105"/>
      <c r="W36" s="105"/>
      <c r="X36" s="105"/>
      <c r="Y36" s="105"/>
      <c r="Z36" s="107"/>
      <c r="AA36" s="103" cm="1" t="str">
        <f t="array" ref="AA36">IF(AD36="","",AD36-AC36)</f>
        <v/>
      </c>
      <c r="AB36" s="107"/>
      <c r="AC36" s="99"/>
      <c r="AD36" s="102"/>
      <c r="AE36" s="109"/>
      <c r="AF36" s="110"/>
      <c r="AG36" s="111"/>
      <c r="AH36" s="111"/>
      <c r="AI36" s="111"/>
      <c r="AJ36" s="111"/>
      <c r="AK36" s="111"/>
      <c r="AL36" s="111"/>
      <c r="AM36" s="111"/>
      <c r="AN36" s="111"/>
      <c r="AO36" s="111"/>
      <c r="AP36" s="28"/>
      <c r="AQ36" s="28"/>
      <c r="AR36" s="28"/>
    </row>
    <row r="37" spans="1:44" ht="22.5" customHeight="1">
      <c r="A37" s="14" cm="1">
        <f t="array" ref="A37">A36+1</f>
        <v>30</v>
      </c>
      <c r="B37" s="15"/>
      <c r="C37" s="22" t="s">
        <v>206</v>
      </c>
      <c r="D37" s="21"/>
      <c r="E37" s="102"/>
      <c r="F37" s="103" cm="1" t="str">
        <f t="array" ref="F37">IF($AD37="","",$H37-$G37)</f>
        <v/>
      </c>
      <c r="G37" s="104"/>
      <c r="H37" s="103" cm="1" t="str">
        <f t="array" ref="H37">IF($AD37="","",$AA37-$J37-$P37-$O37)</f>
        <v/>
      </c>
      <c r="I37" s="105"/>
      <c r="J37" s="104"/>
      <c r="K37" s="115"/>
      <c r="L37" s="116"/>
      <c r="M37" s="106"/>
      <c r="N37" s="105"/>
      <c r="O37" s="108"/>
      <c r="P37" s="104"/>
      <c r="Q37" s="106"/>
      <c r="R37" s="105"/>
      <c r="S37" s="105"/>
      <c r="T37" s="105"/>
      <c r="U37" s="105"/>
      <c r="V37" s="105"/>
      <c r="W37" s="105"/>
      <c r="X37" s="105"/>
      <c r="Y37" s="105"/>
      <c r="Z37" s="107"/>
      <c r="AA37" s="103" cm="1" t="str">
        <f t="array" ref="AA37">IF(AD37="","",AD37-AC37)</f>
        <v/>
      </c>
      <c r="AB37" s="107"/>
      <c r="AC37" s="99"/>
      <c r="AD37" s="102"/>
      <c r="AE37" s="109"/>
      <c r="AF37" s="110"/>
      <c r="AG37" s="111"/>
      <c r="AH37" s="111"/>
      <c r="AI37" s="111"/>
      <c r="AJ37" s="111"/>
      <c r="AK37" s="111"/>
      <c r="AL37" s="111"/>
      <c r="AM37" s="111"/>
      <c r="AN37" s="111"/>
      <c r="AO37" s="111"/>
      <c r="AP37" s="28"/>
      <c r="AQ37" s="28"/>
      <c r="AR37" s="28"/>
    </row>
    <row r="38" spans="1:44" ht="22.5" customHeight="1">
      <c r="A38" s="14" cm="1">
        <f t="array" ref="A38">A37+1</f>
        <v>31</v>
      </c>
      <c r="B38" s="15"/>
      <c r="C38" s="22" t="s">
        <v>207</v>
      </c>
      <c r="D38" s="21"/>
      <c r="E38" s="102"/>
      <c r="F38" s="103" cm="1" t="str">
        <f t="array" ref="F38">IF($AD38="","",$H38-$G38)</f>
        <v/>
      </c>
      <c r="G38" s="104"/>
      <c r="H38" s="103" cm="1" t="str">
        <f t="array" ref="H38">IF($AD38="","",$AA38-$J38-$P38-$O38)</f>
        <v/>
      </c>
      <c r="I38" s="105"/>
      <c r="J38" s="104"/>
      <c r="K38" s="115"/>
      <c r="L38" s="116"/>
      <c r="M38" s="106"/>
      <c r="N38" s="105"/>
      <c r="O38" s="108"/>
      <c r="P38" s="104"/>
      <c r="Q38" s="106"/>
      <c r="R38" s="105"/>
      <c r="S38" s="105"/>
      <c r="T38" s="105"/>
      <c r="U38" s="105"/>
      <c r="V38" s="105"/>
      <c r="W38" s="105"/>
      <c r="X38" s="105"/>
      <c r="Y38" s="105"/>
      <c r="Z38" s="107"/>
      <c r="AA38" s="103" cm="1" t="str">
        <f t="array" ref="AA38">IF(AD38="","",AD38-AC38)</f>
        <v/>
      </c>
      <c r="AB38" s="107"/>
      <c r="AC38" s="99"/>
      <c r="AD38" s="102"/>
      <c r="AE38" s="109"/>
      <c r="AF38" s="110"/>
      <c r="AG38" s="111"/>
      <c r="AH38" s="111"/>
      <c r="AI38" s="111"/>
      <c r="AJ38" s="111"/>
      <c r="AK38" s="111"/>
      <c r="AL38" s="111"/>
      <c r="AM38" s="111"/>
      <c r="AN38" s="111"/>
      <c r="AO38" s="111"/>
      <c r="AP38" s="28"/>
      <c r="AQ38" s="28"/>
      <c r="AR38" s="28"/>
    </row>
    <row r="39" spans="1:44" ht="22.5" customHeight="1">
      <c r="A39" s="14" cm="1">
        <f t="array" ref="A39">A38+1</f>
        <v>32</v>
      </c>
      <c r="B39" s="15"/>
      <c r="C39" s="22" t="s">
        <v>208</v>
      </c>
      <c r="D39" s="21"/>
      <c r="E39" s="102"/>
      <c r="F39" s="103" cm="1" t="str">
        <f t="array" ref="F39">IF($AD39="","",$H39-$G39)</f>
        <v/>
      </c>
      <c r="G39" s="104"/>
      <c r="H39" s="103" cm="1" t="str">
        <f t="array" ref="H39">IF($AD39="","",$AA39-$J39-$P39-$O39)</f>
        <v/>
      </c>
      <c r="I39" s="105"/>
      <c r="J39" s="104"/>
      <c r="K39" s="115"/>
      <c r="L39" s="116"/>
      <c r="M39" s="106"/>
      <c r="N39" s="105"/>
      <c r="O39" s="108"/>
      <c r="P39" s="104"/>
      <c r="Q39" s="106"/>
      <c r="R39" s="105"/>
      <c r="S39" s="105"/>
      <c r="T39" s="105"/>
      <c r="U39" s="105"/>
      <c r="V39" s="105"/>
      <c r="W39" s="105"/>
      <c r="X39" s="105"/>
      <c r="Y39" s="105"/>
      <c r="Z39" s="107"/>
      <c r="AA39" s="103" cm="1" t="str">
        <f t="array" ref="AA39">IF(AD39="","",AD39-AC39)</f>
        <v/>
      </c>
      <c r="AB39" s="107"/>
      <c r="AC39" s="99"/>
      <c r="AD39" s="102"/>
      <c r="AE39" s="109"/>
      <c r="AF39" s="110"/>
      <c r="AG39" s="111"/>
      <c r="AH39" s="111"/>
      <c r="AI39" s="111"/>
      <c r="AJ39" s="111"/>
      <c r="AK39" s="111"/>
      <c r="AL39" s="111"/>
      <c r="AM39" s="111"/>
      <c r="AN39" s="111"/>
      <c r="AO39" s="111"/>
      <c r="AP39" s="28"/>
      <c r="AQ39" s="28"/>
      <c r="AR39" s="28"/>
    </row>
    <row r="40" spans="1:44" ht="22.5" customHeight="1">
      <c r="A40" s="14" cm="1">
        <f t="array" ref="A40">A39+1</f>
        <v>33</v>
      </c>
      <c r="B40" s="15"/>
      <c r="C40" s="22" t="s">
        <v>209</v>
      </c>
      <c r="D40" s="21"/>
      <c r="E40" s="102"/>
      <c r="F40" s="103" cm="1" t="str">
        <f t="array" ref="F40">IF($AD40="","",$H40-$G40)</f>
        <v/>
      </c>
      <c r="G40" s="104"/>
      <c r="H40" s="103" cm="1" t="str">
        <f t="array" ref="H40">IF($AD40="","",$AA40-$J40-$P40-$O40)</f>
        <v/>
      </c>
      <c r="I40" s="105"/>
      <c r="J40" s="104"/>
      <c r="K40" s="115"/>
      <c r="L40" s="116"/>
      <c r="M40" s="106"/>
      <c r="N40" s="105"/>
      <c r="O40" s="108"/>
      <c r="P40" s="104"/>
      <c r="Q40" s="106"/>
      <c r="R40" s="105"/>
      <c r="S40" s="105"/>
      <c r="T40" s="105"/>
      <c r="U40" s="105"/>
      <c r="V40" s="105"/>
      <c r="W40" s="105"/>
      <c r="X40" s="105"/>
      <c r="Y40" s="105"/>
      <c r="Z40" s="107"/>
      <c r="AA40" s="103" cm="1" t="str">
        <f t="array" ref="AA40">IF(AD40="","",AD40-AC40)</f>
        <v/>
      </c>
      <c r="AB40" s="107"/>
      <c r="AC40" s="99"/>
      <c r="AD40" s="102"/>
      <c r="AE40" s="109"/>
      <c r="AF40" s="110"/>
      <c r="AG40" s="111"/>
      <c r="AH40" s="111"/>
      <c r="AI40" s="111"/>
      <c r="AJ40" s="111"/>
      <c r="AK40" s="111"/>
      <c r="AL40" s="111"/>
      <c r="AM40" s="111"/>
      <c r="AN40" s="111"/>
      <c r="AO40" s="111"/>
      <c r="AP40" s="28"/>
      <c r="AQ40" s="28"/>
      <c r="AR40" s="28"/>
    </row>
    <row r="41" spans="1:44" ht="22.5" customHeight="1">
      <c r="A41" s="14" cm="1">
        <f t="array" ref="A41">A40+1</f>
        <v>34</v>
      </c>
      <c r="B41" s="15"/>
      <c r="C41" s="22" t="s">
        <v>169</v>
      </c>
      <c r="D41" s="21"/>
      <c r="E41" s="102"/>
      <c r="F41" s="103" cm="1" t="str">
        <f t="array" ref="F41">IF($AD41="","",$H41-$G41)</f>
        <v/>
      </c>
      <c r="G41" s="104"/>
      <c r="H41" s="103" cm="1" t="str">
        <f t="array" ref="H41">IF($AD41="","",$AA41-$J41-$P41-$O41)</f>
        <v/>
      </c>
      <c r="I41" s="105"/>
      <c r="J41" s="104"/>
      <c r="K41" s="115"/>
      <c r="L41" s="116"/>
      <c r="M41" s="106"/>
      <c r="N41" s="105"/>
      <c r="O41" s="108"/>
      <c r="P41" s="104"/>
      <c r="Q41" s="106"/>
      <c r="R41" s="105"/>
      <c r="S41" s="105"/>
      <c r="T41" s="105"/>
      <c r="U41" s="105"/>
      <c r="V41" s="105"/>
      <c r="W41" s="105"/>
      <c r="X41" s="105"/>
      <c r="Y41" s="105"/>
      <c r="Z41" s="107"/>
      <c r="AA41" s="103" cm="1" t="str">
        <f t="array" ref="AA41">IF(AD41="","",AD41-AC41)</f>
        <v/>
      </c>
      <c r="AB41" s="107"/>
      <c r="AC41" s="99"/>
      <c r="AD41" s="102"/>
      <c r="AE41" s="109"/>
      <c r="AF41" s="110"/>
      <c r="AG41" s="111"/>
      <c r="AH41" s="111"/>
      <c r="AI41" s="111"/>
      <c r="AJ41" s="111"/>
      <c r="AK41" s="111"/>
      <c r="AL41" s="111"/>
      <c r="AM41" s="111"/>
      <c r="AN41" s="111"/>
      <c r="AO41" s="111"/>
      <c r="AP41" s="28"/>
      <c r="AQ41" s="28"/>
      <c r="AR41" s="28"/>
    </row>
    <row r="42" spans="1:44" ht="22.5" customHeight="1">
      <c r="A42" s="14" cm="1">
        <f t="array" ref="A42">A41+1</f>
        <v>35</v>
      </c>
      <c r="B42" s="15"/>
      <c r="C42" s="22" t="s">
        <v>210</v>
      </c>
      <c r="D42" s="21"/>
      <c r="E42" s="102"/>
      <c r="F42" s="103" cm="1" t="str">
        <f t="array" ref="F42">IF($AD42="","",$H42-$G42)</f>
        <v/>
      </c>
      <c r="G42" s="104"/>
      <c r="H42" s="103" cm="1" t="str">
        <f t="array" ref="H42">IF($AD42="","",$AA42-$J42-$P42-$O42)</f>
        <v/>
      </c>
      <c r="I42" s="105"/>
      <c r="J42" s="104"/>
      <c r="K42" s="115"/>
      <c r="L42" s="116"/>
      <c r="M42" s="106"/>
      <c r="N42" s="105"/>
      <c r="O42" s="108"/>
      <c r="P42" s="104"/>
      <c r="Q42" s="106"/>
      <c r="R42" s="105"/>
      <c r="S42" s="105"/>
      <c r="T42" s="105"/>
      <c r="U42" s="105"/>
      <c r="V42" s="105"/>
      <c r="W42" s="105"/>
      <c r="X42" s="105"/>
      <c r="Y42" s="105"/>
      <c r="Z42" s="107"/>
      <c r="AA42" s="103" cm="1" t="str">
        <f t="array" ref="AA42">IF(AD42="","",AD42-AC42)</f>
        <v/>
      </c>
      <c r="AB42" s="107"/>
      <c r="AC42" s="99"/>
      <c r="AD42" s="102"/>
      <c r="AE42" s="109"/>
      <c r="AF42" s="110"/>
      <c r="AG42" s="111"/>
      <c r="AH42" s="111"/>
      <c r="AI42" s="111"/>
      <c r="AJ42" s="111"/>
      <c r="AK42" s="111"/>
      <c r="AL42" s="111"/>
      <c r="AM42" s="111"/>
      <c r="AN42" s="111"/>
      <c r="AO42" s="111"/>
      <c r="AP42" s="28"/>
      <c r="AQ42" s="28"/>
      <c r="AR42" s="28"/>
    </row>
    <row r="43" spans="1:44" ht="22.5" customHeight="1">
      <c r="A43" s="14" cm="1">
        <f t="array" ref="A43">A42+1</f>
        <v>36</v>
      </c>
      <c r="B43" s="15"/>
      <c r="C43" s="22" t="s">
        <v>195</v>
      </c>
      <c r="D43" s="21"/>
      <c r="E43" s="102"/>
      <c r="F43" s="103" cm="1" t="str">
        <f t="array" ref="F43">IF($AD43="","",$H43-$G43)</f>
        <v/>
      </c>
      <c r="G43" s="104"/>
      <c r="H43" s="103" cm="1" t="str">
        <f t="array" ref="H43">IF($AD43="","",$AA43-$J43-$P43-$O43)</f>
        <v/>
      </c>
      <c r="I43" s="105"/>
      <c r="J43" s="104"/>
      <c r="K43" s="115"/>
      <c r="L43" s="116"/>
      <c r="M43" s="106"/>
      <c r="N43" s="105"/>
      <c r="O43" s="108"/>
      <c r="P43" s="104"/>
      <c r="Q43" s="106"/>
      <c r="R43" s="105"/>
      <c r="S43" s="105"/>
      <c r="T43" s="105"/>
      <c r="U43" s="105"/>
      <c r="V43" s="105"/>
      <c r="W43" s="105"/>
      <c r="X43" s="105"/>
      <c r="Y43" s="105"/>
      <c r="Z43" s="107"/>
      <c r="AA43" s="103" cm="1" t="str">
        <f t="array" ref="AA43">IF(AD43="","",AD43-AC43)</f>
        <v/>
      </c>
      <c r="AB43" s="107"/>
      <c r="AC43" s="99"/>
      <c r="AD43" s="102"/>
      <c r="AE43" s="109"/>
      <c r="AF43" s="110"/>
      <c r="AG43" s="111"/>
      <c r="AH43" s="111"/>
      <c r="AI43" s="111"/>
      <c r="AJ43" s="111"/>
      <c r="AK43" s="111"/>
      <c r="AL43" s="111"/>
      <c r="AM43" s="111"/>
      <c r="AN43" s="111"/>
      <c r="AO43" s="111"/>
      <c r="AP43" s="28"/>
      <c r="AQ43" s="28"/>
      <c r="AR43" s="28"/>
    </row>
    <row r="44" spans="1:44" ht="22.5" customHeight="1">
      <c r="A44" s="14" cm="1">
        <f t="array" ref="A44">A43+1</f>
        <v>37</v>
      </c>
      <c r="B44" s="15"/>
      <c r="C44" s="22" t="s">
        <v>211</v>
      </c>
      <c r="D44" s="21"/>
      <c r="E44" s="102"/>
      <c r="F44" s="103" cm="1" t="str">
        <f t="array" ref="F44">IF($AD44="","",$H44-$G44)</f>
        <v/>
      </c>
      <c r="G44" s="104"/>
      <c r="H44" s="103" cm="1" t="str">
        <f t="array" ref="H44">IF($AD44="","",$AA44-$J44-$P44-$O44)</f>
        <v/>
      </c>
      <c r="I44" s="105"/>
      <c r="J44" s="104"/>
      <c r="K44" s="115"/>
      <c r="L44" s="116"/>
      <c r="M44" s="106"/>
      <c r="N44" s="105"/>
      <c r="O44" s="108"/>
      <c r="P44" s="104"/>
      <c r="Q44" s="106"/>
      <c r="R44" s="105"/>
      <c r="S44" s="105"/>
      <c r="T44" s="105"/>
      <c r="U44" s="105"/>
      <c r="V44" s="105"/>
      <c r="W44" s="105"/>
      <c r="X44" s="105"/>
      <c r="Y44" s="105"/>
      <c r="Z44" s="107"/>
      <c r="AA44" s="103" cm="1" t="str">
        <f t="array" ref="AA44">IF(AD44="","",AD44-AC44)</f>
        <v/>
      </c>
      <c r="AB44" s="107"/>
      <c r="AC44" s="99"/>
      <c r="AD44" s="102"/>
      <c r="AE44" s="109"/>
      <c r="AF44" s="110"/>
      <c r="AG44" s="111"/>
      <c r="AH44" s="111"/>
      <c r="AI44" s="111"/>
      <c r="AJ44" s="111"/>
      <c r="AK44" s="111"/>
      <c r="AL44" s="111"/>
      <c r="AM44" s="111"/>
      <c r="AN44" s="111"/>
      <c r="AO44" s="111"/>
      <c r="AP44" s="28"/>
      <c r="AQ44" s="28"/>
      <c r="AR44" s="28"/>
    </row>
    <row r="45" spans="1:44" ht="22.5" customHeight="1">
      <c r="A45" s="14" cm="1">
        <f t="array" ref="A45">A44+1</f>
        <v>38</v>
      </c>
      <c r="B45" s="15"/>
      <c r="C45" s="22" t="s">
        <v>192</v>
      </c>
      <c r="D45" s="21"/>
      <c r="E45" s="102"/>
      <c r="F45" s="103" cm="1" t="str">
        <f t="array" ref="F45">IF($AD45="","",$H45-$G45)</f>
        <v/>
      </c>
      <c r="G45" s="104"/>
      <c r="H45" s="103" cm="1" t="str">
        <f t="array" ref="H45">IF($AD45="","",$AA45-$J45-$P45-$O45)</f>
        <v/>
      </c>
      <c r="I45" s="105"/>
      <c r="J45" s="104"/>
      <c r="K45" s="115"/>
      <c r="L45" s="116"/>
      <c r="M45" s="106"/>
      <c r="N45" s="105"/>
      <c r="O45" s="108"/>
      <c r="P45" s="104"/>
      <c r="Q45" s="106"/>
      <c r="R45" s="105"/>
      <c r="S45" s="105"/>
      <c r="T45" s="105"/>
      <c r="U45" s="105"/>
      <c r="V45" s="105"/>
      <c r="W45" s="105"/>
      <c r="X45" s="105"/>
      <c r="Y45" s="105"/>
      <c r="Z45" s="107"/>
      <c r="AA45" s="103" cm="1" t="str">
        <f t="array" ref="AA45">IF(AD45="","",AD45-AC45)</f>
        <v/>
      </c>
      <c r="AB45" s="107"/>
      <c r="AC45" s="99"/>
      <c r="AD45" s="102"/>
      <c r="AE45" s="109"/>
      <c r="AF45" s="110"/>
      <c r="AG45" s="111"/>
      <c r="AH45" s="111"/>
      <c r="AI45" s="111"/>
      <c r="AJ45" s="111"/>
      <c r="AK45" s="111"/>
      <c r="AL45" s="111"/>
      <c r="AM45" s="111"/>
      <c r="AN45" s="111"/>
      <c r="AO45" s="111"/>
      <c r="AP45" s="28"/>
      <c r="AQ45" s="28"/>
      <c r="AR45" s="28"/>
    </row>
    <row r="46" spans="1:44" ht="22.5" customHeight="1">
      <c r="A46" s="14" cm="1">
        <f t="array" ref="A46">A45+1</f>
        <v>39</v>
      </c>
      <c r="B46" s="15"/>
      <c r="C46" s="21"/>
      <c r="D46" s="21"/>
      <c r="E46" s="102"/>
      <c r="F46" s="103" cm="1" t="str">
        <f t="array" ref="F46">IF($AD46="","",$H46-$G46)</f>
        <v/>
      </c>
      <c r="G46" s="104"/>
      <c r="H46" s="103" cm="1" t="str">
        <f t="array" ref="H46">IF($AD46="","",$AA46-$J46-$P46-$O46)</f>
        <v/>
      </c>
      <c r="I46" s="105"/>
      <c r="J46" s="104"/>
      <c r="K46" s="115"/>
      <c r="L46" s="116"/>
      <c r="M46" s="106"/>
      <c r="N46" s="105"/>
      <c r="O46" s="108"/>
      <c r="P46" s="104"/>
      <c r="Q46" s="106"/>
      <c r="R46" s="105"/>
      <c r="S46" s="105"/>
      <c r="T46" s="105"/>
      <c r="U46" s="105"/>
      <c r="V46" s="105"/>
      <c r="W46" s="105"/>
      <c r="X46" s="105"/>
      <c r="Y46" s="105"/>
      <c r="Z46" s="107"/>
      <c r="AA46" s="103" cm="1" t="str">
        <f t="array" ref="AA46">IF(AD46="","",AD46-AC46)</f>
        <v/>
      </c>
      <c r="AB46" s="107"/>
      <c r="AC46" s="99"/>
      <c r="AD46" s="102"/>
      <c r="AE46" s="109"/>
      <c r="AF46" s="110"/>
      <c r="AG46" s="111"/>
      <c r="AH46" s="111"/>
      <c r="AI46" s="111"/>
      <c r="AJ46" s="111"/>
      <c r="AK46" s="111"/>
      <c r="AL46" s="111"/>
      <c r="AM46" s="111"/>
      <c r="AN46" s="111"/>
      <c r="AO46" s="111"/>
      <c r="AP46" s="28"/>
      <c r="AQ46" s="28"/>
      <c r="AR46" s="28"/>
    </row>
    <row r="47" spans="1:44" ht="22.5" customHeight="1">
      <c r="A47" s="14" cm="1">
        <f t="array" ref="A47">A46+1</f>
        <v>40</v>
      </c>
      <c r="B47" s="15"/>
      <c r="C47" s="21"/>
      <c r="D47" s="21"/>
      <c r="E47" s="102"/>
      <c r="F47" s="103" cm="1" t="str">
        <f t="array" ref="F47">IF($AD47="","",$H47-$G47)</f>
        <v/>
      </c>
      <c r="G47" s="104"/>
      <c r="H47" s="103" cm="1" t="str">
        <f t="array" ref="H47">IF($AD47="","",$AA47-$J47-$P47-$O47)</f>
        <v/>
      </c>
      <c r="I47" s="105"/>
      <c r="J47" s="104"/>
      <c r="K47" s="115"/>
      <c r="L47" s="116"/>
      <c r="M47" s="106"/>
      <c r="N47" s="105"/>
      <c r="O47" s="108"/>
      <c r="P47" s="104"/>
      <c r="Q47" s="106"/>
      <c r="R47" s="105"/>
      <c r="S47" s="105"/>
      <c r="T47" s="105"/>
      <c r="U47" s="105"/>
      <c r="V47" s="105"/>
      <c r="W47" s="105"/>
      <c r="X47" s="105"/>
      <c r="Y47" s="105"/>
      <c r="Z47" s="107"/>
      <c r="AA47" s="103" cm="1" t="str">
        <f t="array" ref="AA47">IF(AD47="","",AD47-AC47)</f>
        <v/>
      </c>
      <c r="AB47" s="107"/>
      <c r="AC47" s="99"/>
      <c r="AD47" s="102"/>
      <c r="AE47" s="109"/>
      <c r="AF47" s="110"/>
      <c r="AG47" s="111"/>
      <c r="AH47" s="111"/>
      <c r="AI47" s="111"/>
      <c r="AJ47" s="111"/>
      <c r="AK47" s="111"/>
      <c r="AL47" s="111"/>
      <c r="AM47" s="111"/>
      <c r="AN47" s="111"/>
      <c r="AO47" s="111"/>
      <c r="AP47" s="28"/>
      <c r="AQ47" s="28"/>
      <c r="AR47" s="28"/>
    </row>
    <row r="48" spans="1:44" ht="22.5" customHeight="1">
      <c r="A48" s="14" cm="1">
        <f t="array" ref="A48">A47+1</f>
        <v>41</v>
      </c>
      <c r="B48" s="15"/>
      <c r="C48" s="21"/>
      <c r="D48" s="21"/>
      <c r="E48" s="102"/>
      <c r="F48" s="103" cm="1" t="str">
        <f t="array" ref="F48">IF($AD48="","",$H48-$G48)</f>
        <v/>
      </c>
      <c r="G48" s="104"/>
      <c r="H48" s="103" cm="1" t="str">
        <f t="array" ref="H48">IF($AD48="","",$AA48-$J48-$P48-$O48)</f>
        <v/>
      </c>
      <c r="I48" s="105"/>
      <c r="J48" s="104"/>
      <c r="K48" s="115"/>
      <c r="L48" s="116"/>
      <c r="M48" s="106"/>
      <c r="N48" s="105"/>
      <c r="O48" s="108"/>
      <c r="P48" s="104"/>
      <c r="Q48" s="106"/>
      <c r="R48" s="105"/>
      <c r="S48" s="105"/>
      <c r="T48" s="105"/>
      <c r="U48" s="105"/>
      <c r="V48" s="105"/>
      <c r="W48" s="105"/>
      <c r="X48" s="105"/>
      <c r="Y48" s="105"/>
      <c r="Z48" s="107"/>
      <c r="AA48" s="103" cm="1" t="str">
        <f t="array" ref="AA48">IF(AD48="","",AD48-AC48)</f>
        <v/>
      </c>
      <c r="AB48" s="107"/>
      <c r="AC48" s="99"/>
      <c r="AD48" s="102"/>
      <c r="AE48" s="109"/>
      <c r="AF48" s="110"/>
      <c r="AG48" s="111"/>
      <c r="AH48" s="111"/>
      <c r="AI48" s="111"/>
      <c r="AJ48" s="111"/>
      <c r="AK48" s="111"/>
      <c r="AL48" s="111"/>
      <c r="AM48" s="111"/>
      <c r="AN48" s="111"/>
      <c r="AO48" s="111"/>
      <c r="AP48" s="28"/>
      <c r="AQ48" s="28"/>
      <c r="AR48" s="28"/>
    </row>
    <row r="49" spans="1:44" ht="22.5" customHeight="1">
      <c r="A49" s="14" cm="1">
        <f t="array" ref="A49">A48+1</f>
        <v>42</v>
      </c>
      <c r="B49" s="15"/>
      <c r="C49" s="21"/>
      <c r="D49" s="21"/>
      <c r="E49" s="102"/>
      <c r="F49" s="103" cm="1" t="str">
        <f t="array" ref="F49">IF($AD49="","",$H49-$G49)</f>
        <v/>
      </c>
      <c r="G49" s="104"/>
      <c r="H49" s="103" cm="1" t="str">
        <f t="array" ref="H49">IF($AD49="","",$AA49-$J49-$P49-$O49)</f>
        <v/>
      </c>
      <c r="I49" s="105"/>
      <c r="J49" s="104"/>
      <c r="K49" s="115"/>
      <c r="L49" s="116"/>
      <c r="M49" s="106"/>
      <c r="N49" s="105"/>
      <c r="O49" s="108"/>
      <c r="P49" s="104"/>
      <c r="Q49" s="106"/>
      <c r="R49" s="105"/>
      <c r="S49" s="105"/>
      <c r="T49" s="105"/>
      <c r="U49" s="105"/>
      <c r="V49" s="105"/>
      <c r="W49" s="105"/>
      <c r="X49" s="105"/>
      <c r="Y49" s="105"/>
      <c r="Z49" s="107"/>
      <c r="AA49" s="103" cm="1" t="str">
        <f t="array" ref="AA49">IF(AD49="","",AD49-AC49)</f>
        <v/>
      </c>
      <c r="AB49" s="107"/>
      <c r="AC49" s="99"/>
      <c r="AD49" s="102"/>
      <c r="AE49" s="109"/>
      <c r="AF49" s="110"/>
      <c r="AG49" s="111"/>
      <c r="AH49" s="111"/>
      <c r="AI49" s="111"/>
      <c r="AJ49" s="111"/>
      <c r="AK49" s="111"/>
      <c r="AL49" s="111"/>
      <c r="AM49" s="111"/>
      <c r="AN49" s="111"/>
      <c r="AO49" s="111"/>
      <c r="AP49" s="28"/>
      <c r="AQ49" s="28"/>
      <c r="AR49" s="28"/>
    </row>
    <row r="50" spans="1:44" ht="22.5" customHeight="1">
      <c r="A50" s="14" cm="1">
        <f t="array" ref="A50">A49+1</f>
        <v>43</v>
      </c>
      <c r="B50" s="15"/>
      <c r="C50" s="21"/>
      <c r="D50" s="21"/>
      <c r="E50" s="102"/>
      <c r="F50" s="103" cm="1" t="str">
        <f t="array" ref="F50">IF($AD50="","",$H50-$G50)</f>
        <v/>
      </c>
      <c r="G50" s="104"/>
      <c r="H50" s="103" cm="1" t="str">
        <f t="array" ref="H50">IF($AD50="","",$AA50-$J50-$P50-$O50)</f>
        <v/>
      </c>
      <c r="I50" s="105"/>
      <c r="J50" s="104"/>
      <c r="K50" s="115"/>
      <c r="L50" s="116"/>
      <c r="M50" s="106"/>
      <c r="N50" s="105"/>
      <c r="O50" s="108"/>
      <c r="P50" s="104"/>
      <c r="Q50" s="106"/>
      <c r="R50" s="105"/>
      <c r="S50" s="105"/>
      <c r="T50" s="105"/>
      <c r="U50" s="105"/>
      <c r="V50" s="105"/>
      <c r="W50" s="105"/>
      <c r="X50" s="105"/>
      <c r="Y50" s="105"/>
      <c r="Z50" s="107"/>
      <c r="AA50" s="103" cm="1" t="str">
        <f t="array" ref="AA50">IF(AD50="","",AD50-AC50)</f>
        <v/>
      </c>
      <c r="AB50" s="107"/>
      <c r="AC50" s="99"/>
      <c r="AD50" s="102"/>
      <c r="AE50" s="109"/>
      <c r="AF50" s="110"/>
      <c r="AG50" s="111"/>
      <c r="AH50" s="111"/>
      <c r="AI50" s="111"/>
      <c r="AJ50" s="111"/>
      <c r="AK50" s="111"/>
      <c r="AL50" s="111"/>
      <c r="AM50" s="111"/>
      <c r="AN50" s="111"/>
      <c r="AO50" s="111"/>
      <c r="AP50" s="28"/>
      <c r="AQ50" s="28"/>
      <c r="AR50" s="28"/>
    </row>
    <row r="51" spans="1:44" ht="22.5" customHeight="1">
      <c r="A51" s="14" cm="1">
        <f t="array" ref="A51">A50+1</f>
        <v>44</v>
      </c>
      <c r="B51" s="15"/>
      <c r="C51" s="22" t="s">
        <v>212</v>
      </c>
      <c r="D51" s="21"/>
      <c r="E51" s="102"/>
      <c r="F51" s="103" cm="1" t="str">
        <f t="array" ref="F51">IF($AD51="","",$H51-$G51)</f>
        <v/>
      </c>
      <c r="G51" s="104"/>
      <c r="H51" s="103" cm="1" t="str">
        <f t="array" ref="H51">IF($AD51="","",$AA51-$J51-$P51-$O51)</f>
        <v/>
      </c>
      <c r="I51" s="105"/>
      <c r="J51" s="104"/>
      <c r="K51" s="115"/>
      <c r="L51" s="116"/>
      <c r="M51" s="106"/>
      <c r="N51" s="105"/>
      <c r="O51" s="108"/>
      <c r="P51" s="104"/>
      <c r="Q51" s="106"/>
      <c r="R51" s="105"/>
      <c r="S51" s="105"/>
      <c r="T51" s="105"/>
      <c r="U51" s="105"/>
      <c r="V51" s="105"/>
      <c r="W51" s="105"/>
      <c r="X51" s="105"/>
      <c r="Y51" s="105"/>
      <c r="Z51" s="107"/>
      <c r="AA51" s="103" cm="1" t="str">
        <f t="array" ref="AA51">IF(AD51="","",AD51-AC51)</f>
        <v/>
      </c>
      <c r="AB51" s="107"/>
      <c r="AC51" s="99"/>
      <c r="AD51" s="102"/>
      <c r="AE51" s="109"/>
      <c r="AF51" s="110"/>
      <c r="AG51" s="111"/>
      <c r="AH51" s="111"/>
      <c r="AI51" s="111"/>
      <c r="AJ51" s="111"/>
      <c r="AK51" s="111"/>
      <c r="AL51" s="111"/>
      <c r="AM51" s="111"/>
      <c r="AN51" s="111"/>
      <c r="AO51" s="111"/>
      <c r="AP51" s="28"/>
      <c r="AQ51" s="28"/>
      <c r="AR51" s="28"/>
    </row>
    <row r="52" spans="1:44" ht="22.5" customHeight="1">
      <c r="A52" s="14" cm="1">
        <f t="array" ref="A52">A51+1</f>
        <v>45</v>
      </c>
      <c r="B52" s="15"/>
      <c r="C52" s="22" t="s">
        <v>213</v>
      </c>
      <c r="D52" s="21"/>
      <c r="E52" s="102"/>
      <c r="F52" s="103" cm="1" t="str">
        <f t="array" ref="F52">IF($AD52="","",$H52-$G52)</f>
        <v/>
      </c>
      <c r="G52" s="104"/>
      <c r="H52" s="103" cm="1" t="str">
        <f t="array" ref="H52">IF($AD52="","",$AA52-$J52-$P52-$O52)</f>
        <v/>
      </c>
      <c r="I52" s="105"/>
      <c r="J52" s="104"/>
      <c r="K52" s="115"/>
      <c r="L52" s="116"/>
      <c r="M52" s="106"/>
      <c r="N52" s="105"/>
      <c r="O52" s="108"/>
      <c r="P52" s="104"/>
      <c r="Q52" s="106"/>
      <c r="R52" s="105"/>
      <c r="S52" s="105"/>
      <c r="T52" s="105"/>
      <c r="U52" s="105"/>
      <c r="V52" s="105"/>
      <c r="W52" s="105"/>
      <c r="X52" s="105"/>
      <c r="Y52" s="105"/>
      <c r="Z52" s="107"/>
      <c r="AA52" s="103" cm="1" t="str">
        <f t="array" ref="AA52">IF(AD52="","",AD52-AC52)</f>
        <v/>
      </c>
      <c r="AB52" s="107"/>
      <c r="AC52" s="99"/>
      <c r="AD52" s="102"/>
      <c r="AE52" s="109"/>
      <c r="AF52" s="110"/>
      <c r="AG52" s="111"/>
      <c r="AH52" s="111"/>
      <c r="AI52" s="111"/>
      <c r="AJ52" s="111"/>
      <c r="AK52" s="111"/>
      <c r="AL52" s="111"/>
      <c r="AM52" s="111"/>
      <c r="AN52" s="111"/>
      <c r="AO52" s="111"/>
      <c r="AP52" s="28"/>
      <c r="AQ52" s="28"/>
      <c r="AR52" s="28"/>
    </row>
    <row r="53" spans="1:44" ht="22.5" customHeight="1">
      <c r="A53" s="14" cm="1">
        <f t="array" ref="A53">A52+1</f>
        <v>46</v>
      </c>
      <c r="B53" s="15"/>
      <c r="C53" s="22" t="s">
        <v>214</v>
      </c>
      <c r="D53" s="21"/>
      <c r="E53" s="102"/>
      <c r="F53" s="103" cm="1" t="str">
        <f t="array" ref="F53">IF($AD53="","",$H53-$G53)</f>
        <v/>
      </c>
      <c r="G53" s="104"/>
      <c r="H53" s="103" cm="1" t="str">
        <f t="array" ref="H53">IF($AD53="","",$AA53-$J53-$P53-$O53)</f>
        <v/>
      </c>
      <c r="I53" s="105"/>
      <c r="J53" s="104"/>
      <c r="K53" s="115"/>
      <c r="L53" s="116"/>
      <c r="M53" s="106"/>
      <c r="N53" s="105"/>
      <c r="O53" s="108"/>
      <c r="P53" s="104"/>
      <c r="Q53" s="106"/>
      <c r="R53" s="105"/>
      <c r="S53" s="105"/>
      <c r="T53" s="105"/>
      <c r="U53" s="105"/>
      <c r="V53" s="105"/>
      <c r="W53" s="105"/>
      <c r="X53" s="105"/>
      <c r="Y53" s="105"/>
      <c r="Z53" s="107"/>
      <c r="AA53" s="103" cm="1" t="str">
        <f t="array" ref="AA53">IF(AD53="","",AD53-AC53)</f>
        <v/>
      </c>
      <c r="AB53" s="107"/>
      <c r="AC53" s="99"/>
      <c r="AD53" s="102"/>
      <c r="AE53" s="109"/>
      <c r="AF53" s="110"/>
      <c r="AG53" s="111"/>
      <c r="AH53" s="111"/>
      <c r="AI53" s="111"/>
      <c r="AJ53" s="111"/>
      <c r="AK53" s="111"/>
      <c r="AL53" s="111"/>
      <c r="AM53" s="111"/>
      <c r="AN53" s="111"/>
      <c r="AO53" s="111"/>
      <c r="AP53" s="28"/>
      <c r="AQ53" s="28"/>
      <c r="AR53" s="28"/>
    </row>
    <row r="54" spans="1:44" ht="22.5" customHeight="1">
      <c r="A54" s="14" cm="1">
        <f t="array" ref="A54">A53+1</f>
        <v>47</v>
      </c>
      <c r="B54" s="15"/>
      <c r="C54" s="22" t="s">
        <v>215</v>
      </c>
      <c r="D54" s="21"/>
      <c r="E54" s="102"/>
      <c r="F54" s="103" cm="1" t="str">
        <f t="array" ref="F54">IF($AD54="","",$H54-$G54)</f>
        <v/>
      </c>
      <c r="G54" s="104"/>
      <c r="H54" s="103" cm="1" t="str">
        <f t="array" ref="H54">IF($AD54="","",$AA54-$J54-$P54-$O54)</f>
        <v/>
      </c>
      <c r="I54" s="105"/>
      <c r="J54" s="104"/>
      <c r="K54" s="115"/>
      <c r="L54" s="116"/>
      <c r="M54" s="106"/>
      <c r="N54" s="105"/>
      <c r="O54" s="108"/>
      <c r="P54" s="104"/>
      <c r="Q54" s="106"/>
      <c r="R54" s="105"/>
      <c r="S54" s="105"/>
      <c r="T54" s="105"/>
      <c r="U54" s="105"/>
      <c r="V54" s="105"/>
      <c r="W54" s="105"/>
      <c r="X54" s="105"/>
      <c r="Y54" s="105"/>
      <c r="Z54" s="107"/>
      <c r="AA54" s="103" cm="1" t="str">
        <f t="array" ref="AA54">IF(AD54="","",AD54-AC54)</f>
        <v/>
      </c>
      <c r="AB54" s="107"/>
      <c r="AC54" s="99"/>
      <c r="AD54" s="102"/>
      <c r="AE54" s="109"/>
      <c r="AF54" s="110"/>
      <c r="AG54" s="111"/>
      <c r="AH54" s="111"/>
      <c r="AI54" s="111"/>
      <c r="AJ54" s="111"/>
      <c r="AK54" s="111"/>
      <c r="AL54" s="111"/>
      <c r="AM54" s="111"/>
      <c r="AN54" s="111"/>
      <c r="AO54" s="111"/>
      <c r="AP54" s="28"/>
      <c r="AQ54" s="28"/>
      <c r="AR54" s="28"/>
    </row>
    <row r="55" spans="1:44" ht="22.5" customHeight="1">
      <c r="A55" s="14" cm="1">
        <f t="array" ref="A55">A54+1</f>
        <v>48</v>
      </c>
      <c r="B55" s="15"/>
      <c r="C55" s="22" t="s">
        <v>216</v>
      </c>
      <c r="D55" s="21"/>
      <c r="E55" s="102"/>
      <c r="F55" s="103" cm="1" t="str">
        <f t="array" ref="F55">IF($AD55="","",$H55-$G55)</f>
        <v/>
      </c>
      <c r="G55" s="104"/>
      <c r="H55" s="103" cm="1" t="str">
        <f t="array" ref="H55">IF($AD55="","",$AA55-$J55-$P55-$O55)</f>
        <v/>
      </c>
      <c r="I55" s="105"/>
      <c r="J55" s="104"/>
      <c r="K55" s="115"/>
      <c r="L55" s="116"/>
      <c r="M55" s="106"/>
      <c r="N55" s="105"/>
      <c r="O55" s="108"/>
      <c r="P55" s="104"/>
      <c r="Q55" s="106"/>
      <c r="R55" s="105"/>
      <c r="S55" s="105"/>
      <c r="T55" s="105"/>
      <c r="U55" s="105"/>
      <c r="V55" s="105"/>
      <c r="W55" s="105"/>
      <c r="X55" s="105"/>
      <c r="Y55" s="105"/>
      <c r="Z55" s="107"/>
      <c r="AA55" s="103" cm="1" t="str">
        <f t="array" ref="AA55">IF(AD55="","",AD55-AC55)</f>
        <v/>
      </c>
      <c r="AB55" s="107"/>
      <c r="AC55" s="99"/>
      <c r="AD55" s="102"/>
      <c r="AE55" s="109"/>
      <c r="AF55" s="110"/>
      <c r="AG55" s="111"/>
      <c r="AH55" s="111"/>
      <c r="AI55" s="111"/>
      <c r="AJ55" s="111"/>
      <c r="AK55" s="111"/>
      <c r="AL55" s="111"/>
      <c r="AM55" s="111"/>
      <c r="AN55" s="111"/>
      <c r="AO55" s="111"/>
      <c r="AP55" s="28"/>
      <c r="AQ55" s="28"/>
      <c r="AR55" s="28"/>
    </row>
    <row r="56" spans="1:44" ht="22.5" customHeight="1">
      <c r="A56" s="14" cm="1">
        <f t="array" ref="A56">A55+1</f>
        <v>49</v>
      </c>
      <c r="B56" s="15"/>
      <c r="C56" s="22" t="s">
        <v>217</v>
      </c>
      <c r="D56" s="21"/>
      <c r="E56" s="102"/>
      <c r="F56" s="103" cm="1" t="str">
        <f t="array" ref="F56">IF($AD56="","",$H56-$G56)</f>
        <v/>
      </c>
      <c r="G56" s="104"/>
      <c r="H56" s="103" cm="1" t="str">
        <f t="array" ref="H56">IF($AD56="","",$AA56-$J56-$P56-$O56)</f>
        <v/>
      </c>
      <c r="I56" s="105"/>
      <c r="J56" s="104"/>
      <c r="K56" s="115"/>
      <c r="L56" s="116"/>
      <c r="M56" s="106"/>
      <c r="N56" s="105"/>
      <c r="O56" s="108"/>
      <c r="P56" s="104"/>
      <c r="Q56" s="106"/>
      <c r="R56" s="105"/>
      <c r="S56" s="105"/>
      <c r="T56" s="105"/>
      <c r="U56" s="105"/>
      <c r="V56" s="105"/>
      <c r="W56" s="105"/>
      <c r="X56" s="105"/>
      <c r="Y56" s="105"/>
      <c r="Z56" s="107"/>
      <c r="AA56" s="103" cm="1" t="str">
        <f t="array" ref="AA56">IF(AD56="","",AD56-AC56)</f>
        <v/>
      </c>
      <c r="AB56" s="107"/>
      <c r="AC56" s="99"/>
      <c r="AD56" s="102"/>
      <c r="AE56" s="109"/>
      <c r="AF56" s="110"/>
      <c r="AG56" s="111"/>
      <c r="AH56" s="111"/>
      <c r="AI56" s="111"/>
      <c r="AJ56" s="111"/>
      <c r="AK56" s="111"/>
      <c r="AL56" s="111"/>
      <c r="AM56" s="111"/>
      <c r="AN56" s="111"/>
      <c r="AO56" s="111"/>
      <c r="AP56" s="28"/>
      <c r="AQ56" s="28"/>
      <c r="AR56" s="28"/>
    </row>
    <row r="57" spans="1:44" ht="22.5" customHeight="1">
      <c r="A57" s="14" cm="1">
        <f t="array" ref="A57">A56+1</f>
        <v>50</v>
      </c>
      <c r="B57" s="15"/>
      <c r="C57" s="22" t="s">
        <v>218</v>
      </c>
      <c r="D57" s="21"/>
      <c r="E57" s="102"/>
      <c r="F57" s="103" cm="1" t="str">
        <f t="array" ref="F57">IF($AD57="","",$H57-$G57)</f>
        <v/>
      </c>
      <c r="G57" s="104"/>
      <c r="H57" s="103" cm="1" t="str">
        <f t="array" ref="H57">IF($AD57="","",$AA57-$J57-$P57-$O57)</f>
        <v/>
      </c>
      <c r="I57" s="105"/>
      <c r="J57" s="104"/>
      <c r="K57" s="115"/>
      <c r="L57" s="116"/>
      <c r="M57" s="106"/>
      <c r="N57" s="105"/>
      <c r="O57" s="108"/>
      <c r="P57" s="104"/>
      <c r="Q57" s="106"/>
      <c r="R57" s="105"/>
      <c r="S57" s="105"/>
      <c r="T57" s="105"/>
      <c r="U57" s="105"/>
      <c r="V57" s="105"/>
      <c r="W57" s="105"/>
      <c r="X57" s="105"/>
      <c r="Y57" s="105"/>
      <c r="Z57" s="107"/>
      <c r="AA57" s="103" cm="1" t="str">
        <f t="array" ref="AA57">IF(AD57="","",AD57-AC57)</f>
        <v/>
      </c>
      <c r="AB57" s="107"/>
      <c r="AC57" s="99"/>
      <c r="AD57" s="102"/>
      <c r="AE57" s="109"/>
      <c r="AF57" s="110"/>
      <c r="AG57" s="111"/>
      <c r="AH57" s="111"/>
      <c r="AI57" s="111"/>
      <c r="AJ57" s="111"/>
      <c r="AK57" s="111"/>
      <c r="AL57" s="111"/>
      <c r="AM57" s="111"/>
      <c r="AN57" s="111"/>
      <c r="AO57" s="111"/>
      <c r="AP57" s="28"/>
      <c r="AQ57" s="28"/>
      <c r="AR57" s="28"/>
    </row>
    <row r="58" spans="1:44" ht="22.5" customHeight="1">
      <c r="A58" s="14" cm="1">
        <f t="array" ref="A58">A57+1</f>
        <v>51</v>
      </c>
      <c r="B58" s="15"/>
      <c r="C58" s="22" t="s">
        <v>219</v>
      </c>
      <c r="D58" s="21"/>
      <c r="E58" s="102"/>
      <c r="F58" s="103" cm="1" t="str">
        <f t="array" ref="F58">IF($AD58="","",$H58-$G58)</f>
        <v/>
      </c>
      <c r="G58" s="104"/>
      <c r="H58" s="103" cm="1" t="str">
        <f t="array" ref="H58">IF($AD58="","",$AA58-$J58-$P58-$O58)</f>
        <v/>
      </c>
      <c r="I58" s="105"/>
      <c r="J58" s="104"/>
      <c r="K58" s="115"/>
      <c r="L58" s="116"/>
      <c r="M58" s="106"/>
      <c r="N58" s="105"/>
      <c r="O58" s="108"/>
      <c r="P58" s="104"/>
      <c r="Q58" s="106"/>
      <c r="R58" s="105"/>
      <c r="S58" s="105"/>
      <c r="T58" s="105"/>
      <c r="U58" s="105"/>
      <c r="V58" s="105"/>
      <c r="W58" s="105"/>
      <c r="X58" s="105"/>
      <c r="Y58" s="105"/>
      <c r="Z58" s="107"/>
      <c r="AA58" s="103" cm="1" t="str">
        <f t="array" ref="AA58">IF(AD58="","",AD58-AC58)</f>
        <v/>
      </c>
      <c r="AB58" s="107"/>
      <c r="AC58" s="99"/>
      <c r="AD58" s="102"/>
      <c r="AE58" s="109"/>
      <c r="AF58" s="110"/>
      <c r="AG58" s="111"/>
      <c r="AH58" s="111"/>
      <c r="AI58" s="111"/>
      <c r="AJ58" s="111"/>
      <c r="AK58" s="111"/>
      <c r="AL58" s="111"/>
      <c r="AM58" s="111"/>
      <c r="AN58" s="111"/>
      <c r="AO58" s="111"/>
      <c r="AP58" s="28"/>
      <c r="AQ58" s="28"/>
      <c r="AR58" s="28"/>
    </row>
    <row r="59" spans="1:44" ht="22.5" customHeight="1">
      <c r="A59" s="14" cm="1">
        <f t="array" ref="A59">A58+1</f>
        <v>52</v>
      </c>
      <c r="B59" s="15"/>
      <c r="C59" s="22" t="s">
        <v>220</v>
      </c>
      <c r="D59" s="21"/>
      <c r="E59" s="102"/>
      <c r="F59" s="103" cm="1" t="str">
        <f t="array" ref="F59">IF($AD59="","",$H59-$G59)</f>
        <v/>
      </c>
      <c r="G59" s="104"/>
      <c r="H59" s="103" cm="1" t="str">
        <f t="array" ref="H59">IF($AD59="","",$AA59-$J59-$P59-$O59)</f>
        <v/>
      </c>
      <c r="I59" s="105"/>
      <c r="J59" s="104"/>
      <c r="K59" s="115"/>
      <c r="L59" s="116"/>
      <c r="M59" s="106"/>
      <c r="N59" s="105"/>
      <c r="O59" s="108"/>
      <c r="P59" s="104"/>
      <c r="Q59" s="106"/>
      <c r="R59" s="105"/>
      <c r="S59" s="105"/>
      <c r="T59" s="105"/>
      <c r="U59" s="105"/>
      <c r="V59" s="105"/>
      <c r="W59" s="105"/>
      <c r="X59" s="105"/>
      <c r="Y59" s="105"/>
      <c r="Z59" s="107"/>
      <c r="AA59" s="103" cm="1" t="str">
        <f t="array" ref="AA59">IF(AD59="","",AD59-AC59)</f>
        <v/>
      </c>
      <c r="AB59" s="107"/>
      <c r="AC59" s="99"/>
      <c r="AD59" s="102"/>
      <c r="AE59" s="109"/>
      <c r="AF59" s="110"/>
      <c r="AG59" s="111"/>
      <c r="AH59" s="111"/>
      <c r="AI59" s="111"/>
      <c r="AJ59" s="111"/>
      <c r="AK59" s="111"/>
      <c r="AL59" s="111"/>
      <c r="AM59" s="111"/>
      <c r="AN59" s="111"/>
      <c r="AO59" s="111"/>
      <c r="AP59" s="28"/>
      <c r="AQ59" s="28"/>
      <c r="AR59" s="28"/>
    </row>
    <row r="60" spans="1:44" ht="22.5" customHeight="1">
      <c r="A60" s="14" cm="1">
        <f t="array" ref="A60">A59+1</f>
        <v>53</v>
      </c>
      <c r="B60" s="15"/>
      <c r="C60" s="22" t="s">
        <v>221</v>
      </c>
      <c r="D60" s="21"/>
      <c r="E60" s="102"/>
      <c r="F60" s="103" cm="1" t="str">
        <f t="array" ref="F60">IF($AD60="","",$H60-$G60)</f>
        <v/>
      </c>
      <c r="G60" s="104"/>
      <c r="H60" s="103" cm="1" t="str">
        <f t="array" ref="H60">IF($AD60="","",$AA60-$J60-$P60-$O60)</f>
        <v/>
      </c>
      <c r="I60" s="105"/>
      <c r="J60" s="104"/>
      <c r="K60" s="115"/>
      <c r="L60" s="116"/>
      <c r="M60" s="106"/>
      <c r="N60" s="105"/>
      <c r="O60" s="108"/>
      <c r="P60" s="104"/>
      <c r="Q60" s="106"/>
      <c r="R60" s="105"/>
      <c r="S60" s="105"/>
      <c r="T60" s="105"/>
      <c r="U60" s="105"/>
      <c r="V60" s="105"/>
      <c r="W60" s="105"/>
      <c r="X60" s="105"/>
      <c r="Y60" s="105"/>
      <c r="Z60" s="107"/>
      <c r="AA60" s="103" cm="1" t="str">
        <f t="array" ref="AA60">IF(AD60="","",AD60-AC60)</f>
        <v/>
      </c>
      <c r="AB60" s="107"/>
      <c r="AC60" s="99"/>
      <c r="AD60" s="102"/>
      <c r="AE60" s="109"/>
      <c r="AF60" s="110"/>
      <c r="AG60" s="111"/>
      <c r="AH60" s="111"/>
      <c r="AI60" s="111"/>
      <c r="AJ60" s="111"/>
      <c r="AK60" s="111"/>
      <c r="AL60" s="111"/>
      <c r="AM60" s="111"/>
      <c r="AN60" s="111"/>
      <c r="AO60" s="111"/>
      <c r="AP60" s="28"/>
      <c r="AQ60" s="28"/>
      <c r="AR60" s="28"/>
    </row>
    <row r="61" spans="1:44" ht="22.5" customHeight="1">
      <c r="A61" s="14" cm="1">
        <f t="array" ref="A61">A60+1</f>
        <v>54</v>
      </c>
      <c r="B61" s="15"/>
      <c r="C61" s="22" t="s">
        <v>222</v>
      </c>
      <c r="D61" s="21"/>
      <c r="E61" s="102"/>
      <c r="F61" s="103" cm="1" t="str">
        <f t="array" ref="F61">IF($AD61="","",$H61-$G61)</f>
        <v/>
      </c>
      <c r="G61" s="104"/>
      <c r="H61" s="103" cm="1" t="str">
        <f t="array" ref="H61">IF($AD61="","",$AA61-$J61-$P61-$O61)</f>
        <v/>
      </c>
      <c r="I61" s="105"/>
      <c r="J61" s="104"/>
      <c r="K61" s="115"/>
      <c r="L61" s="116"/>
      <c r="M61" s="106"/>
      <c r="N61" s="105"/>
      <c r="O61" s="108"/>
      <c r="P61" s="104"/>
      <c r="Q61" s="106"/>
      <c r="R61" s="105"/>
      <c r="S61" s="105"/>
      <c r="T61" s="105"/>
      <c r="U61" s="105"/>
      <c r="V61" s="105"/>
      <c r="W61" s="105"/>
      <c r="X61" s="105"/>
      <c r="Y61" s="105"/>
      <c r="Z61" s="107"/>
      <c r="AA61" s="103" cm="1" t="str">
        <f t="array" ref="AA61">IF(AD61="","",AD61-AC61)</f>
        <v/>
      </c>
      <c r="AB61" s="107"/>
      <c r="AC61" s="99"/>
      <c r="AD61" s="102"/>
      <c r="AE61" s="109"/>
      <c r="AF61" s="110"/>
      <c r="AG61" s="111"/>
      <c r="AH61" s="111"/>
      <c r="AI61" s="111"/>
      <c r="AJ61" s="111"/>
      <c r="AK61" s="111"/>
      <c r="AL61" s="111"/>
      <c r="AM61" s="111"/>
      <c r="AN61" s="111"/>
      <c r="AO61" s="111"/>
      <c r="AP61" s="28"/>
      <c r="AQ61" s="28"/>
      <c r="AR61" s="28"/>
    </row>
    <row r="62" spans="1:44" ht="22.5" customHeight="1">
      <c r="A62" s="14" cm="1">
        <f t="array" ref="A62">A61+1</f>
        <v>55</v>
      </c>
      <c r="B62" s="15"/>
      <c r="C62" s="22" t="s">
        <v>223</v>
      </c>
      <c r="D62" s="21"/>
      <c r="E62" s="102"/>
      <c r="F62" s="103" cm="1" t="str">
        <f t="array" ref="F62">IF($AD62="","",$H62-$G62)</f>
        <v/>
      </c>
      <c r="G62" s="104"/>
      <c r="H62" s="103" cm="1" t="str">
        <f t="array" ref="H62">IF($AD62="","",$AA62-$J62-$P62-$O62)</f>
        <v/>
      </c>
      <c r="I62" s="105"/>
      <c r="J62" s="104"/>
      <c r="K62" s="115"/>
      <c r="L62" s="116"/>
      <c r="M62" s="106"/>
      <c r="N62" s="105"/>
      <c r="O62" s="108"/>
      <c r="P62" s="104"/>
      <c r="Q62" s="106"/>
      <c r="R62" s="105"/>
      <c r="S62" s="105"/>
      <c r="T62" s="105"/>
      <c r="U62" s="105"/>
      <c r="V62" s="105"/>
      <c r="W62" s="105"/>
      <c r="X62" s="105"/>
      <c r="Y62" s="105"/>
      <c r="Z62" s="107"/>
      <c r="AA62" s="103" cm="1" t="str">
        <f t="array" ref="AA62">IF(AD62="","",AD62-AC62)</f>
        <v/>
      </c>
      <c r="AB62" s="107"/>
      <c r="AC62" s="99"/>
      <c r="AD62" s="102"/>
      <c r="AE62" s="109"/>
      <c r="AF62" s="110"/>
      <c r="AG62" s="111"/>
      <c r="AH62" s="111"/>
      <c r="AI62" s="111"/>
      <c r="AJ62" s="111"/>
      <c r="AK62" s="111"/>
      <c r="AL62" s="111"/>
      <c r="AM62" s="111"/>
      <c r="AN62" s="111"/>
      <c r="AO62" s="111"/>
      <c r="AP62" s="28"/>
      <c r="AQ62" s="28"/>
      <c r="AR62" s="28"/>
    </row>
    <row r="63" spans="1:44" ht="22.5" customHeight="1">
      <c r="A63" s="14" cm="1">
        <f t="array" ref="A63">A62+1</f>
        <v>56</v>
      </c>
      <c r="B63" s="15"/>
      <c r="C63" s="22" t="s">
        <v>224</v>
      </c>
      <c r="D63" s="21"/>
      <c r="E63" s="102"/>
      <c r="F63" s="103" cm="1" t="str">
        <f t="array" ref="F63">IF($AD63="","",$H63-$G63)</f>
        <v/>
      </c>
      <c r="G63" s="104"/>
      <c r="H63" s="103" cm="1" t="str">
        <f t="array" ref="H63">IF($AD63="","",$AA63-$J63-$P63-$O63)</f>
        <v/>
      </c>
      <c r="I63" s="105"/>
      <c r="J63" s="104"/>
      <c r="K63" s="115"/>
      <c r="L63" s="116"/>
      <c r="M63" s="106"/>
      <c r="N63" s="105"/>
      <c r="O63" s="108"/>
      <c r="P63" s="104"/>
      <c r="Q63" s="106"/>
      <c r="R63" s="105"/>
      <c r="S63" s="105"/>
      <c r="T63" s="105"/>
      <c r="U63" s="105"/>
      <c r="V63" s="105"/>
      <c r="W63" s="105"/>
      <c r="X63" s="105"/>
      <c r="Y63" s="105"/>
      <c r="Z63" s="107"/>
      <c r="AA63" s="103" cm="1" t="str">
        <f t="array" ref="AA63">IF(AD63="","",AD63-AC63)</f>
        <v/>
      </c>
      <c r="AB63" s="107"/>
      <c r="AC63" s="99"/>
      <c r="AD63" s="102"/>
      <c r="AE63" s="109"/>
      <c r="AF63" s="110"/>
      <c r="AG63" s="111"/>
      <c r="AH63" s="111"/>
      <c r="AI63" s="111"/>
      <c r="AJ63" s="111"/>
      <c r="AK63" s="111"/>
      <c r="AL63" s="111"/>
      <c r="AM63" s="111"/>
      <c r="AN63" s="111"/>
      <c r="AO63" s="111"/>
      <c r="AP63" s="28"/>
      <c r="AQ63" s="28"/>
      <c r="AR63" s="28"/>
    </row>
    <row r="64" spans="1:44" ht="22.5" customHeight="1">
      <c r="A64" s="14" cm="1">
        <f t="array" ref="A64">A63+1</f>
        <v>57</v>
      </c>
      <c r="B64" s="15"/>
      <c r="C64" s="22" t="s">
        <v>225</v>
      </c>
      <c r="D64" s="21"/>
      <c r="E64" s="102"/>
      <c r="F64" s="103" cm="1" t="str">
        <f t="array" ref="F64">IF($AD64="","",$H64-$G64)</f>
        <v/>
      </c>
      <c r="G64" s="104"/>
      <c r="H64" s="103" cm="1" t="str">
        <f t="array" ref="H64">IF($AD64="","",$AA64-$J64-$P64-$O64)</f>
        <v/>
      </c>
      <c r="I64" s="105"/>
      <c r="J64" s="104"/>
      <c r="K64" s="115"/>
      <c r="L64" s="116"/>
      <c r="M64" s="106"/>
      <c r="N64" s="105"/>
      <c r="O64" s="108"/>
      <c r="P64" s="104"/>
      <c r="Q64" s="106"/>
      <c r="R64" s="105"/>
      <c r="S64" s="105"/>
      <c r="T64" s="105"/>
      <c r="U64" s="105"/>
      <c r="V64" s="105"/>
      <c r="W64" s="105"/>
      <c r="X64" s="105"/>
      <c r="Y64" s="105"/>
      <c r="Z64" s="107"/>
      <c r="AA64" s="103" cm="1" t="str">
        <f t="array" ref="AA64">IF(AD64="","",AD64-AC64)</f>
        <v/>
      </c>
      <c r="AB64" s="107"/>
      <c r="AC64" s="99"/>
      <c r="AD64" s="102"/>
      <c r="AE64" s="109"/>
      <c r="AF64" s="110"/>
      <c r="AG64" s="111"/>
      <c r="AH64" s="111"/>
      <c r="AI64" s="111"/>
      <c r="AJ64" s="111"/>
      <c r="AK64" s="111"/>
      <c r="AL64" s="111"/>
      <c r="AM64" s="111"/>
      <c r="AN64" s="111"/>
      <c r="AO64" s="111"/>
      <c r="AP64" s="28"/>
      <c r="AQ64" s="28"/>
      <c r="AR64" s="28"/>
    </row>
    <row r="65" spans="1:44" ht="22.5" customHeight="1">
      <c r="A65" s="14" cm="1">
        <f t="array" ref="A65">A64+1</f>
        <v>58</v>
      </c>
      <c r="B65" s="15"/>
      <c r="C65" s="21"/>
      <c r="D65" s="21"/>
      <c r="E65" s="102"/>
      <c r="F65" s="103" cm="1" t="str">
        <f t="array" ref="F65">IF($AD65="","",$H65-$G65)</f>
        <v/>
      </c>
      <c r="G65" s="104"/>
      <c r="H65" s="103" cm="1" t="str">
        <f t="array" ref="H65">IF($AD65="","",$AA65-$J65-$P65-$O65)</f>
        <v/>
      </c>
      <c r="I65" s="105"/>
      <c r="J65" s="104"/>
      <c r="K65" s="115"/>
      <c r="L65" s="116"/>
      <c r="M65" s="106"/>
      <c r="N65" s="105"/>
      <c r="O65" s="108"/>
      <c r="P65" s="104"/>
      <c r="Q65" s="106"/>
      <c r="R65" s="105"/>
      <c r="S65" s="105"/>
      <c r="T65" s="105"/>
      <c r="U65" s="105"/>
      <c r="V65" s="105"/>
      <c r="W65" s="105"/>
      <c r="X65" s="105"/>
      <c r="Y65" s="105"/>
      <c r="Z65" s="107"/>
      <c r="AA65" s="103" cm="1" t="str">
        <f t="array" ref="AA65">IF(AD65="","",AD65-AC65)</f>
        <v/>
      </c>
      <c r="AB65" s="107"/>
      <c r="AC65" s="99"/>
      <c r="AD65" s="102"/>
      <c r="AE65" s="109"/>
      <c r="AF65" s="110"/>
      <c r="AG65" s="111"/>
      <c r="AH65" s="111"/>
      <c r="AI65" s="111"/>
      <c r="AJ65" s="111"/>
      <c r="AK65" s="111"/>
      <c r="AL65" s="111"/>
      <c r="AM65" s="111"/>
      <c r="AN65" s="111"/>
      <c r="AO65" s="111"/>
      <c r="AP65" s="28"/>
      <c r="AQ65" s="28"/>
      <c r="AR65" s="113"/>
    </row>
    <row r="66" spans="1:44" ht="22.5" customHeight="1">
      <c r="A66" s="14" cm="1">
        <f t="array" ref="A66">A65+1</f>
        <v>59</v>
      </c>
      <c r="B66" s="15"/>
      <c r="C66" s="21"/>
      <c r="D66" s="21"/>
      <c r="E66" s="102"/>
      <c r="F66" s="103" cm="1" t="str">
        <f t="array" ref="F66">IF($AD66="","",$H66-$G66)</f>
        <v/>
      </c>
      <c r="G66" s="104"/>
      <c r="H66" s="103" cm="1" t="str">
        <f t="array" ref="H66">IF($AD66="","",$AA66-$J66-$P66-$O66)</f>
        <v/>
      </c>
      <c r="I66" s="105"/>
      <c r="J66" s="104"/>
      <c r="K66" s="115"/>
      <c r="L66" s="116"/>
      <c r="M66" s="106"/>
      <c r="N66" s="105"/>
      <c r="O66" s="108"/>
      <c r="P66" s="104"/>
      <c r="Q66" s="106"/>
      <c r="R66" s="105"/>
      <c r="S66" s="105"/>
      <c r="T66" s="105"/>
      <c r="U66" s="105"/>
      <c r="V66" s="105"/>
      <c r="W66" s="105"/>
      <c r="X66" s="105"/>
      <c r="Y66" s="105"/>
      <c r="Z66" s="107"/>
      <c r="AA66" s="103" cm="1" t="str">
        <f t="array" ref="AA66">IF(AD66="","",AD66-AC66)</f>
        <v/>
      </c>
      <c r="AB66" s="107"/>
      <c r="AC66" s="99"/>
      <c r="AD66" s="102"/>
      <c r="AE66" s="109"/>
      <c r="AF66" s="110"/>
      <c r="AG66" s="111"/>
      <c r="AH66" s="111"/>
      <c r="AI66" s="111"/>
      <c r="AJ66" s="111"/>
      <c r="AK66" s="111"/>
      <c r="AL66" s="111"/>
      <c r="AM66" s="111"/>
      <c r="AN66" s="111"/>
      <c r="AO66" s="111"/>
      <c r="AP66" s="28"/>
      <c r="AQ66" s="120"/>
      <c r="AR66" s="121"/>
    </row>
    <row r="67" spans="1:44" ht="22.5" customHeight="1">
      <c r="A67" s="14" cm="1">
        <f t="array" ref="A67">A66+1</f>
        <v>60</v>
      </c>
      <c r="B67" s="15"/>
      <c r="C67" s="21"/>
      <c r="D67" s="21"/>
      <c r="E67" s="102"/>
      <c r="F67" s="103" cm="1" t="str">
        <f t="array" ref="F67">IF($AD67="","",$H67-$G67)</f>
        <v/>
      </c>
      <c r="G67" s="104"/>
      <c r="H67" s="103" cm="1" t="str">
        <f t="array" ref="H67">IF($AD67="","",$AA67-$J67-$P67-$O67)</f>
        <v/>
      </c>
      <c r="I67" s="105"/>
      <c r="J67" s="104"/>
      <c r="K67" s="115"/>
      <c r="L67" s="116"/>
      <c r="M67" s="106"/>
      <c r="N67" s="105"/>
      <c r="O67" s="108"/>
      <c r="P67" s="104"/>
      <c r="Q67" s="106"/>
      <c r="R67" s="105"/>
      <c r="S67" s="105"/>
      <c r="T67" s="105"/>
      <c r="U67" s="105"/>
      <c r="V67" s="105"/>
      <c r="W67" s="105"/>
      <c r="X67" s="105"/>
      <c r="Y67" s="105"/>
      <c r="Z67" s="107"/>
      <c r="AA67" s="103" cm="1" t="str">
        <f t="array" ref="AA67">IF(AD67="","",AD67-AC67)</f>
        <v/>
      </c>
      <c r="AB67" s="107"/>
      <c r="AC67" s="99"/>
      <c r="AD67" s="102"/>
      <c r="AE67" s="109"/>
      <c r="AF67" s="110"/>
      <c r="AG67" s="111"/>
      <c r="AH67" s="111"/>
      <c r="AI67" s="111"/>
      <c r="AJ67" s="111"/>
      <c r="AK67" s="111"/>
      <c r="AL67" s="111"/>
      <c r="AM67" s="111"/>
      <c r="AN67" s="111"/>
      <c r="AO67" s="111"/>
      <c r="AP67" s="28"/>
      <c r="AQ67" s="28"/>
      <c r="AR67" s="122"/>
    </row>
    <row r="68" spans="1:44" ht="22.5" customHeight="1">
      <c r="A68" s="14" cm="1">
        <f t="array" ref="A68">A67+1</f>
        <v>61</v>
      </c>
      <c r="B68" s="15"/>
      <c r="C68" s="21"/>
      <c r="D68" s="21"/>
      <c r="E68" s="102"/>
      <c r="F68" s="103" cm="1" t="str">
        <f t="array" ref="F68">IF($AD68="","",$H68-$G68)</f>
        <v/>
      </c>
      <c r="G68" s="104"/>
      <c r="H68" s="103" cm="1" t="str">
        <f t="array" ref="H68">IF($AD68="","",$AA68-$J68-$P68-$O68)</f>
        <v/>
      </c>
      <c r="I68" s="105"/>
      <c r="J68" s="104"/>
      <c r="K68" s="115"/>
      <c r="L68" s="116"/>
      <c r="M68" s="106"/>
      <c r="N68" s="105"/>
      <c r="O68" s="108"/>
      <c r="P68" s="104"/>
      <c r="Q68" s="106"/>
      <c r="R68" s="105"/>
      <c r="S68" s="105"/>
      <c r="T68" s="105"/>
      <c r="U68" s="105"/>
      <c r="V68" s="105"/>
      <c r="W68" s="105"/>
      <c r="X68" s="105"/>
      <c r="Y68" s="105"/>
      <c r="Z68" s="107"/>
      <c r="AA68" s="103" cm="1" t="str">
        <f t="array" ref="AA68">IF(AD68="","",AD68-AC68)</f>
        <v/>
      </c>
      <c r="AB68" s="107"/>
      <c r="AC68" s="99"/>
      <c r="AD68" s="102"/>
      <c r="AE68" s="109"/>
      <c r="AF68" s="110"/>
      <c r="AG68" s="111"/>
      <c r="AH68" s="111"/>
      <c r="AI68" s="111"/>
      <c r="AJ68" s="111"/>
      <c r="AK68" s="111"/>
      <c r="AL68" s="111"/>
      <c r="AM68" s="111"/>
      <c r="AN68" s="111"/>
      <c r="AO68" s="111"/>
      <c r="AP68" s="28"/>
      <c r="AQ68" s="28"/>
      <c r="AR68" s="28"/>
    </row>
    <row r="69" spans="1:44" ht="22.5" customHeight="1">
      <c r="A69" s="14" cm="1">
        <f t="array" ref="A69">A68+1</f>
        <v>62</v>
      </c>
      <c r="B69" s="15"/>
      <c r="C69" s="21"/>
      <c r="D69" s="21"/>
      <c r="E69" s="102"/>
      <c r="F69" s="103" cm="1" t="str">
        <f t="array" ref="F69">IF($AD69="","",$H69-$G69)</f>
        <v/>
      </c>
      <c r="G69" s="104"/>
      <c r="H69" s="103" cm="1" t="str">
        <f t="array" ref="H69">IF($AD69="","",$AA69-$J69-$P69-$O69)</f>
        <v/>
      </c>
      <c r="I69" s="105"/>
      <c r="J69" s="104"/>
      <c r="K69" s="115"/>
      <c r="L69" s="116"/>
      <c r="M69" s="106"/>
      <c r="N69" s="105"/>
      <c r="O69" s="108"/>
      <c r="P69" s="104"/>
      <c r="Q69" s="106"/>
      <c r="R69" s="105"/>
      <c r="S69" s="105"/>
      <c r="T69" s="105"/>
      <c r="U69" s="105"/>
      <c r="V69" s="105"/>
      <c r="W69" s="105"/>
      <c r="X69" s="105"/>
      <c r="Y69" s="105"/>
      <c r="Z69" s="107"/>
      <c r="AA69" s="103" cm="1" t="str">
        <f t="array" ref="AA69">IF(AD69="","",AD69-AC69)</f>
        <v/>
      </c>
      <c r="AB69" s="107"/>
      <c r="AC69" s="99"/>
      <c r="AD69" s="102"/>
      <c r="AE69" s="109"/>
      <c r="AF69" s="110"/>
      <c r="AG69" s="111"/>
      <c r="AH69" s="111"/>
      <c r="AI69" s="111"/>
      <c r="AJ69" s="111"/>
      <c r="AK69" s="111"/>
      <c r="AL69" s="111"/>
      <c r="AM69" s="111"/>
      <c r="AN69" s="111"/>
      <c r="AO69" s="111"/>
      <c r="AP69" s="28"/>
      <c r="AQ69" s="28"/>
      <c r="AR69" s="28"/>
    </row>
    <row r="70" spans="1:44" ht="22.5" customHeight="1">
      <c r="A70" s="14" cm="1">
        <f t="array" ref="A70">A69+1</f>
        <v>63</v>
      </c>
      <c r="B70" s="15"/>
      <c r="C70" s="21"/>
      <c r="D70" s="21"/>
      <c r="E70" s="102"/>
      <c r="F70" s="103" cm="1" t="str">
        <f t="array" ref="F70">IF($AD70="","",$H70-$G70)</f>
        <v/>
      </c>
      <c r="G70" s="104"/>
      <c r="H70" s="103" cm="1" t="str">
        <f t="array" ref="H70">IF($AD70="","",$AA70-$J70-$P70-$O70)</f>
        <v/>
      </c>
      <c r="I70" s="105"/>
      <c r="J70" s="104"/>
      <c r="K70" s="115"/>
      <c r="L70" s="116"/>
      <c r="M70" s="106"/>
      <c r="N70" s="105"/>
      <c r="O70" s="108"/>
      <c r="P70" s="104"/>
      <c r="Q70" s="106"/>
      <c r="R70" s="105"/>
      <c r="S70" s="105"/>
      <c r="T70" s="105"/>
      <c r="U70" s="105"/>
      <c r="V70" s="105"/>
      <c r="W70" s="105"/>
      <c r="X70" s="105"/>
      <c r="Y70" s="105"/>
      <c r="Z70" s="107"/>
      <c r="AA70" s="103" cm="1" t="str">
        <f t="array" ref="AA70">IF(AD70="","",AD70-AC70)</f>
        <v/>
      </c>
      <c r="AB70" s="107"/>
      <c r="AC70" s="99"/>
      <c r="AD70" s="102"/>
      <c r="AE70" s="109"/>
      <c r="AF70" s="110"/>
      <c r="AG70" s="111"/>
      <c r="AH70" s="111"/>
      <c r="AI70" s="111"/>
      <c r="AJ70" s="111"/>
      <c r="AK70" s="111"/>
      <c r="AL70" s="111"/>
      <c r="AM70" s="111"/>
      <c r="AN70" s="111"/>
      <c r="AO70" s="111"/>
      <c r="AP70" s="28"/>
      <c r="AQ70" s="28"/>
      <c r="AR70" s="28"/>
    </row>
    <row r="71" spans="1:44" ht="22.5" customHeight="1">
      <c r="A71" s="14" cm="1">
        <f t="array" ref="A71">A70+1</f>
        <v>64</v>
      </c>
      <c r="B71" s="15"/>
      <c r="C71" s="22" t="s">
        <v>226</v>
      </c>
      <c r="D71" s="21"/>
      <c r="E71" s="102"/>
      <c r="F71" s="103" cm="1" t="str">
        <f t="array" ref="F71">IF($AD71="","",$H71-$G71)</f>
        <v/>
      </c>
      <c r="G71" s="104"/>
      <c r="H71" s="103" cm="1" t="str">
        <f t="array" ref="H71">IF($AD71="","",$AA71-$J71-$P71-$O71)</f>
        <v/>
      </c>
      <c r="I71" s="105"/>
      <c r="J71" s="104"/>
      <c r="K71" s="115"/>
      <c r="L71" s="116"/>
      <c r="M71" s="106"/>
      <c r="N71" s="105"/>
      <c r="O71" s="108"/>
      <c r="P71" s="104"/>
      <c r="Q71" s="106"/>
      <c r="R71" s="105"/>
      <c r="S71" s="105"/>
      <c r="T71" s="105"/>
      <c r="U71" s="105"/>
      <c r="V71" s="105"/>
      <c r="W71" s="105"/>
      <c r="X71" s="105"/>
      <c r="Y71" s="105"/>
      <c r="Z71" s="107"/>
      <c r="AA71" s="103" cm="1" t="str">
        <f t="array" ref="AA71">IF(AD71="","",AD71-AC71)</f>
        <v/>
      </c>
      <c r="AB71" s="107"/>
      <c r="AC71" s="99"/>
      <c r="AD71" s="102"/>
      <c r="AE71" s="109"/>
      <c r="AF71" s="110"/>
      <c r="AG71" s="111"/>
      <c r="AH71" s="111"/>
      <c r="AI71" s="111"/>
      <c r="AJ71" s="111"/>
      <c r="AK71" s="111"/>
      <c r="AL71" s="111"/>
      <c r="AM71" s="111"/>
      <c r="AN71" s="111"/>
      <c r="AO71" s="111"/>
      <c r="AP71" s="28"/>
      <c r="AQ71" s="28"/>
      <c r="AR71" s="28"/>
    </row>
    <row r="72" spans="1:44" ht="22.5" customHeight="1">
      <c r="A72" s="14" cm="1">
        <f t="array" ref="A72">A71+1</f>
        <v>65</v>
      </c>
      <c r="B72" s="15"/>
      <c r="C72" s="22" t="s">
        <v>227</v>
      </c>
      <c r="D72" s="21"/>
      <c r="E72" s="102"/>
      <c r="F72" s="103" cm="1" t="str">
        <f t="array" ref="F72">IF($AD72="","",$H72-$G72)</f>
        <v/>
      </c>
      <c r="G72" s="104"/>
      <c r="H72" s="103" cm="1" t="str">
        <f t="array" ref="H72">IF($AD72="","",$AA72-$J72-$P72-$O72)</f>
        <v/>
      </c>
      <c r="I72" s="105"/>
      <c r="J72" s="104"/>
      <c r="K72" s="115"/>
      <c r="L72" s="116"/>
      <c r="M72" s="106"/>
      <c r="N72" s="105"/>
      <c r="O72" s="108"/>
      <c r="P72" s="104"/>
      <c r="Q72" s="106"/>
      <c r="R72" s="105"/>
      <c r="S72" s="105"/>
      <c r="T72" s="105"/>
      <c r="U72" s="105"/>
      <c r="V72" s="105"/>
      <c r="W72" s="105"/>
      <c r="X72" s="105"/>
      <c r="Y72" s="105"/>
      <c r="Z72" s="107"/>
      <c r="AA72" s="103" cm="1" t="str">
        <f t="array" ref="AA72">IF(AD72="","",AD72-AC72)</f>
        <v/>
      </c>
      <c r="AB72" s="107"/>
      <c r="AC72" s="99"/>
      <c r="AD72" s="102"/>
      <c r="AE72" s="109"/>
      <c r="AF72" s="110"/>
      <c r="AG72" s="111"/>
      <c r="AH72" s="111"/>
      <c r="AI72" s="111"/>
      <c r="AJ72" s="111"/>
      <c r="AK72" s="111"/>
      <c r="AL72" s="111"/>
      <c r="AM72" s="111"/>
      <c r="AN72" s="111"/>
      <c r="AO72" s="111"/>
      <c r="AP72" s="28"/>
      <c r="AQ72" s="28"/>
      <c r="AR72" s="28"/>
    </row>
    <row r="73" spans="1:44" ht="22.5" customHeight="1">
      <c r="A73" s="14" cm="1">
        <f t="array" ref="A73">A72+1</f>
        <v>66</v>
      </c>
      <c r="B73" s="15"/>
      <c r="C73" s="22" t="s">
        <v>228</v>
      </c>
      <c r="D73" s="21"/>
      <c r="E73" s="102"/>
      <c r="F73" s="103" cm="1" t="str">
        <f t="array" ref="F73">IF($AD73="","",$H73-$G73)</f>
        <v/>
      </c>
      <c r="G73" s="104"/>
      <c r="H73" s="103" cm="1" t="str">
        <f t="array" ref="H73">IF($AD73="","",$AA73-$J73-$P73-$O73)</f>
        <v/>
      </c>
      <c r="I73" s="105"/>
      <c r="J73" s="104"/>
      <c r="K73" s="115"/>
      <c r="L73" s="116"/>
      <c r="M73" s="106"/>
      <c r="N73" s="105"/>
      <c r="O73" s="108"/>
      <c r="P73" s="104"/>
      <c r="Q73" s="106"/>
      <c r="R73" s="105"/>
      <c r="S73" s="105"/>
      <c r="T73" s="105"/>
      <c r="U73" s="105"/>
      <c r="V73" s="105"/>
      <c r="W73" s="105"/>
      <c r="X73" s="105"/>
      <c r="Y73" s="105"/>
      <c r="Z73" s="107"/>
      <c r="AA73" s="103" cm="1" t="str">
        <f t="array" ref="AA73">IF(AD73="","",AD73-AC73)</f>
        <v/>
      </c>
      <c r="AB73" s="107"/>
      <c r="AC73" s="99"/>
      <c r="AD73" s="102"/>
      <c r="AE73" s="109"/>
      <c r="AF73" s="110"/>
      <c r="AG73" s="111"/>
      <c r="AH73" s="111"/>
      <c r="AI73" s="111"/>
      <c r="AJ73" s="111"/>
      <c r="AK73" s="111"/>
      <c r="AL73" s="111"/>
      <c r="AM73" s="111"/>
      <c r="AN73" s="111"/>
      <c r="AO73" s="111"/>
      <c r="AP73" s="28"/>
      <c r="AQ73" s="28"/>
      <c r="AR73" s="28"/>
    </row>
    <row r="74" spans="1:44" ht="22.5" customHeight="1">
      <c r="A74" s="14" cm="1">
        <f t="array" ref="A74">A73+1</f>
        <v>67</v>
      </c>
      <c r="B74" s="15"/>
      <c r="C74" s="21"/>
      <c r="D74" s="21"/>
      <c r="E74" s="102"/>
      <c r="F74" s="103" cm="1" t="str">
        <f t="array" ref="F74">IF($AD74="","",$H74-$G74)</f>
        <v/>
      </c>
      <c r="G74" s="104"/>
      <c r="H74" s="103" cm="1" t="str">
        <f t="array" ref="H74">IF($AD74="","",$AA74-$J74-$P74-$O74)</f>
        <v/>
      </c>
      <c r="I74" s="105"/>
      <c r="J74" s="104"/>
      <c r="K74" s="115"/>
      <c r="L74" s="116"/>
      <c r="M74" s="106"/>
      <c r="N74" s="105"/>
      <c r="O74" s="108"/>
      <c r="P74" s="104"/>
      <c r="Q74" s="106"/>
      <c r="R74" s="105"/>
      <c r="S74" s="105"/>
      <c r="T74" s="105"/>
      <c r="U74" s="105"/>
      <c r="V74" s="105"/>
      <c r="W74" s="105"/>
      <c r="X74" s="105"/>
      <c r="Y74" s="105"/>
      <c r="Z74" s="107"/>
      <c r="AA74" s="103" cm="1" t="str">
        <f t="array" ref="AA74">IF(AD74="","",AD74-AC74)</f>
        <v/>
      </c>
      <c r="AB74" s="107"/>
      <c r="AC74" s="99"/>
      <c r="AD74" s="102"/>
      <c r="AE74" s="109"/>
      <c r="AF74" s="110"/>
      <c r="AG74" s="111"/>
      <c r="AH74" s="111"/>
      <c r="AI74" s="111"/>
      <c r="AJ74" s="111"/>
      <c r="AK74" s="111"/>
      <c r="AL74" s="111"/>
      <c r="AM74" s="111"/>
      <c r="AN74" s="111"/>
      <c r="AO74" s="111"/>
      <c r="AP74" s="28"/>
      <c r="AQ74" s="28"/>
      <c r="AR74" s="28"/>
    </row>
    <row r="75" spans="1:44" ht="22.5" customHeight="1">
      <c r="A75" s="14" cm="1">
        <f t="array" ref="A75">A74+1</f>
        <v>68</v>
      </c>
      <c r="B75" s="15"/>
      <c r="C75" s="21"/>
      <c r="D75" s="21"/>
      <c r="E75" s="102"/>
      <c r="F75" s="103" cm="1" t="str">
        <f t="array" ref="F75">IF($AD75="","",$H75-$G75)</f>
        <v/>
      </c>
      <c r="G75" s="104"/>
      <c r="H75" s="103" cm="1" t="str">
        <f t="array" ref="H75">IF($AD75="","",$AA75-$J75-$P75-$O75)</f>
        <v/>
      </c>
      <c r="I75" s="105"/>
      <c r="J75" s="104"/>
      <c r="K75" s="115"/>
      <c r="L75" s="116"/>
      <c r="M75" s="106"/>
      <c r="N75" s="105"/>
      <c r="O75" s="108"/>
      <c r="P75" s="104"/>
      <c r="Q75" s="106"/>
      <c r="R75" s="105"/>
      <c r="S75" s="105"/>
      <c r="T75" s="105"/>
      <c r="U75" s="105"/>
      <c r="V75" s="105"/>
      <c r="W75" s="105"/>
      <c r="X75" s="105"/>
      <c r="Y75" s="105"/>
      <c r="Z75" s="107"/>
      <c r="AA75" s="103" cm="1" t="str">
        <f t="array" ref="AA75">IF(AD75="","",AD75-AC75)</f>
        <v/>
      </c>
      <c r="AB75" s="107"/>
      <c r="AC75" s="99"/>
      <c r="AD75" s="102"/>
      <c r="AE75" s="109"/>
      <c r="AF75" s="110"/>
      <c r="AG75" s="111"/>
      <c r="AH75" s="111"/>
      <c r="AI75" s="111"/>
      <c r="AJ75" s="111"/>
      <c r="AK75" s="111"/>
      <c r="AL75" s="111"/>
      <c r="AM75" s="111"/>
      <c r="AN75" s="111"/>
      <c r="AO75" s="111"/>
      <c r="AP75" s="28"/>
      <c r="AQ75" s="28"/>
      <c r="AR75" s="28"/>
    </row>
    <row r="76" spans="1:44" ht="22.5" customHeight="1">
      <c r="A76" s="14" cm="1">
        <f t="array" ref="A76">A75+1</f>
        <v>69</v>
      </c>
      <c r="B76" s="15"/>
      <c r="C76" s="21"/>
      <c r="D76" s="21"/>
      <c r="E76" s="102"/>
      <c r="F76" s="103" cm="1" t="str">
        <f t="array" ref="F76">IF($AD76="","",$H76-$G76)</f>
        <v/>
      </c>
      <c r="G76" s="104"/>
      <c r="H76" s="103" cm="1" t="str">
        <f t="array" ref="H76">IF($AD76="","",$AA76-$J76-$P76-$O76)</f>
        <v/>
      </c>
      <c r="I76" s="105"/>
      <c r="J76" s="104"/>
      <c r="K76" s="115"/>
      <c r="L76" s="116"/>
      <c r="M76" s="106"/>
      <c r="N76" s="105"/>
      <c r="O76" s="108"/>
      <c r="P76" s="104"/>
      <c r="Q76" s="106"/>
      <c r="R76" s="105"/>
      <c r="S76" s="105"/>
      <c r="T76" s="105"/>
      <c r="U76" s="105"/>
      <c r="V76" s="105"/>
      <c r="W76" s="105"/>
      <c r="X76" s="105"/>
      <c r="Y76" s="105"/>
      <c r="Z76" s="107"/>
      <c r="AA76" s="103" cm="1" t="str">
        <f t="array" ref="AA76">IF(AD76="","",AD76-AC76)</f>
        <v/>
      </c>
      <c r="AB76" s="107"/>
      <c r="AC76" s="99"/>
      <c r="AD76" s="102"/>
      <c r="AE76" s="109"/>
      <c r="AF76" s="110"/>
      <c r="AG76" s="111"/>
      <c r="AH76" s="111"/>
      <c r="AI76" s="111"/>
      <c r="AJ76" s="111"/>
      <c r="AK76" s="111"/>
      <c r="AL76" s="111"/>
      <c r="AM76" s="111"/>
      <c r="AN76" s="111"/>
      <c r="AO76" s="111"/>
      <c r="AP76" s="28"/>
      <c r="AQ76" s="28"/>
      <c r="AR76" s="28"/>
    </row>
    <row r="77" spans="1:44" ht="22.5" customHeight="1">
      <c r="A77" s="14" cm="1">
        <f t="array" ref="A77">A76+1</f>
        <v>70</v>
      </c>
      <c r="B77" s="15"/>
      <c r="C77" s="21"/>
      <c r="D77" s="21"/>
      <c r="E77" s="102"/>
      <c r="F77" s="103" cm="1" t="str">
        <f t="array" ref="F77">IF($AD77="","",$H77-$G77)</f>
        <v/>
      </c>
      <c r="G77" s="104"/>
      <c r="H77" s="103" cm="1" t="str">
        <f t="array" ref="H77">IF($AD77="","",$AA77-$J77-$P77-$O77)</f>
        <v/>
      </c>
      <c r="I77" s="105"/>
      <c r="J77" s="104"/>
      <c r="K77" s="115"/>
      <c r="L77" s="116"/>
      <c r="M77" s="106"/>
      <c r="N77" s="105"/>
      <c r="O77" s="108"/>
      <c r="P77" s="104"/>
      <c r="Q77" s="106"/>
      <c r="R77" s="105"/>
      <c r="S77" s="105"/>
      <c r="T77" s="105"/>
      <c r="U77" s="105"/>
      <c r="V77" s="105"/>
      <c r="W77" s="105"/>
      <c r="X77" s="105"/>
      <c r="Y77" s="105"/>
      <c r="Z77" s="107"/>
      <c r="AA77" s="103" cm="1" t="str">
        <f t="array" ref="AA77">IF(AD77="","",AD77-AC77)</f>
        <v/>
      </c>
      <c r="AB77" s="107"/>
      <c r="AC77" s="99"/>
      <c r="AD77" s="102"/>
      <c r="AE77" s="109"/>
      <c r="AF77" s="110"/>
      <c r="AG77" s="111"/>
      <c r="AH77" s="111"/>
      <c r="AI77" s="111"/>
      <c r="AJ77" s="111"/>
      <c r="AK77" s="111"/>
      <c r="AL77" s="111"/>
      <c r="AM77" s="111"/>
      <c r="AN77" s="111"/>
      <c r="AO77" s="111"/>
      <c r="AP77" s="28"/>
      <c r="AQ77" s="28"/>
      <c r="AR77" s="28"/>
    </row>
    <row r="78" spans="1:44" ht="22.5" customHeight="1">
      <c r="A78" s="14" cm="1">
        <f t="array" ref="A78">A77+1</f>
        <v>71</v>
      </c>
      <c r="B78" s="15"/>
      <c r="C78" s="21"/>
      <c r="D78" s="21"/>
      <c r="E78" s="102"/>
      <c r="F78" s="103" cm="1" t="str">
        <f t="array" ref="F78">IF($AD78="","",$H78-$G78)</f>
        <v/>
      </c>
      <c r="G78" s="104"/>
      <c r="H78" s="103" cm="1" t="str">
        <f t="array" ref="H78">IF($AD78="","",$AA78-$J78-$P78-$O78)</f>
        <v/>
      </c>
      <c r="I78" s="105"/>
      <c r="J78" s="104"/>
      <c r="K78" s="115"/>
      <c r="L78" s="116"/>
      <c r="M78" s="106"/>
      <c r="N78" s="105"/>
      <c r="O78" s="108"/>
      <c r="P78" s="104"/>
      <c r="Q78" s="106"/>
      <c r="R78" s="105"/>
      <c r="S78" s="105"/>
      <c r="T78" s="105"/>
      <c r="U78" s="105"/>
      <c r="V78" s="105"/>
      <c r="W78" s="105"/>
      <c r="X78" s="105"/>
      <c r="Y78" s="105"/>
      <c r="Z78" s="107"/>
      <c r="AA78" s="103" cm="1" t="str">
        <f t="array" ref="AA78">IF(AD78="","",AD78-AC78)</f>
        <v/>
      </c>
      <c r="AB78" s="107"/>
      <c r="AC78" s="99"/>
      <c r="AD78" s="102"/>
      <c r="AE78" s="109"/>
      <c r="AF78" s="110"/>
      <c r="AG78" s="111"/>
      <c r="AH78" s="111"/>
      <c r="AI78" s="111"/>
      <c r="AJ78" s="111"/>
      <c r="AK78" s="111"/>
      <c r="AL78" s="111"/>
      <c r="AM78" s="111"/>
      <c r="AN78" s="111"/>
      <c r="AO78" s="111"/>
      <c r="AP78" s="28"/>
      <c r="AQ78" s="28"/>
      <c r="AR78" s="28"/>
    </row>
    <row r="79" spans="1:44" ht="22.5" customHeight="1">
      <c r="A79" s="14" cm="1">
        <f t="array" ref="A79">A78+1</f>
        <v>72</v>
      </c>
      <c r="B79" s="15"/>
      <c r="C79" s="21"/>
      <c r="D79" s="21"/>
      <c r="E79" s="102"/>
      <c r="F79" s="103" cm="1" t="str">
        <f t="array" ref="F79">IF($AD79="","",$H79-$G79)</f>
        <v/>
      </c>
      <c r="G79" s="104"/>
      <c r="H79" s="103" cm="1" t="str">
        <f t="array" ref="H79">IF($AD79="","",$AA79-$J79-$P79-$O79)</f>
        <v/>
      </c>
      <c r="I79" s="105"/>
      <c r="J79" s="104"/>
      <c r="K79" s="115"/>
      <c r="L79" s="116"/>
      <c r="M79" s="106"/>
      <c r="N79" s="105"/>
      <c r="O79" s="108"/>
      <c r="P79" s="104"/>
      <c r="Q79" s="106"/>
      <c r="R79" s="105"/>
      <c r="S79" s="105"/>
      <c r="T79" s="105"/>
      <c r="U79" s="105"/>
      <c r="V79" s="105"/>
      <c r="W79" s="105"/>
      <c r="X79" s="105"/>
      <c r="Y79" s="105"/>
      <c r="Z79" s="107"/>
      <c r="AA79" s="103" cm="1" t="str">
        <f t="array" ref="AA79">IF(AD79="","",AD79-AC79)</f>
        <v/>
      </c>
      <c r="AB79" s="107"/>
      <c r="AC79" s="99"/>
      <c r="AD79" s="102"/>
      <c r="AE79" s="109"/>
      <c r="AF79" s="110"/>
      <c r="AG79" s="111"/>
      <c r="AH79" s="111"/>
      <c r="AI79" s="111"/>
      <c r="AJ79" s="111"/>
      <c r="AK79" s="111"/>
      <c r="AL79" s="111"/>
      <c r="AM79" s="111"/>
      <c r="AN79" s="111"/>
      <c r="AO79" s="111"/>
      <c r="AP79" s="28"/>
      <c r="AQ79" s="28"/>
      <c r="AR79" s="28"/>
    </row>
    <row r="80" spans="1:44" ht="22.5" customHeight="1">
      <c r="A80" s="14" cm="1">
        <f t="array" ref="A80">A79+1</f>
        <v>73</v>
      </c>
      <c r="B80" s="15"/>
      <c r="C80" s="21"/>
      <c r="D80" s="21"/>
      <c r="E80" s="102"/>
      <c r="F80" s="103" cm="1" t="str">
        <f t="array" ref="F80">IF($AD80="","",$H80-$G80)</f>
        <v/>
      </c>
      <c r="G80" s="104"/>
      <c r="H80" s="103" cm="1" t="str">
        <f t="array" ref="H80">IF($AD80="","",$AA80-$J80-$P80-$O80)</f>
        <v/>
      </c>
      <c r="I80" s="105"/>
      <c r="J80" s="104"/>
      <c r="K80" s="115"/>
      <c r="L80" s="116"/>
      <c r="M80" s="106"/>
      <c r="N80" s="105"/>
      <c r="O80" s="108"/>
      <c r="P80" s="104"/>
      <c r="Q80" s="106"/>
      <c r="R80" s="105"/>
      <c r="S80" s="105"/>
      <c r="T80" s="105"/>
      <c r="U80" s="105"/>
      <c r="V80" s="105"/>
      <c r="W80" s="105"/>
      <c r="X80" s="105"/>
      <c r="Y80" s="105"/>
      <c r="Z80" s="107"/>
      <c r="AA80" s="103" cm="1" t="str">
        <f t="array" ref="AA80">IF(AD80="","",AD80-AC80)</f>
        <v/>
      </c>
      <c r="AB80" s="107"/>
      <c r="AC80" s="99"/>
      <c r="AD80" s="102"/>
      <c r="AE80" s="109"/>
      <c r="AF80" s="110"/>
      <c r="AG80" s="111"/>
      <c r="AH80" s="111"/>
      <c r="AI80" s="111"/>
      <c r="AJ80" s="111"/>
      <c r="AK80" s="111"/>
      <c r="AL80" s="111"/>
      <c r="AM80" s="111"/>
      <c r="AN80" s="111"/>
      <c r="AO80" s="111"/>
      <c r="AP80" s="28"/>
      <c r="AQ80" s="28"/>
      <c r="AR80" s="28"/>
    </row>
    <row r="81" spans="1:44" ht="22.5" customHeight="1">
      <c r="A81" s="14" cm="1">
        <f t="array" ref="A81">A80+1</f>
        <v>74</v>
      </c>
      <c r="B81" s="15"/>
      <c r="C81" s="22" t="s">
        <v>229</v>
      </c>
      <c r="D81" s="21"/>
      <c r="E81" s="102"/>
      <c r="F81" s="103" cm="1" t="str">
        <f t="array" ref="F81">IF($AD81="","",$H81-$G81)</f>
        <v/>
      </c>
      <c r="G81" s="104"/>
      <c r="H81" s="103" cm="1" t="str">
        <f t="array" ref="H81">IF($AD81="","",$AA81-$J81-$P81-$O81)</f>
        <v/>
      </c>
      <c r="I81" s="105"/>
      <c r="J81" s="104"/>
      <c r="K81" s="115"/>
      <c r="L81" s="116"/>
      <c r="M81" s="106"/>
      <c r="N81" s="105"/>
      <c r="O81" s="108"/>
      <c r="P81" s="104"/>
      <c r="Q81" s="106"/>
      <c r="R81" s="105"/>
      <c r="S81" s="105"/>
      <c r="T81" s="105"/>
      <c r="U81" s="105"/>
      <c r="V81" s="105"/>
      <c r="W81" s="105"/>
      <c r="X81" s="105"/>
      <c r="Y81" s="105"/>
      <c r="Z81" s="107"/>
      <c r="AA81" s="103" cm="1" t="str">
        <f t="array" ref="AA81">IF(AD81="","",AD81-AC81)</f>
        <v/>
      </c>
      <c r="AB81" s="107"/>
      <c r="AC81" s="99"/>
      <c r="AD81" s="102"/>
      <c r="AE81" s="109"/>
      <c r="AF81" s="110"/>
      <c r="AG81" s="111"/>
      <c r="AH81" s="111"/>
      <c r="AI81" s="111"/>
      <c r="AJ81" s="111"/>
      <c r="AK81" s="111"/>
      <c r="AL81" s="111"/>
      <c r="AM81" s="111"/>
      <c r="AN81" s="111"/>
      <c r="AO81" s="111"/>
      <c r="AP81" s="28"/>
      <c r="AQ81" s="28"/>
      <c r="AR81" s="28"/>
    </row>
    <row r="82" spans="1:44" ht="22.5" customHeight="1">
      <c r="A82" s="14" cm="1">
        <f t="array" ref="A82">A81+1</f>
        <v>75</v>
      </c>
      <c r="B82" s="15"/>
      <c r="C82" s="22" t="s">
        <v>230</v>
      </c>
      <c r="D82" s="21"/>
      <c r="E82" s="102"/>
      <c r="F82" s="103" cm="1" t="str">
        <f t="array" ref="F82">IF($AD82="","",$H82-$G82)</f>
        <v/>
      </c>
      <c r="G82" s="104"/>
      <c r="H82" s="103" cm="1" t="str">
        <f t="array" ref="H82">IF($AD82="","",$AA82-$J82-$P82-$O82)</f>
        <v/>
      </c>
      <c r="I82" s="105"/>
      <c r="J82" s="104"/>
      <c r="K82" s="115"/>
      <c r="L82" s="116"/>
      <c r="M82" s="106"/>
      <c r="N82" s="105"/>
      <c r="O82" s="108"/>
      <c r="P82" s="104"/>
      <c r="Q82" s="106"/>
      <c r="R82" s="105"/>
      <c r="S82" s="105"/>
      <c r="T82" s="105"/>
      <c r="U82" s="105"/>
      <c r="V82" s="105"/>
      <c r="W82" s="105"/>
      <c r="X82" s="105"/>
      <c r="Y82" s="105"/>
      <c r="Z82" s="107"/>
      <c r="AA82" s="103" cm="1" t="str">
        <f t="array" ref="AA82">IF(AD82="","",AD82-AC82)</f>
        <v/>
      </c>
      <c r="AB82" s="107"/>
      <c r="AC82" s="99"/>
      <c r="AD82" s="102"/>
      <c r="AE82" s="109"/>
      <c r="AF82" s="110"/>
      <c r="AG82" s="111"/>
      <c r="AH82" s="111"/>
      <c r="AI82" s="111"/>
      <c r="AJ82" s="111"/>
      <c r="AK82" s="111"/>
      <c r="AL82" s="111"/>
      <c r="AM82" s="111"/>
      <c r="AN82" s="111"/>
      <c r="AO82" s="111"/>
      <c r="AP82" s="28"/>
      <c r="AQ82" s="28"/>
      <c r="AR82" s="28"/>
    </row>
    <row r="83" spans="1:44" ht="22.5" customHeight="1">
      <c r="A83" s="14" cm="1">
        <f t="array" ref="A83">A82+1</f>
        <v>76</v>
      </c>
      <c r="B83" s="15"/>
      <c r="C83" s="22" t="s">
        <v>231</v>
      </c>
      <c r="D83" s="21"/>
      <c r="E83" s="102"/>
      <c r="F83" s="103" cm="1" t="str">
        <f t="array" ref="F83">IF($AD83="","",$H83-$G83)</f>
        <v/>
      </c>
      <c r="G83" s="104"/>
      <c r="H83" s="103" cm="1" t="str">
        <f t="array" ref="H83">IF($AD83="","",$AA83-$J83-$P83-$O83)</f>
        <v/>
      </c>
      <c r="I83" s="105"/>
      <c r="J83" s="104"/>
      <c r="K83" s="115"/>
      <c r="L83" s="116"/>
      <c r="M83" s="106"/>
      <c r="N83" s="105"/>
      <c r="O83" s="108"/>
      <c r="P83" s="104"/>
      <c r="Q83" s="106"/>
      <c r="R83" s="105"/>
      <c r="S83" s="105"/>
      <c r="T83" s="105"/>
      <c r="U83" s="105"/>
      <c r="V83" s="105"/>
      <c r="W83" s="105"/>
      <c r="X83" s="105"/>
      <c r="Y83" s="105"/>
      <c r="Z83" s="107"/>
      <c r="AA83" s="103" cm="1" t="str">
        <f t="array" ref="AA83">IF(AD83="","",AD83-AC83)</f>
        <v/>
      </c>
      <c r="AB83" s="107"/>
      <c r="AC83" s="99"/>
      <c r="AD83" s="102"/>
      <c r="AE83" s="109"/>
      <c r="AF83" s="110"/>
      <c r="AG83" s="111"/>
      <c r="AH83" s="111"/>
      <c r="AI83" s="111"/>
      <c r="AJ83" s="111"/>
      <c r="AK83" s="111"/>
      <c r="AL83" s="111"/>
      <c r="AM83" s="111"/>
      <c r="AN83" s="111"/>
      <c r="AO83" s="111"/>
      <c r="AP83" s="28"/>
      <c r="AQ83" s="28"/>
      <c r="AR83" s="28"/>
    </row>
    <row r="84" spans="1:44" ht="22.5" customHeight="1">
      <c r="A84" s="14" cm="1">
        <f t="array" ref="A84">A83+1</f>
        <v>77</v>
      </c>
      <c r="B84" s="15"/>
      <c r="C84" s="22" t="s">
        <v>232</v>
      </c>
      <c r="D84" s="21"/>
      <c r="E84" s="102"/>
      <c r="F84" s="103" cm="1" t="str">
        <f t="array" ref="F84">IF($AD84="","",$H84-$G84)</f>
        <v/>
      </c>
      <c r="G84" s="104"/>
      <c r="H84" s="103" cm="1" t="str">
        <f t="array" ref="H84">IF($AD84="","",$AA84-$J84-$P84-$O84)</f>
        <v/>
      </c>
      <c r="I84" s="105"/>
      <c r="J84" s="104"/>
      <c r="K84" s="115"/>
      <c r="L84" s="116"/>
      <c r="M84" s="106"/>
      <c r="N84" s="105"/>
      <c r="O84" s="108"/>
      <c r="P84" s="104"/>
      <c r="Q84" s="106"/>
      <c r="R84" s="105"/>
      <c r="S84" s="105"/>
      <c r="T84" s="105"/>
      <c r="U84" s="105"/>
      <c r="V84" s="105"/>
      <c r="W84" s="105"/>
      <c r="X84" s="105"/>
      <c r="Y84" s="105"/>
      <c r="Z84" s="107"/>
      <c r="AA84" s="103" cm="1" t="str">
        <f t="array" ref="AA84">IF(AD84="","",AD84-AC84)</f>
        <v/>
      </c>
      <c r="AB84" s="107"/>
      <c r="AC84" s="99"/>
      <c r="AD84" s="102"/>
      <c r="AE84" s="109"/>
      <c r="AF84" s="110"/>
      <c r="AG84" s="111"/>
      <c r="AH84" s="111"/>
      <c r="AI84" s="111"/>
      <c r="AJ84" s="111"/>
      <c r="AK84" s="111"/>
      <c r="AL84" s="111"/>
      <c r="AM84" s="111"/>
      <c r="AN84" s="111"/>
      <c r="AO84" s="111"/>
      <c r="AP84" s="28"/>
      <c r="AQ84" s="28"/>
      <c r="AR84" s="28"/>
    </row>
    <row r="85" spans="1:44" ht="22.5" customHeight="1">
      <c r="A85" s="14" cm="1">
        <f t="array" ref="A85">A84+1</f>
        <v>78</v>
      </c>
      <c r="B85" s="15"/>
      <c r="C85" s="22" t="s">
        <v>233</v>
      </c>
      <c r="D85" s="21"/>
      <c r="E85" s="102"/>
      <c r="F85" s="103" cm="1" t="str">
        <f t="array" ref="F85">IF($AD85="","",$H85-$G85)</f>
        <v/>
      </c>
      <c r="G85" s="104"/>
      <c r="H85" s="103" cm="1" t="str">
        <f t="array" ref="H85">IF($AD85="","",$AA85-$J85-$P85-$O85)</f>
        <v/>
      </c>
      <c r="I85" s="105"/>
      <c r="J85" s="104"/>
      <c r="K85" s="115"/>
      <c r="L85" s="116"/>
      <c r="M85" s="106"/>
      <c r="N85" s="105"/>
      <c r="O85" s="108"/>
      <c r="P85" s="104"/>
      <c r="Q85" s="106"/>
      <c r="R85" s="105"/>
      <c r="S85" s="105"/>
      <c r="T85" s="105"/>
      <c r="U85" s="105"/>
      <c r="V85" s="105"/>
      <c r="W85" s="105"/>
      <c r="X85" s="105"/>
      <c r="Y85" s="105"/>
      <c r="Z85" s="107"/>
      <c r="AA85" s="103" cm="1" t="str">
        <f t="array" ref="AA85">IF(AD85="","",AD85-AC85)</f>
        <v/>
      </c>
      <c r="AB85" s="107"/>
      <c r="AC85" s="99"/>
      <c r="AD85" s="102"/>
      <c r="AE85" s="109"/>
      <c r="AF85" s="110"/>
      <c r="AG85" s="111"/>
      <c r="AH85" s="111"/>
      <c r="AI85" s="111"/>
      <c r="AJ85" s="111"/>
      <c r="AK85" s="111"/>
      <c r="AL85" s="111"/>
      <c r="AM85" s="111"/>
      <c r="AN85" s="111"/>
      <c r="AO85" s="111"/>
      <c r="AP85" s="28"/>
      <c r="AQ85" s="28"/>
      <c r="AR85" s="28"/>
    </row>
    <row r="86" spans="1:44" ht="22.5" customHeight="1">
      <c r="A86" s="14" cm="1">
        <f t="array" ref="A86">A85+1</f>
        <v>79</v>
      </c>
      <c r="B86" s="15"/>
      <c r="C86" s="22" t="s">
        <v>234</v>
      </c>
      <c r="D86" s="21"/>
      <c r="E86" s="102"/>
      <c r="F86" s="103" cm="1" t="str">
        <f t="array" ref="F86">IF($AD86="","",$H86-$G86)</f>
        <v/>
      </c>
      <c r="G86" s="104"/>
      <c r="H86" s="103" cm="1" t="str">
        <f t="array" ref="H86">IF($AD86="","",$AA86-$J86-$P86-$O86)</f>
        <v/>
      </c>
      <c r="I86" s="105"/>
      <c r="J86" s="104"/>
      <c r="K86" s="115"/>
      <c r="L86" s="116"/>
      <c r="M86" s="106"/>
      <c r="N86" s="105"/>
      <c r="O86" s="108"/>
      <c r="P86" s="104"/>
      <c r="Q86" s="106"/>
      <c r="R86" s="105"/>
      <c r="S86" s="105"/>
      <c r="T86" s="105"/>
      <c r="U86" s="105"/>
      <c r="V86" s="105"/>
      <c r="W86" s="105"/>
      <c r="X86" s="105"/>
      <c r="Y86" s="105"/>
      <c r="Z86" s="107"/>
      <c r="AA86" s="103" cm="1" t="str">
        <f t="array" ref="AA86">IF(AD86="","",AD86-AC86)</f>
        <v/>
      </c>
      <c r="AB86" s="107"/>
      <c r="AC86" s="99"/>
      <c r="AD86" s="102"/>
      <c r="AE86" s="109"/>
      <c r="AF86" s="110"/>
      <c r="AG86" s="111"/>
      <c r="AH86" s="111"/>
      <c r="AI86" s="111"/>
      <c r="AJ86" s="111"/>
      <c r="AK86" s="111"/>
      <c r="AL86" s="111"/>
      <c r="AM86" s="111"/>
      <c r="AN86" s="111"/>
      <c r="AO86" s="111"/>
      <c r="AP86" s="28"/>
      <c r="AQ86" s="28"/>
      <c r="AR86" s="28"/>
    </row>
    <row r="87" spans="1:44" ht="22.5" customHeight="1">
      <c r="A87" s="14" cm="1">
        <f t="array" ref="A87">A86+1</f>
        <v>80</v>
      </c>
      <c r="B87" s="15"/>
      <c r="C87" s="22" t="s">
        <v>235</v>
      </c>
      <c r="D87" s="21"/>
      <c r="E87" s="102"/>
      <c r="F87" s="103" cm="1" t="str">
        <f t="array" ref="F87">IF($AD87="","",$H87-$G87)</f>
        <v/>
      </c>
      <c r="G87" s="104"/>
      <c r="H87" s="103" cm="1" t="str">
        <f t="array" ref="H87">IF($AD87="","",$AA87-$J87-$P87-$O87)</f>
        <v/>
      </c>
      <c r="I87" s="105"/>
      <c r="J87" s="104"/>
      <c r="K87" s="115"/>
      <c r="L87" s="116"/>
      <c r="M87" s="106"/>
      <c r="N87" s="105"/>
      <c r="O87" s="108"/>
      <c r="P87" s="104"/>
      <c r="Q87" s="106"/>
      <c r="R87" s="105"/>
      <c r="S87" s="105"/>
      <c r="T87" s="105"/>
      <c r="U87" s="105"/>
      <c r="V87" s="105"/>
      <c r="W87" s="105"/>
      <c r="X87" s="105"/>
      <c r="Y87" s="105"/>
      <c r="Z87" s="107"/>
      <c r="AA87" s="103" cm="1" t="str">
        <f t="array" ref="AA87">IF(AD87="","",AD87-AC87)</f>
        <v/>
      </c>
      <c r="AB87" s="107"/>
      <c r="AC87" s="99"/>
      <c r="AD87" s="102"/>
      <c r="AE87" s="109"/>
      <c r="AF87" s="110"/>
      <c r="AG87" s="111"/>
      <c r="AH87" s="111"/>
      <c r="AI87" s="111"/>
      <c r="AJ87" s="111"/>
      <c r="AK87" s="111"/>
      <c r="AL87" s="111"/>
      <c r="AM87" s="111"/>
      <c r="AN87" s="111"/>
      <c r="AO87" s="111"/>
      <c r="AP87" s="28"/>
      <c r="AQ87" s="28"/>
      <c r="AR87" s="28"/>
    </row>
    <row r="88" spans="1:44" ht="22.5" customHeight="1">
      <c r="A88" s="14" cm="1">
        <f t="array" ref="A88">A87+1</f>
        <v>81</v>
      </c>
      <c r="B88" s="15"/>
      <c r="C88" s="22" t="s">
        <v>236</v>
      </c>
      <c r="D88" s="21"/>
      <c r="E88" s="102"/>
      <c r="F88" s="103" cm="1" t="str">
        <f t="array" ref="F88">IF($AD88="","",$H88-$G88)</f>
        <v/>
      </c>
      <c r="G88" s="104"/>
      <c r="H88" s="103" cm="1" t="str">
        <f t="array" ref="H88">IF($AD88="","",$AA88-$J88-$P88-$O88)</f>
        <v/>
      </c>
      <c r="I88" s="105"/>
      <c r="J88" s="104"/>
      <c r="K88" s="115"/>
      <c r="L88" s="116"/>
      <c r="M88" s="106"/>
      <c r="N88" s="105"/>
      <c r="O88" s="108"/>
      <c r="P88" s="104"/>
      <c r="Q88" s="106"/>
      <c r="R88" s="105"/>
      <c r="S88" s="105"/>
      <c r="T88" s="105"/>
      <c r="U88" s="105"/>
      <c r="V88" s="105"/>
      <c r="W88" s="105"/>
      <c r="X88" s="105"/>
      <c r="Y88" s="105"/>
      <c r="Z88" s="107"/>
      <c r="AA88" s="103" cm="1" t="str">
        <f t="array" ref="AA88">IF(AD88="","",AD88-AC88)</f>
        <v/>
      </c>
      <c r="AB88" s="107"/>
      <c r="AC88" s="99"/>
      <c r="AD88" s="102"/>
      <c r="AE88" s="109"/>
      <c r="AF88" s="110"/>
      <c r="AG88" s="111"/>
      <c r="AH88" s="111"/>
      <c r="AI88" s="111"/>
      <c r="AJ88" s="111"/>
      <c r="AK88" s="111"/>
      <c r="AL88" s="111"/>
      <c r="AM88" s="111"/>
      <c r="AN88" s="111"/>
      <c r="AO88" s="111"/>
      <c r="AP88" s="28"/>
      <c r="AQ88" s="28"/>
      <c r="AR88" s="28"/>
    </row>
    <row r="89" spans="1:44" ht="22.5" customHeight="1">
      <c r="A89" s="14" cm="1">
        <f t="array" ref="A89">A88+1</f>
        <v>82</v>
      </c>
      <c r="B89" s="15"/>
      <c r="C89" s="22" t="s">
        <v>237</v>
      </c>
      <c r="D89" s="21"/>
      <c r="E89" s="102"/>
      <c r="F89" s="103" cm="1" t="str">
        <f t="array" ref="F89">IF($AD89="","",$H89-$G89)</f>
        <v/>
      </c>
      <c r="G89" s="104"/>
      <c r="H89" s="103" cm="1" t="str">
        <f t="array" ref="H89">IF($AD89="","",$AA89-$J89-$P89-$O89)</f>
        <v/>
      </c>
      <c r="I89" s="105"/>
      <c r="J89" s="104"/>
      <c r="K89" s="115"/>
      <c r="L89" s="116"/>
      <c r="M89" s="106"/>
      <c r="N89" s="105"/>
      <c r="O89" s="108"/>
      <c r="P89" s="104"/>
      <c r="Q89" s="106"/>
      <c r="R89" s="105"/>
      <c r="S89" s="105"/>
      <c r="T89" s="105"/>
      <c r="U89" s="105"/>
      <c r="V89" s="105"/>
      <c r="W89" s="105"/>
      <c r="X89" s="105"/>
      <c r="Y89" s="105"/>
      <c r="Z89" s="107"/>
      <c r="AA89" s="103" cm="1" t="str">
        <f t="array" ref="AA89">IF(AD89="","",AD89-AC89)</f>
        <v/>
      </c>
      <c r="AB89" s="107"/>
      <c r="AC89" s="99"/>
      <c r="AD89" s="102"/>
      <c r="AE89" s="109"/>
      <c r="AF89" s="110"/>
      <c r="AG89" s="111"/>
      <c r="AH89" s="111"/>
      <c r="AI89" s="111"/>
      <c r="AJ89" s="111"/>
      <c r="AK89" s="111"/>
      <c r="AL89" s="111"/>
      <c r="AM89" s="111"/>
      <c r="AN89" s="111"/>
      <c r="AO89" s="111"/>
      <c r="AP89" s="28"/>
      <c r="AQ89" s="28"/>
      <c r="AR89" s="28"/>
    </row>
    <row r="90" spans="1:44" ht="22.5" customHeight="1">
      <c r="A90" s="14" cm="1">
        <f t="array" ref="A90">A89+1</f>
        <v>83</v>
      </c>
      <c r="B90" s="15"/>
      <c r="C90" s="22" t="s">
        <v>238</v>
      </c>
      <c r="D90" s="21"/>
      <c r="E90" s="102"/>
      <c r="F90" s="103" cm="1" t="str">
        <f t="array" ref="F90">IF($AD90="","",$H90-$G90)</f>
        <v/>
      </c>
      <c r="G90" s="104"/>
      <c r="H90" s="103" cm="1" t="str">
        <f t="array" ref="H90">IF($AD90="","",$AA90-$J90-$P90-$O90)</f>
        <v/>
      </c>
      <c r="I90" s="105"/>
      <c r="J90" s="104"/>
      <c r="K90" s="115"/>
      <c r="L90" s="116"/>
      <c r="M90" s="106"/>
      <c r="N90" s="105"/>
      <c r="O90" s="108"/>
      <c r="P90" s="104"/>
      <c r="Q90" s="106"/>
      <c r="R90" s="105"/>
      <c r="S90" s="105"/>
      <c r="T90" s="105"/>
      <c r="U90" s="105"/>
      <c r="V90" s="105"/>
      <c r="W90" s="105"/>
      <c r="X90" s="105"/>
      <c r="Y90" s="105"/>
      <c r="Z90" s="107"/>
      <c r="AA90" s="103" cm="1" t="str">
        <f t="array" ref="AA90">IF(AD90="","",AD90-AC90)</f>
        <v/>
      </c>
      <c r="AB90" s="107"/>
      <c r="AC90" s="99"/>
      <c r="AD90" s="102"/>
      <c r="AE90" s="109"/>
      <c r="AF90" s="110"/>
      <c r="AG90" s="111"/>
      <c r="AH90" s="111"/>
      <c r="AI90" s="111"/>
      <c r="AJ90" s="111"/>
      <c r="AK90" s="111"/>
      <c r="AL90" s="111"/>
      <c r="AM90" s="111"/>
      <c r="AN90" s="111"/>
      <c r="AO90" s="111"/>
      <c r="AP90" s="28"/>
      <c r="AQ90" s="28"/>
      <c r="AR90" s="28"/>
    </row>
    <row r="91" spans="1:44" ht="22.5" customHeight="1">
      <c r="A91" s="14" cm="1">
        <f t="array" ref="A91">A90+1</f>
        <v>84</v>
      </c>
      <c r="B91" s="15"/>
      <c r="C91" s="22" t="s">
        <v>206</v>
      </c>
      <c r="D91" s="21"/>
      <c r="E91" s="102"/>
      <c r="F91" s="103" cm="1" t="str">
        <f t="array" ref="F91">IF($AD91="","",$H91-$G91)</f>
        <v/>
      </c>
      <c r="G91" s="104"/>
      <c r="H91" s="103" cm="1" t="str">
        <f t="array" ref="H91">IF($AD91="","",$AA91-$J91-$P91-$O91)</f>
        <v/>
      </c>
      <c r="I91" s="105"/>
      <c r="J91" s="104"/>
      <c r="K91" s="115"/>
      <c r="L91" s="116"/>
      <c r="M91" s="106"/>
      <c r="N91" s="105"/>
      <c r="O91" s="108"/>
      <c r="P91" s="104"/>
      <c r="Q91" s="106"/>
      <c r="R91" s="105"/>
      <c r="S91" s="105"/>
      <c r="T91" s="105"/>
      <c r="U91" s="105"/>
      <c r="V91" s="105"/>
      <c r="W91" s="105"/>
      <c r="X91" s="105"/>
      <c r="Y91" s="105"/>
      <c r="Z91" s="107"/>
      <c r="AA91" s="103" cm="1" t="str">
        <f t="array" ref="AA91">IF(AD91="","",AD91-AC91)</f>
        <v/>
      </c>
      <c r="AB91" s="107"/>
      <c r="AC91" s="99"/>
      <c r="AD91" s="102"/>
      <c r="AE91" s="109"/>
      <c r="AF91" s="110"/>
      <c r="AG91" s="111"/>
      <c r="AH91" s="111"/>
      <c r="AI91" s="111"/>
      <c r="AJ91" s="111"/>
      <c r="AK91" s="111"/>
      <c r="AL91" s="111"/>
      <c r="AM91" s="111"/>
      <c r="AN91" s="111"/>
      <c r="AO91" s="111"/>
      <c r="AP91" s="28"/>
      <c r="AQ91" s="28"/>
      <c r="AR91" s="28"/>
    </row>
    <row r="92" spans="1:44" ht="22.5" customHeight="1">
      <c r="A92" s="14" cm="1">
        <f t="array" ref="A92">A91+1</f>
        <v>85</v>
      </c>
      <c r="B92" s="15"/>
      <c r="C92" s="22" t="s">
        <v>239</v>
      </c>
      <c r="D92" s="21"/>
      <c r="E92" s="102"/>
      <c r="F92" s="103" cm="1" t="str">
        <f t="array" ref="F92">IF($AD92="","",$H92-$G92)</f>
        <v/>
      </c>
      <c r="G92" s="104"/>
      <c r="H92" s="103" cm="1" t="str">
        <f t="array" ref="H92">IF($AD92="","",$AA92-$J92-$P92-$O92)</f>
        <v/>
      </c>
      <c r="I92" s="105"/>
      <c r="J92" s="104"/>
      <c r="K92" s="115"/>
      <c r="L92" s="116"/>
      <c r="M92" s="106"/>
      <c r="N92" s="105"/>
      <c r="O92" s="108"/>
      <c r="P92" s="104"/>
      <c r="Q92" s="106"/>
      <c r="R92" s="105"/>
      <c r="S92" s="105"/>
      <c r="T92" s="105"/>
      <c r="U92" s="105"/>
      <c r="V92" s="105"/>
      <c r="W92" s="105"/>
      <c r="X92" s="105"/>
      <c r="Y92" s="105"/>
      <c r="Z92" s="107"/>
      <c r="AA92" s="103" cm="1" t="str">
        <f t="array" ref="AA92">IF(AD92="","",AD92-AC92)</f>
        <v/>
      </c>
      <c r="AB92" s="107"/>
      <c r="AC92" s="99"/>
      <c r="AD92" s="102"/>
      <c r="AE92" s="109"/>
      <c r="AF92" s="110"/>
      <c r="AG92" s="111"/>
      <c r="AH92" s="111"/>
      <c r="AI92" s="111"/>
      <c r="AJ92" s="111"/>
      <c r="AK92" s="111"/>
      <c r="AL92" s="111"/>
      <c r="AM92" s="111"/>
      <c r="AN92" s="111"/>
      <c r="AO92" s="111"/>
      <c r="AP92" s="28"/>
      <c r="AQ92" s="28"/>
      <c r="AR92" s="28"/>
    </row>
    <row r="93" spans="1:44" ht="22.5" customHeight="1">
      <c r="A93" s="14" cm="1">
        <f t="array" ref="A93">A92+1</f>
        <v>86</v>
      </c>
      <c r="B93" s="15"/>
      <c r="C93" s="22" t="s">
        <v>240</v>
      </c>
      <c r="D93" s="21"/>
      <c r="E93" s="102"/>
      <c r="F93" s="103" cm="1" t="str">
        <f t="array" ref="F93">IF($AD93="","",$H93-$G93)</f>
        <v/>
      </c>
      <c r="G93" s="104"/>
      <c r="H93" s="103" cm="1" t="str">
        <f t="array" ref="H93">IF($AD93="","",$AA93-$J93-$P93-$O93)</f>
        <v/>
      </c>
      <c r="I93" s="105"/>
      <c r="J93" s="104"/>
      <c r="K93" s="115"/>
      <c r="L93" s="116"/>
      <c r="M93" s="106"/>
      <c r="N93" s="105"/>
      <c r="O93" s="108"/>
      <c r="P93" s="104"/>
      <c r="Q93" s="106"/>
      <c r="R93" s="105"/>
      <c r="S93" s="105"/>
      <c r="T93" s="105"/>
      <c r="U93" s="105"/>
      <c r="V93" s="105"/>
      <c r="W93" s="105"/>
      <c r="X93" s="105"/>
      <c r="Y93" s="105"/>
      <c r="Z93" s="107"/>
      <c r="AA93" s="103" cm="1" t="str">
        <f t="array" ref="AA93">IF(AD93="","",AD93-AC93)</f>
        <v/>
      </c>
      <c r="AB93" s="107"/>
      <c r="AC93" s="99"/>
      <c r="AD93" s="102"/>
      <c r="AE93" s="109"/>
      <c r="AF93" s="110"/>
      <c r="AG93" s="111"/>
      <c r="AH93" s="111"/>
      <c r="AI93" s="111"/>
      <c r="AJ93" s="111"/>
      <c r="AK93" s="111"/>
      <c r="AL93" s="111"/>
      <c r="AM93" s="111"/>
      <c r="AN93" s="111"/>
      <c r="AO93" s="111"/>
      <c r="AP93" s="28"/>
      <c r="AQ93" s="28"/>
      <c r="AR93" s="28"/>
    </row>
    <row r="94" spans="1:44" ht="22.5" customHeight="1">
      <c r="A94" s="14" cm="1">
        <f t="array" ref="A94">A93+1</f>
        <v>87</v>
      </c>
      <c r="B94" s="15"/>
      <c r="C94" s="22" t="s">
        <v>241</v>
      </c>
      <c r="D94" s="21"/>
      <c r="E94" s="102"/>
      <c r="F94" s="103" cm="1" t="str">
        <f t="array" ref="F94">IF($AD94="","",$H94-$G94)</f>
        <v/>
      </c>
      <c r="G94" s="104"/>
      <c r="H94" s="103" cm="1" t="str">
        <f t="array" ref="H94">IF($AD94="","",$AA94-$J94-$P94-$O94)</f>
        <v/>
      </c>
      <c r="I94" s="105"/>
      <c r="J94" s="104"/>
      <c r="K94" s="115"/>
      <c r="L94" s="116"/>
      <c r="M94" s="106"/>
      <c r="N94" s="105"/>
      <c r="O94" s="108"/>
      <c r="P94" s="104"/>
      <c r="Q94" s="106"/>
      <c r="R94" s="105"/>
      <c r="S94" s="105"/>
      <c r="T94" s="105"/>
      <c r="U94" s="105"/>
      <c r="V94" s="105"/>
      <c r="W94" s="105"/>
      <c r="X94" s="105"/>
      <c r="Y94" s="105"/>
      <c r="Z94" s="107"/>
      <c r="AA94" s="103" cm="1" t="str">
        <f t="array" ref="AA94">IF(AD94="","",AD94-AC94)</f>
        <v/>
      </c>
      <c r="AB94" s="107"/>
      <c r="AC94" s="99"/>
      <c r="AD94" s="102"/>
      <c r="AE94" s="109"/>
      <c r="AF94" s="110"/>
      <c r="AG94" s="111"/>
      <c r="AH94" s="111"/>
      <c r="AI94" s="111"/>
      <c r="AJ94" s="111"/>
      <c r="AK94" s="111"/>
      <c r="AL94" s="111"/>
      <c r="AM94" s="111"/>
      <c r="AN94" s="111"/>
      <c r="AO94" s="111"/>
      <c r="AP94" s="28"/>
      <c r="AQ94" s="28"/>
      <c r="AR94" s="28"/>
    </row>
    <row r="95" spans="1:44" ht="22.5" customHeight="1">
      <c r="A95" s="14" cm="1">
        <f t="array" ref="A95">A94+1</f>
        <v>88</v>
      </c>
      <c r="B95" s="15"/>
      <c r="C95" s="22" t="s">
        <v>242</v>
      </c>
      <c r="D95" s="21"/>
      <c r="E95" s="102"/>
      <c r="F95" s="103" cm="1" t="str">
        <f t="array" ref="F95">IF($AD95="","",$H95-$G95)</f>
        <v/>
      </c>
      <c r="G95" s="104"/>
      <c r="H95" s="103" cm="1" t="str">
        <f t="array" ref="H95">IF($AD95="","",$AA95-$J95-$P95-$O95)</f>
        <v/>
      </c>
      <c r="I95" s="105"/>
      <c r="J95" s="104"/>
      <c r="K95" s="115"/>
      <c r="L95" s="116"/>
      <c r="M95" s="106"/>
      <c r="N95" s="105"/>
      <c r="O95" s="108"/>
      <c r="P95" s="104"/>
      <c r="Q95" s="106"/>
      <c r="R95" s="105"/>
      <c r="S95" s="105"/>
      <c r="T95" s="105"/>
      <c r="U95" s="105"/>
      <c r="V95" s="105"/>
      <c r="W95" s="105"/>
      <c r="X95" s="105"/>
      <c r="Y95" s="105"/>
      <c r="Z95" s="107"/>
      <c r="AA95" s="103" cm="1" t="str">
        <f t="array" ref="AA95">IF(AD95="","",AD95-AC95)</f>
        <v/>
      </c>
      <c r="AB95" s="107"/>
      <c r="AC95" s="99"/>
      <c r="AD95" s="102"/>
      <c r="AE95" s="119" t="s">
        <v>243</v>
      </c>
      <c r="AF95" s="110"/>
      <c r="AG95" s="111"/>
      <c r="AH95" s="111"/>
      <c r="AI95" s="111"/>
      <c r="AJ95" s="111"/>
      <c r="AK95" s="111"/>
      <c r="AL95" s="111"/>
      <c r="AM95" s="111"/>
      <c r="AN95" s="111"/>
      <c r="AO95" s="111"/>
      <c r="AP95" s="28"/>
      <c r="AQ95" s="28"/>
      <c r="AR95" s="28"/>
    </row>
    <row r="96" spans="1:44" ht="22.5" customHeight="1">
      <c r="A96" s="14" cm="1">
        <f t="array" ref="A96">A95+1</f>
        <v>89</v>
      </c>
      <c r="B96" s="15"/>
      <c r="C96" s="22" t="s">
        <v>187</v>
      </c>
      <c r="D96" s="21"/>
      <c r="E96" s="102"/>
      <c r="F96" s="103" cm="1" t="str">
        <f t="array" ref="F96">IF($AD96="","",$H96-$G96)</f>
        <v/>
      </c>
      <c r="G96" s="104"/>
      <c r="H96" s="103" cm="1" t="str">
        <f t="array" ref="H96">IF($AD96="","",$AA96-$J96-$P96-$O96)</f>
        <v/>
      </c>
      <c r="I96" s="105"/>
      <c r="J96" s="104"/>
      <c r="K96" s="115"/>
      <c r="L96" s="116"/>
      <c r="M96" s="106"/>
      <c r="N96" s="105"/>
      <c r="O96" s="108"/>
      <c r="P96" s="104"/>
      <c r="Q96" s="106"/>
      <c r="R96" s="105"/>
      <c r="S96" s="105"/>
      <c r="T96" s="105"/>
      <c r="U96" s="105"/>
      <c r="V96" s="105"/>
      <c r="W96" s="105"/>
      <c r="X96" s="105"/>
      <c r="Y96" s="105"/>
      <c r="Z96" s="107"/>
      <c r="AA96" s="103" cm="1" t="str">
        <f t="array" ref="AA96">IF(AD96="","",AD96-AC96)</f>
        <v/>
      </c>
      <c r="AB96" s="107"/>
      <c r="AC96" s="99"/>
      <c r="AD96" s="102"/>
      <c r="AE96" s="109"/>
      <c r="AF96" s="110"/>
      <c r="AG96" s="111"/>
      <c r="AH96" s="111"/>
      <c r="AI96" s="111"/>
      <c r="AJ96" s="111"/>
      <c r="AK96" s="111"/>
      <c r="AL96" s="111"/>
      <c r="AM96" s="111"/>
      <c r="AN96" s="111"/>
      <c r="AO96" s="111"/>
      <c r="AP96" s="28"/>
      <c r="AQ96" s="28"/>
      <c r="AR96" s="28"/>
    </row>
    <row r="97" spans="1:44" ht="22.5" customHeight="1">
      <c r="A97" s="14" cm="1">
        <f t="array" ref="A97">A96+1</f>
        <v>90</v>
      </c>
      <c r="B97" s="15"/>
      <c r="C97" s="22" t="s">
        <v>189</v>
      </c>
      <c r="D97" s="21"/>
      <c r="E97" s="102"/>
      <c r="F97" s="103" cm="1" t="str">
        <f t="array" ref="F97">IF($AD97="","",$H97-$G97)</f>
        <v/>
      </c>
      <c r="G97" s="104"/>
      <c r="H97" s="103" cm="1" t="str">
        <f t="array" ref="H97">IF($AD97="","",$AA97-$J97-$P97-$O97)</f>
        <v/>
      </c>
      <c r="I97" s="105"/>
      <c r="J97" s="104"/>
      <c r="K97" s="115"/>
      <c r="L97" s="116"/>
      <c r="M97" s="106"/>
      <c r="N97" s="105"/>
      <c r="O97" s="108"/>
      <c r="P97" s="104"/>
      <c r="Q97" s="106"/>
      <c r="R97" s="105"/>
      <c r="S97" s="105"/>
      <c r="T97" s="105"/>
      <c r="U97" s="105"/>
      <c r="V97" s="105"/>
      <c r="W97" s="105"/>
      <c r="X97" s="105"/>
      <c r="Y97" s="105"/>
      <c r="Z97" s="107"/>
      <c r="AA97" s="103" cm="1" t="str">
        <f t="array" ref="AA97">IF(AD97="","",AD97-AC97)</f>
        <v/>
      </c>
      <c r="AB97" s="107"/>
      <c r="AC97" s="99"/>
      <c r="AD97" s="102"/>
      <c r="AE97" s="109"/>
      <c r="AF97" s="110"/>
      <c r="AG97" s="111"/>
      <c r="AH97" s="111"/>
      <c r="AI97" s="111"/>
      <c r="AJ97" s="111"/>
      <c r="AK97" s="111"/>
      <c r="AL97" s="111"/>
      <c r="AM97" s="111"/>
      <c r="AN97" s="111"/>
      <c r="AO97" s="111"/>
      <c r="AP97" s="28"/>
      <c r="AQ97" s="28"/>
      <c r="AR97" s="28"/>
    </row>
    <row r="98" spans="1:44" ht="22.5" customHeight="1">
      <c r="A98" s="14" cm="1">
        <f t="array" ref="A98">A97+1</f>
        <v>91</v>
      </c>
      <c r="B98" s="15"/>
      <c r="C98" s="22" t="s">
        <v>244</v>
      </c>
      <c r="D98" s="21"/>
      <c r="E98" s="102"/>
      <c r="F98" s="103" cm="1" t="str">
        <f t="array" ref="F98">IF($AD98="","",$H98-$G98)</f>
        <v/>
      </c>
      <c r="G98" s="104"/>
      <c r="H98" s="103" cm="1" t="str">
        <f t="array" ref="H98">IF($AD98="","",$AA98-$J98-$P98-$O98)</f>
        <v/>
      </c>
      <c r="I98" s="105"/>
      <c r="J98" s="104"/>
      <c r="K98" s="115"/>
      <c r="L98" s="116"/>
      <c r="M98" s="106"/>
      <c r="N98" s="105"/>
      <c r="O98" s="108"/>
      <c r="P98" s="104"/>
      <c r="Q98" s="106"/>
      <c r="R98" s="105"/>
      <c r="S98" s="105"/>
      <c r="T98" s="105"/>
      <c r="U98" s="105"/>
      <c r="V98" s="105"/>
      <c r="W98" s="105"/>
      <c r="X98" s="105"/>
      <c r="Y98" s="105"/>
      <c r="Z98" s="107"/>
      <c r="AA98" s="103" cm="1" t="str">
        <f t="array" ref="AA98">IF(AD98="","",AD98-AC98)</f>
        <v/>
      </c>
      <c r="AB98" s="107"/>
      <c r="AC98" s="99"/>
      <c r="AD98" s="102"/>
      <c r="AE98" s="109"/>
      <c r="AF98" s="110"/>
      <c r="AG98" s="111"/>
      <c r="AH98" s="111"/>
      <c r="AI98" s="111"/>
      <c r="AJ98" s="111"/>
      <c r="AK98" s="111"/>
      <c r="AL98" s="111"/>
      <c r="AM98" s="111"/>
      <c r="AN98" s="111"/>
      <c r="AO98" s="111"/>
      <c r="AP98" s="28"/>
      <c r="AQ98" s="28"/>
      <c r="AR98" s="28"/>
    </row>
    <row r="99" spans="1:44" ht="22.5" customHeight="1">
      <c r="A99" s="14" cm="1">
        <f t="array" ref="A99">A98+1</f>
        <v>92</v>
      </c>
      <c r="B99" s="15"/>
      <c r="C99" s="22" t="s">
        <v>245</v>
      </c>
      <c r="D99" s="21"/>
      <c r="E99" s="102"/>
      <c r="F99" s="103" cm="1" t="str">
        <f t="array" ref="F99">IF($AD99="","",$H99-$G99)</f>
        <v/>
      </c>
      <c r="G99" s="104"/>
      <c r="H99" s="103" cm="1" t="str">
        <f t="array" ref="H99">IF($AD99="","",$AA99-$J99-$P99-$O99)</f>
        <v/>
      </c>
      <c r="I99" s="105"/>
      <c r="J99" s="104"/>
      <c r="K99" s="115"/>
      <c r="L99" s="116"/>
      <c r="M99" s="106"/>
      <c r="N99" s="105"/>
      <c r="O99" s="108"/>
      <c r="P99" s="104"/>
      <c r="Q99" s="106"/>
      <c r="R99" s="105"/>
      <c r="S99" s="105"/>
      <c r="T99" s="105"/>
      <c r="U99" s="105"/>
      <c r="V99" s="105"/>
      <c r="W99" s="105"/>
      <c r="X99" s="105"/>
      <c r="Y99" s="105"/>
      <c r="Z99" s="107"/>
      <c r="AA99" s="103" cm="1" t="str">
        <f t="array" ref="AA99">IF(AD99="","",AD99-AC99)</f>
        <v/>
      </c>
      <c r="AB99" s="107"/>
      <c r="AC99" s="99"/>
      <c r="AD99" s="102"/>
      <c r="AE99" s="109"/>
      <c r="AF99" s="110"/>
      <c r="AG99" s="111"/>
      <c r="AH99" s="111"/>
      <c r="AI99" s="111"/>
      <c r="AJ99" s="111"/>
      <c r="AK99" s="111"/>
      <c r="AL99" s="111"/>
      <c r="AM99" s="111"/>
      <c r="AN99" s="111"/>
      <c r="AO99" s="111"/>
      <c r="AP99" s="28"/>
      <c r="AQ99" s="28"/>
      <c r="AR99" s="28"/>
    </row>
    <row r="100" spans="1:44" ht="22.5" customHeight="1">
      <c r="A100" s="14" cm="1">
        <f t="array" ref="A100">A99+1</f>
        <v>93</v>
      </c>
      <c r="B100" s="15"/>
      <c r="C100" s="22" t="s">
        <v>156</v>
      </c>
      <c r="D100" s="21"/>
      <c r="E100" s="102"/>
      <c r="F100" s="103" cm="1" t="str">
        <f t="array" ref="F100">IF($AD100="","",$H100-$G100)</f>
        <v/>
      </c>
      <c r="G100" s="104"/>
      <c r="H100" s="103" cm="1" t="str">
        <f t="array" ref="H100">IF($AD100="","",$AA100-$J100-$P100-$O100)</f>
        <v/>
      </c>
      <c r="I100" s="105"/>
      <c r="J100" s="104"/>
      <c r="K100" s="115"/>
      <c r="L100" s="116"/>
      <c r="M100" s="106"/>
      <c r="N100" s="105"/>
      <c r="O100" s="108"/>
      <c r="P100" s="104"/>
      <c r="Q100" s="106"/>
      <c r="R100" s="105"/>
      <c r="S100" s="105"/>
      <c r="T100" s="105"/>
      <c r="U100" s="105"/>
      <c r="V100" s="105"/>
      <c r="W100" s="105"/>
      <c r="X100" s="105"/>
      <c r="Y100" s="105"/>
      <c r="Z100" s="107"/>
      <c r="AA100" s="103" cm="1" t="str">
        <f t="array" ref="AA100">IF(AD100="","",AD100-AC100)</f>
        <v/>
      </c>
      <c r="AB100" s="107"/>
      <c r="AC100" s="99"/>
      <c r="AD100" s="102"/>
      <c r="AE100" s="109"/>
      <c r="AF100" s="110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28"/>
      <c r="AQ100" s="28"/>
      <c r="AR100" s="28"/>
    </row>
    <row r="101" spans="1:44" ht="22.5" customHeight="1">
      <c r="A101" s="15"/>
      <c r="B101" s="15"/>
      <c r="C101" s="21"/>
      <c r="D101" s="21"/>
      <c r="E101" s="102"/>
      <c r="F101" s="103" cm="1" t="str">
        <f t="array" ref="F101">IF($AD101="","",$H101-$G101)</f>
        <v/>
      </c>
      <c r="G101" s="104"/>
      <c r="H101" s="103" cm="1" t="str">
        <f t="array" ref="H101">IF($AD101="","",$AA101-$J101-$P101-$O101)</f>
        <v/>
      </c>
      <c r="I101" s="105"/>
      <c r="J101" s="104"/>
      <c r="K101" s="115"/>
      <c r="L101" s="116"/>
      <c r="M101" s="106"/>
      <c r="N101" s="105"/>
      <c r="O101" s="108"/>
      <c r="P101" s="104"/>
      <c r="Q101" s="106"/>
      <c r="R101" s="105"/>
      <c r="S101" s="105"/>
      <c r="T101" s="105"/>
      <c r="U101" s="105"/>
      <c r="V101" s="105"/>
      <c r="W101" s="105"/>
      <c r="X101" s="105"/>
      <c r="Y101" s="105"/>
      <c r="Z101" s="107"/>
      <c r="AA101" s="103" cm="1" t="str">
        <f t="array" ref="AA101">IF(AD101="","",AD101-AC101)</f>
        <v/>
      </c>
      <c r="AB101" s="107"/>
      <c r="AC101" s="99"/>
      <c r="AD101" s="102"/>
      <c r="AE101" s="109"/>
      <c r="AF101" s="110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28"/>
      <c r="AQ101" s="28"/>
      <c r="AR101" s="28"/>
    </row>
    <row r="102" spans="1:44" ht="22.5" customHeight="1">
      <c r="A102" s="15"/>
      <c r="B102" s="15"/>
      <c r="C102" s="21"/>
      <c r="D102" s="21"/>
      <c r="E102" s="102"/>
      <c r="F102" s="103" cm="1" t="str">
        <f t="array" ref="F102">IF($AD102="","",$H102-$G102)</f>
        <v/>
      </c>
      <c r="G102" s="104"/>
      <c r="H102" s="103" cm="1" t="str">
        <f t="array" ref="H102">IF($AD102="","",$AA102-$J102-$P102-$O102)</f>
        <v/>
      </c>
      <c r="I102" s="105"/>
      <c r="J102" s="104"/>
      <c r="K102" s="115"/>
      <c r="L102" s="116"/>
      <c r="M102" s="106"/>
      <c r="N102" s="105"/>
      <c r="O102" s="108"/>
      <c r="P102" s="104"/>
      <c r="Q102" s="106"/>
      <c r="R102" s="105"/>
      <c r="S102" s="105"/>
      <c r="T102" s="105"/>
      <c r="U102" s="105"/>
      <c r="V102" s="105"/>
      <c r="W102" s="105"/>
      <c r="X102" s="105"/>
      <c r="Y102" s="105"/>
      <c r="Z102" s="107"/>
      <c r="AA102" s="103" cm="1" t="str">
        <f t="array" ref="AA102">IF(AD102="","",AD102-AC102)</f>
        <v/>
      </c>
      <c r="AB102" s="107"/>
      <c r="AC102" s="99"/>
      <c r="AD102" s="102"/>
      <c r="AE102" s="109"/>
      <c r="AF102" s="110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28"/>
      <c r="AQ102" s="28"/>
      <c r="AR102" s="28"/>
    </row>
    <row r="103" spans="1:44" ht="22.5" customHeight="1">
      <c r="A103" s="15"/>
      <c r="B103" s="15"/>
      <c r="C103" s="21"/>
      <c r="D103" s="21"/>
      <c r="E103" s="102"/>
      <c r="F103" s="103" cm="1" t="str">
        <f t="array" ref="F103">IF($AD103="","",$H103-$G103)</f>
        <v/>
      </c>
      <c r="G103" s="104"/>
      <c r="H103" s="103" cm="1" t="str">
        <f t="array" ref="H103">IF($AD103="","",$AA103-$J103-$P103-$O103)</f>
        <v/>
      </c>
      <c r="I103" s="105"/>
      <c r="J103" s="104"/>
      <c r="K103" s="115"/>
      <c r="L103" s="116"/>
      <c r="M103" s="106"/>
      <c r="N103" s="105"/>
      <c r="O103" s="108"/>
      <c r="P103" s="104"/>
      <c r="Q103" s="106"/>
      <c r="R103" s="105"/>
      <c r="S103" s="105"/>
      <c r="T103" s="105"/>
      <c r="U103" s="105"/>
      <c r="V103" s="105"/>
      <c r="W103" s="105"/>
      <c r="X103" s="105"/>
      <c r="Y103" s="105"/>
      <c r="Z103" s="107"/>
      <c r="AA103" s="103" cm="1" t="str">
        <f t="array" ref="AA103">IF(AD103="","",AD103-AC103)</f>
        <v/>
      </c>
      <c r="AB103" s="107"/>
      <c r="AC103" s="99"/>
      <c r="AD103" s="102"/>
      <c r="AE103" s="109"/>
      <c r="AF103" s="110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28"/>
      <c r="AQ103" s="28"/>
      <c r="AR103" s="28"/>
    </row>
    <row r="104" spans="1:44" ht="22.5" customHeight="1">
      <c r="A104" s="15"/>
      <c r="B104" s="15"/>
      <c r="C104" s="21"/>
      <c r="D104" s="21"/>
      <c r="E104" s="102"/>
      <c r="F104" s="103" cm="1" t="str">
        <f t="array" ref="F104">IF($AD104="","",$H104-$G104)</f>
        <v/>
      </c>
      <c r="G104" s="104"/>
      <c r="H104" s="103" cm="1" t="str">
        <f t="array" ref="H104">IF($AD104="","",$AA104-$J104-$P104-$O104)</f>
        <v/>
      </c>
      <c r="I104" s="105"/>
      <c r="J104" s="104"/>
      <c r="K104" s="115"/>
      <c r="L104" s="116"/>
      <c r="M104" s="106"/>
      <c r="N104" s="105"/>
      <c r="O104" s="108"/>
      <c r="P104" s="104"/>
      <c r="Q104" s="106"/>
      <c r="R104" s="105"/>
      <c r="S104" s="105"/>
      <c r="T104" s="105"/>
      <c r="U104" s="105"/>
      <c r="V104" s="105"/>
      <c r="W104" s="105"/>
      <c r="X104" s="105"/>
      <c r="Y104" s="105"/>
      <c r="Z104" s="107"/>
      <c r="AA104" s="103" cm="1" t="str">
        <f t="array" ref="AA104">IF(AD104="","",AD104-AC104)</f>
        <v/>
      </c>
      <c r="AB104" s="107"/>
      <c r="AC104" s="99"/>
      <c r="AD104" s="102"/>
      <c r="AE104" s="109"/>
      <c r="AF104" s="110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28"/>
      <c r="AQ104" s="28"/>
      <c r="AR104" s="28"/>
    </row>
    <row r="105" spans="1:44" ht="22.5" customHeight="1">
      <c r="A105" s="15"/>
      <c r="B105" s="15"/>
      <c r="C105" s="21"/>
      <c r="D105" s="21"/>
      <c r="E105" s="102"/>
      <c r="F105" s="103" cm="1" t="str">
        <f t="array" ref="F105">IF($AD105="","",$H105-$G105)</f>
        <v/>
      </c>
      <c r="G105" s="104"/>
      <c r="H105" s="103" cm="1" t="str">
        <f t="array" ref="H105">IF($AD105="","",$AA105-$J105-$P105-$O105)</f>
        <v/>
      </c>
      <c r="I105" s="105"/>
      <c r="J105" s="104"/>
      <c r="K105" s="115"/>
      <c r="L105" s="116"/>
      <c r="M105" s="106"/>
      <c r="N105" s="105"/>
      <c r="O105" s="108"/>
      <c r="P105" s="104"/>
      <c r="Q105" s="106"/>
      <c r="R105" s="105"/>
      <c r="S105" s="105"/>
      <c r="T105" s="105"/>
      <c r="U105" s="105"/>
      <c r="V105" s="105"/>
      <c r="W105" s="105"/>
      <c r="X105" s="105"/>
      <c r="Y105" s="105"/>
      <c r="Z105" s="107"/>
      <c r="AA105" s="103" cm="1" t="str">
        <f t="array" ref="AA105">IF(AD105="","",AD105-AC105)</f>
        <v/>
      </c>
      <c r="AB105" s="107"/>
      <c r="AC105" s="99"/>
      <c r="AD105" s="102"/>
      <c r="AE105" s="109"/>
      <c r="AF105" s="110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28"/>
      <c r="AQ105" s="28"/>
      <c r="AR105" s="113"/>
    </row>
    <row r="106" spans="1:44" ht="22.5" customHeight="1">
      <c r="A106" s="15"/>
      <c r="B106" s="15"/>
      <c r="C106" s="21"/>
      <c r="D106" s="21"/>
      <c r="E106" s="102"/>
      <c r="F106" s="103" cm="1" t="str">
        <f t="array" ref="F106">IF($AD106="","",$H106-$G106)</f>
        <v/>
      </c>
      <c r="G106" s="104"/>
      <c r="H106" s="103" cm="1" t="str">
        <f t="array" ref="H106">IF($AD106="","",$AA106-$J106-$P106-$O106)</f>
        <v/>
      </c>
      <c r="I106" s="105"/>
      <c r="J106" s="104"/>
      <c r="K106" s="115"/>
      <c r="L106" s="116"/>
      <c r="M106" s="106"/>
      <c r="N106" s="105"/>
      <c r="O106" s="108"/>
      <c r="P106" s="104"/>
      <c r="Q106" s="106"/>
      <c r="R106" s="105"/>
      <c r="S106" s="105"/>
      <c r="T106" s="105"/>
      <c r="U106" s="105"/>
      <c r="V106" s="105"/>
      <c r="W106" s="105"/>
      <c r="X106" s="105"/>
      <c r="Y106" s="105"/>
      <c r="Z106" s="107"/>
      <c r="AA106" s="103" cm="1" t="str">
        <f t="array" ref="AA106">IF(AD106="","",AD106-AC106)</f>
        <v/>
      </c>
      <c r="AB106" s="107"/>
      <c r="AC106" s="99"/>
      <c r="AD106" s="102"/>
      <c r="AE106" s="109"/>
      <c r="AF106" s="110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28"/>
      <c r="AQ106" s="120"/>
      <c r="AR106" s="121"/>
    </row>
    <row r="107" spans="1:44" ht="22.5" customHeight="1">
      <c r="A107" s="15"/>
      <c r="B107" s="15"/>
      <c r="C107" s="21"/>
      <c r="D107" s="21"/>
      <c r="E107" s="102"/>
      <c r="F107" s="103" cm="1" t="str">
        <f t="array" ref="F107">IF($AD107="","",$H107-$G107)</f>
        <v/>
      </c>
      <c r="G107" s="104"/>
      <c r="H107" s="103" cm="1" t="str">
        <f t="array" ref="H107">IF($AD107="","",$AA107-$J107-$P107-$O107)</f>
        <v/>
      </c>
      <c r="I107" s="105"/>
      <c r="J107" s="104"/>
      <c r="K107" s="115"/>
      <c r="L107" s="116"/>
      <c r="M107" s="106"/>
      <c r="N107" s="105"/>
      <c r="O107" s="108"/>
      <c r="P107" s="104"/>
      <c r="Q107" s="106"/>
      <c r="R107" s="105"/>
      <c r="S107" s="105"/>
      <c r="T107" s="105"/>
      <c r="U107" s="105"/>
      <c r="V107" s="105"/>
      <c r="W107" s="105"/>
      <c r="X107" s="105"/>
      <c r="Y107" s="105"/>
      <c r="Z107" s="107"/>
      <c r="AA107" s="103" cm="1" t="str">
        <f t="array" ref="AA107">IF(AD107="","",AD107-AC107)</f>
        <v/>
      </c>
      <c r="AB107" s="107"/>
      <c r="AC107" s="99"/>
      <c r="AD107" s="102"/>
      <c r="AE107" s="109"/>
      <c r="AF107" s="110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28"/>
      <c r="AQ107" s="28"/>
      <c r="AR107" s="122"/>
    </row>
    <row r="108" spans="1:44" ht="22.5" customHeight="1">
      <c r="A108" s="15"/>
      <c r="B108" s="15"/>
      <c r="C108" s="21"/>
      <c r="D108" s="21"/>
      <c r="E108" s="102"/>
      <c r="F108" s="103" cm="1" t="str">
        <f t="array" ref="F108">IF($AD108="","",$H108-$G108)</f>
        <v/>
      </c>
      <c r="G108" s="104"/>
      <c r="H108" s="103" cm="1" t="str">
        <f t="array" ref="H108">IF($AD108="","",$AA108-$J108-$P108-$O108)</f>
        <v/>
      </c>
      <c r="I108" s="105"/>
      <c r="J108" s="104"/>
      <c r="K108" s="115"/>
      <c r="L108" s="116"/>
      <c r="M108" s="106"/>
      <c r="N108" s="105"/>
      <c r="O108" s="108"/>
      <c r="P108" s="104"/>
      <c r="Q108" s="106"/>
      <c r="R108" s="105"/>
      <c r="S108" s="105"/>
      <c r="T108" s="105"/>
      <c r="U108" s="105"/>
      <c r="V108" s="105"/>
      <c r="W108" s="105"/>
      <c r="X108" s="105"/>
      <c r="Y108" s="105"/>
      <c r="Z108" s="107"/>
      <c r="AA108" s="103" cm="1" t="str">
        <f t="array" ref="AA108">IF(AD108="","",AD108-AC108)</f>
        <v/>
      </c>
      <c r="AB108" s="107"/>
      <c r="AC108" s="99"/>
      <c r="AD108" s="102"/>
      <c r="AE108" s="109"/>
      <c r="AF108" s="110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28"/>
      <c r="AQ108" s="28"/>
      <c r="AR108" s="28"/>
    </row>
    <row r="109" spans="1:44" ht="22.5" customHeight="1">
      <c r="A109" s="15"/>
      <c r="B109" s="15"/>
      <c r="C109" s="21"/>
      <c r="D109" s="21"/>
      <c r="E109" s="102"/>
      <c r="F109" s="103" cm="1" t="str">
        <f t="array" ref="F109">IF($AD109="","",$H109-$G109)</f>
        <v/>
      </c>
      <c r="G109" s="104"/>
      <c r="H109" s="103" cm="1" t="str">
        <f t="array" ref="H109">IF($AD109="","",$AA109-$J109-$P109-$O109)</f>
        <v/>
      </c>
      <c r="I109" s="105"/>
      <c r="J109" s="104"/>
      <c r="K109" s="115"/>
      <c r="L109" s="116"/>
      <c r="M109" s="106"/>
      <c r="N109" s="105"/>
      <c r="O109" s="108"/>
      <c r="P109" s="104"/>
      <c r="Q109" s="106"/>
      <c r="R109" s="105"/>
      <c r="S109" s="105"/>
      <c r="T109" s="105"/>
      <c r="U109" s="105"/>
      <c r="V109" s="105"/>
      <c r="W109" s="105"/>
      <c r="X109" s="105"/>
      <c r="Y109" s="105"/>
      <c r="Z109" s="107"/>
      <c r="AA109" s="103" cm="1" t="str">
        <f t="array" ref="AA109">IF(AD109="","",AD109-AC109)</f>
        <v/>
      </c>
      <c r="AB109" s="107"/>
      <c r="AC109" s="99"/>
      <c r="AD109" s="102"/>
      <c r="AE109" s="109"/>
      <c r="AF109" s="110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28"/>
      <c r="AQ109" s="28"/>
      <c r="AR109" s="28"/>
    </row>
    <row r="110" spans="1:44" ht="22.5" customHeight="1">
      <c r="A110" s="15"/>
      <c r="B110" s="15"/>
      <c r="C110" s="21"/>
      <c r="D110" s="21"/>
      <c r="E110" s="102"/>
      <c r="F110" s="103" cm="1" t="str">
        <f t="array" ref="F110">IF($AD110="","",$H110-$G110)</f>
        <v/>
      </c>
      <c r="G110" s="104"/>
      <c r="H110" s="103" cm="1" t="str">
        <f t="array" ref="H110">IF($AD110="","",$AA110-$J110-$P110-$O110)</f>
        <v/>
      </c>
      <c r="I110" s="105"/>
      <c r="J110" s="104"/>
      <c r="K110" s="115"/>
      <c r="L110" s="116"/>
      <c r="M110" s="106"/>
      <c r="N110" s="105"/>
      <c r="O110" s="108"/>
      <c r="P110" s="104"/>
      <c r="Q110" s="106"/>
      <c r="R110" s="105"/>
      <c r="S110" s="105"/>
      <c r="T110" s="105"/>
      <c r="U110" s="105"/>
      <c r="V110" s="105"/>
      <c r="W110" s="105"/>
      <c r="X110" s="105"/>
      <c r="Y110" s="105"/>
      <c r="Z110" s="107"/>
      <c r="AA110" s="103" cm="1" t="str">
        <f t="array" ref="AA110">IF(AD110="","",AD110-AC110)</f>
        <v/>
      </c>
      <c r="AB110" s="107"/>
      <c r="AC110" s="99"/>
      <c r="AD110" s="102"/>
      <c r="AE110" s="109"/>
      <c r="AF110" s="110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28"/>
      <c r="AQ110" s="28"/>
      <c r="AR110" s="28"/>
    </row>
    <row r="111" spans="1:44" ht="22.5" customHeight="1">
      <c r="A111" s="15"/>
      <c r="B111" s="15"/>
      <c r="C111" s="21"/>
      <c r="D111" s="21"/>
      <c r="E111" s="102"/>
      <c r="F111" s="103" cm="1" t="str">
        <f t="array" ref="F111">IF($AD111="","",$H111-$G111)</f>
        <v/>
      </c>
      <c r="G111" s="104"/>
      <c r="H111" s="103" cm="1" t="str">
        <f t="array" ref="H111">IF($AD111="","",$AA111-$J111-$P111-$O111)</f>
        <v/>
      </c>
      <c r="I111" s="105"/>
      <c r="J111" s="104"/>
      <c r="K111" s="115"/>
      <c r="L111" s="116"/>
      <c r="M111" s="106"/>
      <c r="N111" s="105"/>
      <c r="O111" s="108"/>
      <c r="P111" s="104"/>
      <c r="Q111" s="106"/>
      <c r="R111" s="105"/>
      <c r="S111" s="105"/>
      <c r="T111" s="105"/>
      <c r="U111" s="105"/>
      <c r="V111" s="105"/>
      <c r="W111" s="105"/>
      <c r="X111" s="105"/>
      <c r="Y111" s="105"/>
      <c r="Z111" s="107"/>
      <c r="AA111" s="103" cm="1" t="str">
        <f t="array" ref="AA111">IF(AD111="","",AD111-AC111)</f>
        <v/>
      </c>
      <c r="AB111" s="107"/>
      <c r="AC111" s="99"/>
      <c r="AD111" s="102"/>
      <c r="AE111" s="109"/>
      <c r="AF111" s="110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28"/>
      <c r="AQ111" s="28"/>
      <c r="AR111" s="28"/>
    </row>
    <row r="112" spans="1:44" ht="22.5" customHeight="1">
      <c r="A112" s="15"/>
      <c r="B112" s="15"/>
      <c r="C112" s="21"/>
      <c r="D112" s="21"/>
      <c r="E112" s="102"/>
      <c r="F112" s="103" cm="1" t="str">
        <f t="array" ref="F112">IF($AD112="","",$H112-$G112)</f>
        <v/>
      </c>
      <c r="G112" s="104"/>
      <c r="H112" s="103" cm="1" t="str">
        <f t="array" ref="H112">IF($AD112="","",$AA112-$J112-$P112-$O112)</f>
        <v/>
      </c>
      <c r="I112" s="105"/>
      <c r="J112" s="104"/>
      <c r="K112" s="115"/>
      <c r="L112" s="116"/>
      <c r="M112" s="106"/>
      <c r="N112" s="105"/>
      <c r="O112" s="108"/>
      <c r="P112" s="104"/>
      <c r="Q112" s="106"/>
      <c r="R112" s="105"/>
      <c r="S112" s="105"/>
      <c r="T112" s="105"/>
      <c r="U112" s="105"/>
      <c r="V112" s="105"/>
      <c r="W112" s="105"/>
      <c r="X112" s="105"/>
      <c r="Y112" s="105"/>
      <c r="Z112" s="107"/>
      <c r="AA112" s="103" cm="1" t="str">
        <f t="array" ref="AA112">IF(AD112="","",AD112-AC112)</f>
        <v/>
      </c>
      <c r="AB112" s="107"/>
      <c r="AC112" s="99"/>
      <c r="AD112" s="102"/>
      <c r="AE112" s="109"/>
      <c r="AF112" s="110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28"/>
      <c r="AQ112" s="28"/>
      <c r="AR112" s="28"/>
    </row>
    <row r="113" spans="1:44" ht="22.5" customHeight="1">
      <c r="A113" s="15"/>
      <c r="B113" s="15"/>
      <c r="C113" s="21"/>
      <c r="D113" s="21"/>
      <c r="E113" s="102"/>
      <c r="F113" s="103" cm="1" t="str">
        <f t="array" ref="F113">IF($AD113="","",$H113-$G113)</f>
        <v/>
      </c>
      <c r="G113" s="104"/>
      <c r="H113" s="103" cm="1" t="str">
        <f t="array" ref="H113">IF($AD113="","",$AA113-$J113-$P113-$O113)</f>
        <v/>
      </c>
      <c r="I113" s="105"/>
      <c r="J113" s="104"/>
      <c r="K113" s="115"/>
      <c r="L113" s="116"/>
      <c r="M113" s="106"/>
      <c r="N113" s="105"/>
      <c r="O113" s="108"/>
      <c r="P113" s="104"/>
      <c r="Q113" s="106"/>
      <c r="R113" s="105"/>
      <c r="S113" s="105"/>
      <c r="T113" s="105"/>
      <c r="U113" s="105"/>
      <c r="V113" s="105"/>
      <c r="W113" s="105"/>
      <c r="X113" s="105"/>
      <c r="Y113" s="105"/>
      <c r="Z113" s="107"/>
      <c r="AA113" s="103" cm="1" t="str">
        <f t="array" ref="AA113">IF(AD113="","",AD113-AC113)</f>
        <v/>
      </c>
      <c r="AB113" s="107"/>
      <c r="AC113" s="99"/>
      <c r="AD113" s="102"/>
      <c r="AE113" s="109"/>
      <c r="AF113" s="110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28"/>
      <c r="AQ113" s="28"/>
      <c r="AR113" s="28"/>
    </row>
    <row r="114" spans="1:44" ht="22.5" customHeight="1">
      <c r="A114" s="15"/>
      <c r="B114" s="15"/>
      <c r="C114" s="21"/>
      <c r="D114" s="21"/>
      <c r="E114" s="102"/>
      <c r="F114" s="103" cm="1" t="str">
        <f t="array" ref="F114">IF($AD114="","",$H114-$G114)</f>
        <v/>
      </c>
      <c r="G114" s="104"/>
      <c r="H114" s="103" cm="1" t="str">
        <f t="array" ref="H114">IF($AD114="","",$AA114-$J114-$P114-$O114)</f>
        <v/>
      </c>
      <c r="I114" s="105"/>
      <c r="J114" s="104"/>
      <c r="K114" s="115"/>
      <c r="L114" s="116"/>
      <c r="M114" s="106"/>
      <c r="N114" s="105"/>
      <c r="O114" s="108"/>
      <c r="P114" s="104"/>
      <c r="Q114" s="106"/>
      <c r="R114" s="105"/>
      <c r="S114" s="105"/>
      <c r="T114" s="105"/>
      <c r="U114" s="105"/>
      <c r="V114" s="105"/>
      <c r="W114" s="105"/>
      <c r="X114" s="105"/>
      <c r="Y114" s="105"/>
      <c r="Z114" s="107"/>
      <c r="AA114" s="103" cm="1" t="str">
        <f t="array" ref="AA114">IF(AD114="","",AD114-AC114)</f>
        <v/>
      </c>
      <c r="AB114" s="107"/>
      <c r="AC114" s="99"/>
      <c r="AD114" s="102"/>
      <c r="AE114" s="109"/>
      <c r="AF114" s="110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28"/>
      <c r="AQ114" s="28"/>
      <c r="AR114" s="28"/>
    </row>
    <row r="115" spans="1:44" ht="22.5" customHeight="1">
      <c r="A115" s="15"/>
      <c r="B115" s="15"/>
      <c r="C115" s="21"/>
      <c r="D115" s="21"/>
      <c r="E115" s="102"/>
      <c r="F115" s="103" cm="1" t="str">
        <f t="array" ref="F115">IF($AD115="","",$H115-$G115)</f>
        <v/>
      </c>
      <c r="G115" s="104"/>
      <c r="H115" s="103" cm="1" t="str">
        <f t="array" ref="H115">IF($AD115="","",$AA115-$J115-$P115-$O115)</f>
        <v/>
      </c>
      <c r="I115" s="105"/>
      <c r="J115" s="104"/>
      <c r="K115" s="115"/>
      <c r="L115" s="116"/>
      <c r="M115" s="106"/>
      <c r="N115" s="105"/>
      <c r="O115" s="108"/>
      <c r="P115" s="104"/>
      <c r="Q115" s="106"/>
      <c r="R115" s="105"/>
      <c r="S115" s="105"/>
      <c r="T115" s="105"/>
      <c r="U115" s="105"/>
      <c r="V115" s="105"/>
      <c r="W115" s="105"/>
      <c r="X115" s="105"/>
      <c r="Y115" s="105"/>
      <c r="Z115" s="107"/>
      <c r="AA115" s="103" cm="1" t="str">
        <f t="array" ref="AA115">IF(AD115="","",AD115-AC115)</f>
        <v/>
      </c>
      <c r="AB115" s="107"/>
      <c r="AC115" s="99"/>
      <c r="AD115" s="102"/>
      <c r="AE115" s="109"/>
      <c r="AF115" s="110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28"/>
      <c r="AQ115" s="28"/>
      <c r="AR115" s="28"/>
    </row>
    <row r="116" spans="1:44" ht="22.5" customHeight="1">
      <c r="A116" s="15"/>
      <c r="B116" s="15"/>
      <c r="C116" s="21"/>
      <c r="D116" s="21"/>
      <c r="E116" s="102"/>
      <c r="F116" s="103" cm="1" t="str">
        <f t="array" ref="F116">IF($AD116="","",$H116-$G116)</f>
        <v/>
      </c>
      <c r="G116" s="104"/>
      <c r="H116" s="103" cm="1" t="str">
        <f t="array" ref="H116">IF($AD116="","",$AA116-$J116-$P116-$O116)</f>
        <v/>
      </c>
      <c r="I116" s="105"/>
      <c r="J116" s="104"/>
      <c r="K116" s="115"/>
      <c r="L116" s="116"/>
      <c r="M116" s="106"/>
      <c r="N116" s="105"/>
      <c r="O116" s="108"/>
      <c r="P116" s="104"/>
      <c r="Q116" s="106"/>
      <c r="R116" s="105"/>
      <c r="S116" s="105"/>
      <c r="T116" s="105"/>
      <c r="U116" s="105"/>
      <c r="V116" s="105"/>
      <c r="W116" s="105"/>
      <c r="X116" s="105"/>
      <c r="Y116" s="105"/>
      <c r="Z116" s="107"/>
      <c r="AA116" s="103" cm="1" t="str">
        <f t="array" ref="AA116">IF(AD116="","",AD116-AC116)</f>
        <v/>
      </c>
      <c r="AB116" s="107"/>
      <c r="AC116" s="99"/>
      <c r="AD116" s="102"/>
      <c r="AE116" s="109"/>
      <c r="AF116" s="110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28"/>
      <c r="AQ116" s="28"/>
      <c r="AR116" s="28"/>
    </row>
    <row r="117" spans="1:44" ht="22.5" customHeight="1">
      <c r="A117" s="15"/>
      <c r="B117" s="15"/>
      <c r="C117" s="21"/>
      <c r="D117" s="21"/>
      <c r="E117" s="102"/>
      <c r="F117" s="103" cm="1" t="str">
        <f t="array" ref="F117">IF($AD117="","",$H117-$G117)</f>
        <v/>
      </c>
      <c r="G117" s="104"/>
      <c r="H117" s="103" cm="1" t="str">
        <f t="array" ref="H117">IF($AD117="","",$AA117-$J117-$P117-$O117)</f>
        <v/>
      </c>
      <c r="I117" s="105"/>
      <c r="J117" s="104"/>
      <c r="K117" s="115"/>
      <c r="L117" s="116"/>
      <c r="M117" s="106"/>
      <c r="N117" s="105"/>
      <c r="O117" s="108"/>
      <c r="P117" s="104"/>
      <c r="Q117" s="106"/>
      <c r="R117" s="105"/>
      <c r="S117" s="105"/>
      <c r="T117" s="105"/>
      <c r="U117" s="105"/>
      <c r="V117" s="105"/>
      <c r="W117" s="105"/>
      <c r="X117" s="105"/>
      <c r="Y117" s="105"/>
      <c r="Z117" s="107"/>
      <c r="AA117" s="103" cm="1" t="str">
        <f t="array" ref="AA117">IF(AD117="","",AD117-AC117)</f>
        <v/>
      </c>
      <c r="AB117" s="107"/>
      <c r="AC117" s="99"/>
      <c r="AD117" s="102"/>
      <c r="AE117" s="109"/>
      <c r="AF117" s="110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28"/>
      <c r="AQ117" s="28"/>
      <c r="AR117" s="28"/>
    </row>
    <row r="118" spans="1:44" ht="22.5" customHeight="1">
      <c r="A118" s="15"/>
      <c r="B118" s="15"/>
      <c r="C118" s="21"/>
      <c r="D118" s="21"/>
      <c r="E118" s="102"/>
      <c r="F118" s="103" cm="1" t="str">
        <f t="array" ref="F118">IF($AD118="","",$H118-$G118)</f>
        <v/>
      </c>
      <c r="G118" s="104"/>
      <c r="H118" s="103" cm="1" t="str">
        <f t="array" ref="H118">IF($AD118="","",$AA118-$J118-$P118-$O118)</f>
        <v/>
      </c>
      <c r="I118" s="105"/>
      <c r="J118" s="104"/>
      <c r="K118" s="115"/>
      <c r="L118" s="116"/>
      <c r="M118" s="106"/>
      <c r="N118" s="105"/>
      <c r="O118" s="108"/>
      <c r="P118" s="104"/>
      <c r="Q118" s="106"/>
      <c r="R118" s="105"/>
      <c r="S118" s="105"/>
      <c r="T118" s="105"/>
      <c r="U118" s="105"/>
      <c r="V118" s="105"/>
      <c r="W118" s="105"/>
      <c r="X118" s="105"/>
      <c r="Y118" s="105"/>
      <c r="Z118" s="107"/>
      <c r="AA118" s="103" cm="1" t="str">
        <f t="array" ref="AA118">IF(AD118="","",AD118-AC118)</f>
        <v/>
      </c>
      <c r="AB118" s="107"/>
      <c r="AC118" s="99"/>
      <c r="AD118" s="102"/>
      <c r="AE118" s="109"/>
      <c r="AF118" s="110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28"/>
      <c r="AQ118" s="28"/>
      <c r="AR118" s="28"/>
    </row>
    <row r="119" spans="1:44" ht="22.5" customHeight="1">
      <c r="A119" s="15"/>
      <c r="B119" s="15"/>
      <c r="C119" s="21"/>
      <c r="D119" s="21"/>
      <c r="E119" s="102"/>
      <c r="F119" s="103" cm="1" t="str">
        <f t="array" ref="F119">IF($AD119="","",$H119-$G119)</f>
        <v/>
      </c>
      <c r="G119" s="104"/>
      <c r="H119" s="103" cm="1" t="str">
        <f t="array" ref="H119">IF($AD119="","",$AA119-$J119-$P119-$O119)</f>
        <v/>
      </c>
      <c r="I119" s="105"/>
      <c r="J119" s="104"/>
      <c r="K119" s="115"/>
      <c r="L119" s="116"/>
      <c r="M119" s="106"/>
      <c r="N119" s="105"/>
      <c r="O119" s="108"/>
      <c r="P119" s="104"/>
      <c r="Q119" s="106"/>
      <c r="R119" s="105"/>
      <c r="S119" s="105"/>
      <c r="T119" s="105"/>
      <c r="U119" s="105"/>
      <c r="V119" s="105"/>
      <c r="W119" s="105"/>
      <c r="X119" s="105"/>
      <c r="Y119" s="105"/>
      <c r="Z119" s="107"/>
      <c r="AA119" s="103" cm="1" t="str">
        <f t="array" ref="AA119">IF(AD119="","",AD119-AC119)</f>
        <v/>
      </c>
      <c r="AB119" s="107"/>
      <c r="AC119" s="99"/>
      <c r="AD119" s="102"/>
      <c r="AE119" s="109"/>
      <c r="AF119" s="110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28"/>
      <c r="AQ119" s="28"/>
      <c r="AR119" s="28"/>
    </row>
    <row r="120" spans="1:44" ht="22.5" customHeight="1">
      <c r="A120" s="15"/>
      <c r="B120" s="15"/>
      <c r="C120" s="21"/>
      <c r="D120" s="21"/>
      <c r="E120" s="102"/>
      <c r="F120" s="103" cm="1" t="str">
        <f t="array" ref="F120">IF($AD120="","",$H120-$G120)</f>
        <v/>
      </c>
      <c r="G120" s="104"/>
      <c r="H120" s="103" cm="1" t="str">
        <f t="array" ref="H120">IF($AD120="","",$AA120-$J120-$P120-$O120)</f>
        <v/>
      </c>
      <c r="I120" s="105"/>
      <c r="J120" s="104"/>
      <c r="K120" s="115"/>
      <c r="L120" s="116"/>
      <c r="M120" s="106"/>
      <c r="N120" s="105"/>
      <c r="O120" s="108"/>
      <c r="P120" s="104"/>
      <c r="Q120" s="106"/>
      <c r="R120" s="105"/>
      <c r="S120" s="105"/>
      <c r="T120" s="105"/>
      <c r="U120" s="105"/>
      <c r="V120" s="105"/>
      <c r="W120" s="105"/>
      <c r="X120" s="105"/>
      <c r="Y120" s="105"/>
      <c r="Z120" s="107"/>
      <c r="AA120" s="103" cm="1" t="str">
        <f t="array" ref="AA120">IF(AD120="","",AD120-AC120)</f>
        <v/>
      </c>
      <c r="AB120" s="107"/>
      <c r="AC120" s="99"/>
      <c r="AD120" s="102"/>
      <c r="AE120" s="109"/>
      <c r="AF120" s="110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28"/>
      <c r="AQ120" s="28"/>
      <c r="AR120" s="28"/>
    </row>
    <row r="121" spans="1:44" ht="22.5" customHeight="1">
      <c r="A121" s="15"/>
      <c r="B121" s="15"/>
      <c r="C121" s="21"/>
      <c r="D121" s="21"/>
      <c r="E121" s="102"/>
      <c r="F121" s="103" cm="1" t="str">
        <f t="array" ref="F121">IF($AD121="","",$H121-$G121)</f>
        <v/>
      </c>
      <c r="G121" s="104"/>
      <c r="H121" s="103" cm="1" t="str">
        <f t="array" ref="H121">IF($AD121="","",$AA121-$J121-$P121-$O121)</f>
        <v/>
      </c>
      <c r="I121" s="105"/>
      <c r="J121" s="104"/>
      <c r="K121" s="115"/>
      <c r="L121" s="116"/>
      <c r="M121" s="106"/>
      <c r="N121" s="105"/>
      <c r="O121" s="108"/>
      <c r="P121" s="104"/>
      <c r="Q121" s="106"/>
      <c r="R121" s="105"/>
      <c r="S121" s="105"/>
      <c r="T121" s="105"/>
      <c r="U121" s="105"/>
      <c r="V121" s="105"/>
      <c r="W121" s="105"/>
      <c r="X121" s="105"/>
      <c r="Y121" s="105"/>
      <c r="Z121" s="107"/>
      <c r="AA121" s="103" cm="1" t="str">
        <f t="array" ref="AA121">IF(AD121="","",AD121-AC121)</f>
        <v/>
      </c>
      <c r="AB121" s="107"/>
      <c r="AC121" s="99"/>
      <c r="AD121" s="102"/>
      <c r="AE121" s="109"/>
      <c r="AF121" s="110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28"/>
      <c r="AQ121" s="28"/>
      <c r="AR121" s="28"/>
    </row>
    <row r="122" spans="1:44" ht="22.5" customHeight="1">
      <c r="A122" s="15"/>
      <c r="B122" s="15"/>
      <c r="C122" s="21"/>
      <c r="D122" s="21"/>
      <c r="E122" s="102"/>
      <c r="F122" s="103" cm="1" t="str">
        <f t="array" ref="F122">IF($AD122="","",$H122-$G122)</f>
        <v/>
      </c>
      <c r="G122" s="104"/>
      <c r="H122" s="103" cm="1" t="str">
        <f t="array" ref="H122">IF($AD122="","",$AA122-$J122-$P122-$O122)</f>
        <v/>
      </c>
      <c r="I122" s="105"/>
      <c r="J122" s="104"/>
      <c r="K122" s="115"/>
      <c r="L122" s="116"/>
      <c r="M122" s="106"/>
      <c r="N122" s="105"/>
      <c r="O122" s="108"/>
      <c r="P122" s="104"/>
      <c r="Q122" s="106"/>
      <c r="R122" s="105"/>
      <c r="S122" s="105"/>
      <c r="T122" s="105"/>
      <c r="U122" s="105"/>
      <c r="V122" s="105"/>
      <c r="W122" s="105"/>
      <c r="X122" s="105"/>
      <c r="Y122" s="105"/>
      <c r="Z122" s="107"/>
      <c r="AA122" s="103" cm="1" t="str">
        <f t="array" ref="AA122">IF(AD122="","",AD122-AC122)</f>
        <v/>
      </c>
      <c r="AB122" s="107"/>
      <c r="AC122" s="99"/>
      <c r="AD122" s="102"/>
      <c r="AE122" s="109"/>
      <c r="AF122" s="110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28"/>
      <c r="AQ122" s="28"/>
      <c r="AR122" s="28"/>
    </row>
    <row r="123" spans="1:44" ht="22.5" customHeight="1">
      <c r="A123" s="15"/>
      <c r="B123" s="15"/>
      <c r="C123" s="21"/>
      <c r="D123" s="21"/>
      <c r="E123" s="102"/>
      <c r="F123" s="103" cm="1" t="str">
        <f t="array" ref="F123">IF($AD123="","",$H123-$G123)</f>
        <v/>
      </c>
      <c r="G123" s="104"/>
      <c r="H123" s="103" cm="1" t="str">
        <f t="array" ref="H123">IF($AD123="","",$AA123-$J123-$P123-$O123)</f>
        <v/>
      </c>
      <c r="I123" s="105"/>
      <c r="J123" s="104"/>
      <c r="K123" s="115"/>
      <c r="L123" s="116"/>
      <c r="M123" s="106"/>
      <c r="N123" s="105"/>
      <c r="O123" s="108"/>
      <c r="P123" s="104"/>
      <c r="Q123" s="106"/>
      <c r="R123" s="105"/>
      <c r="S123" s="105"/>
      <c r="T123" s="105"/>
      <c r="U123" s="105"/>
      <c r="V123" s="105"/>
      <c r="W123" s="105"/>
      <c r="X123" s="105"/>
      <c r="Y123" s="105"/>
      <c r="Z123" s="107"/>
      <c r="AA123" s="103" cm="1" t="str">
        <f t="array" ref="AA123">IF(AD123="","",AD123-AC123)</f>
        <v/>
      </c>
      <c r="AB123" s="107"/>
      <c r="AC123" s="99"/>
      <c r="AD123" s="102"/>
      <c r="AE123" s="109"/>
      <c r="AF123" s="110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28"/>
      <c r="AQ123" s="28"/>
      <c r="AR123" s="28"/>
    </row>
    <row r="124" spans="1:44" ht="22.5" customHeight="1">
      <c r="A124" s="15"/>
      <c r="B124" s="15"/>
      <c r="C124" s="21"/>
      <c r="D124" s="21"/>
      <c r="E124" s="102"/>
      <c r="F124" s="103" cm="1" t="str">
        <f t="array" ref="F124">IF($AD124="","",$H124-$G124)</f>
        <v/>
      </c>
      <c r="G124" s="104"/>
      <c r="H124" s="103" cm="1" t="str">
        <f t="array" ref="H124">IF($AD124="","",$AA124-$J124-$P124-$O124)</f>
        <v/>
      </c>
      <c r="I124" s="105"/>
      <c r="J124" s="104"/>
      <c r="K124" s="115"/>
      <c r="L124" s="116"/>
      <c r="M124" s="106"/>
      <c r="N124" s="105"/>
      <c r="O124" s="108"/>
      <c r="P124" s="104"/>
      <c r="Q124" s="106"/>
      <c r="R124" s="105"/>
      <c r="S124" s="105"/>
      <c r="T124" s="105"/>
      <c r="U124" s="105"/>
      <c r="V124" s="105"/>
      <c r="W124" s="105"/>
      <c r="X124" s="105"/>
      <c r="Y124" s="105"/>
      <c r="Z124" s="107"/>
      <c r="AA124" s="103" cm="1" t="str">
        <f t="array" ref="AA124">IF(AD124="","",AD124-AC124)</f>
        <v/>
      </c>
      <c r="AB124" s="107"/>
      <c r="AC124" s="99"/>
      <c r="AD124" s="102"/>
      <c r="AE124" s="109"/>
      <c r="AF124" s="110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28"/>
      <c r="AQ124" s="28"/>
      <c r="AR124" s="28"/>
    </row>
    <row r="125" spans="1:44" ht="22.5" customHeight="1">
      <c r="A125" s="15"/>
      <c r="B125" s="15"/>
      <c r="C125" s="21"/>
      <c r="D125" s="21"/>
      <c r="E125" s="102"/>
      <c r="F125" s="103" cm="1" t="str">
        <f t="array" ref="F125">IF($AD125="","",$H125-$G125)</f>
        <v/>
      </c>
      <c r="G125" s="104"/>
      <c r="H125" s="103" cm="1" t="str">
        <f t="array" ref="H125">IF($AD125="","",$AA125-$J125-$P125-$O125)</f>
        <v/>
      </c>
      <c r="I125" s="105"/>
      <c r="J125" s="104"/>
      <c r="K125" s="115"/>
      <c r="L125" s="116"/>
      <c r="M125" s="106"/>
      <c r="N125" s="105"/>
      <c r="O125" s="108"/>
      <c r="P125" s="104"/>
      <c r="Q125" s="106"/>
      <c r="R125" s="105"/>
      <c r="S125" s="105"/>
      <c r="T125" s="105"/>
      <c r="U125" s="105"/>
      <c r="V125" s="105"/>
      <c r="W125" s="105"/>
      <c r="X125" s="105"/>
      <c r="Y125" s="105"/>
      <c r="Z125" s="107"/>
      <c r="AA125" s="103" cm="1" t="str">
        <f t="array" ref="AA125">IF(AD125="","",AD125-AC125)</f>
        <v/>
      </c>
      <c r="AB125" s="107"/>
      <c r="AC125" s="99"/>
      <c r="AD125" s="102"/>
      <c r="AE125" s="109"/>
      <c r="AF125" s="110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28"/>
      <c r="AQ125" s="28"/>
      <c r="AR125" s="28"/>
    </row>
    <row r="126" spans="1:44" ht="22.5" customHeight="1">
      <c r="A126" s="15"/>
      <c r="B126" s="15"/>
      <c r="C126" s="21"/>
      <c r="D126" s="21"/>
      <c r="E126" s="102"/>
      <c r="F126" s="103" cm="1" t="str">
        <f t="array" ref="F126">IF($AD126="","",$H126-$G126)</f>
        <v/>
      </c>
      <c r="G126" s="104"/>
      <c r="H126" s="103" cm="1" t="str">
        <f t="array" ref="H126">IF($AD126="","",$AA126-$J126-$P126-$O126)</f>
        <v/>
      </c>
      <c r="I126" s="105"/>
      <c r="J126" s="104"/>
      <c r="K126" s="115"/>
      <c r="L126" s="116"/>
      <c r="M126" s="106"/>
      <c r="N126" s="105"/>
      <c r="O126" s="108"/>
      <c r="P126" s="104"/>
      <c r="Q126" s="106"/>
      <c r="R126" s="105"/>
      <c r="S126" s="105"/>
      <c r="T126" s="105"/>
      <c r="U126" s="105"/>
      <c r="V126" s="105"/>
      <c r="W126" s="105"/>
      <c r="X126" s="105"/>
      <c r="Y126" s="105"/>
      <c r="Z126" s="107"/>
      <c r="AA126" s="103" cm="1" t="str">
        <f t="array" ref="AA126">IF(AD126="","",AD126-AC126)</f>
        <v/>
      </c>
      <c r="AB126" s="107"/>
      <c r="AC126" s="99"/>
      <c r="AD126" s="102"/>
      <c r="AE126" s="109"/>
      <c r="AF126" s="110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28"/>
      <c r="AQ126" s="28"/>
      <c r="AR126" s="28"/>
    </row>
    <row r="127" spans="1:44" ht="22.5" customHeight="1">
      <c r="A127" s="15"/>
      <c r="B127" s="15"/>
      <c r="C127" s="21"/>
      <c r="D127" s="21"/>
      <c r="E127" s="102"/>
      <c r="F127" s="103" cm="1" t="str">
        <f t="array" ref="F127">IF($AD127="","",$H127-$G127)</f>
        <v/>
      </c>
      <c r="G127" s="104"/>
      <c r="H127" s="103" cm="1" t="str">
        <f t="array" ref="H127">IF($AD127="","",$AA127-$J127-$P127-$O127)</f>
        <v/>
      </c>
      <c r="I127" s="105"/>
      <c r="J127" s="104"/>
      <c r="K127" s="115"/>
      <c r="L127" s="116"/>
      <c r="M127" s="106"/>
      <c r="N127" s="105"/>
      <c r="O127" s="108"/>
      <c r="P127" s="104"/>
      <c r="Q127" s="106"/>
      <c r="R127" s="105"/>
      <c r="S127" s="105"/>
      <c r="T127" s="105"/>
      <c r="U127" s="105"/>
      <c r="V127" s="105"/>
      <c r="W127" s="105"/>
      <c r="X127" s="105"/>
      <c r="Y127" s="105"/>
      <c r="Z127" s="107"/>
      <c r="AA127" s="103" cm="1" t="str">
        <f t="array" ref="AA127">IF(AD127="","",AD127-AC127)</f>
        <v/>
      </c>
      <c r="AB127" s="107"/>
      <c r="AC127" s="99"/>
      <c r="AD127" s="102"/>
      <c r="AE127" s="109"/>
      <c r="AF127" s="110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28"/>
      <c r="AQ127" s="28"/>
      <c r="AR127" s="28"/>
    </row>
    <row r="128" spans="1:44" ht="22.5" customHeight="1">
      <c r="A128" s="15"/>
      <c r="B128" s="15"/>
      <c r="C128" s="21"/>
      <c r="D128" s="21"/>
      <c r="E128" s="102"/>
      <c r="F128" s="103" cm="1" t="str">
        <f t="array" ref="F128">IF($AD128="","",$H128-$G128)</f>
        <v/>
      </c>
      <c r="G128" s="104"/>
      <c r="H128" s="103" cm="1" t="str">
        <f t="array" ref="H128">IF($AD128="","",$AA128-$J128-$P128-$O128)</f>
        <v/>
      </c>
      <c r="I128" s="105"/>
      <c r="J128" s="104"/>
      <c r="K128" s="115"/>
      <c r="L128" s="116"/>
      <c r="M128" s="106"/>
      <c r="N128" s="105"/>
      <c r="O128" s="108"/>
      <c r="P128" s="104"/>
      <c r="Q128" s="106"/>
      <c r="R128" s="105"/>
      <c r="S128" s="105"/>
      <c r="T128" s="105"/>
      <c r="U128" s="105"/>
      <c r="V128" s="105"/>
      <c r="W128" s="105"/>
      <c r="X128" s="105"/>
      <c r="Y128" s="105"/>
      <c r="Z128" s="107"/>
      <c r="AA128" s="103" cm="1" t="str">
        <f t="array" ref="AA128">IF(AD128="","",AD128-AC128)</f>
        <v/>
      </c>
      <c r="AB128" s="107"/>
      <c r="AC128" s="99"/>
      <c r="AD128" s="102"/>
      <c r="AE128" s="109"/>
      <c r="AF128" s="110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28"/>
      <c r="AQ128" s="28"/>
      <c r="AR128" s="28"/>
    </row>
    <row r="129" spans="1:44" ht="22.5" customHeight="1">
      <c r="A129" s="15"/>
      <c r="B129" s="15"/>
      <c r="C129" s="21"/>
      <c r="D129" s="21"/>
      <c r="E129" s="102"/>
      <c r="F129" s="103" cm="1" t="str">
        <f t="array" ref="F129">IF($AD129="","",$H129-$G129)</f>
        <v/>
      </c>
      <c r="G129" s="104"/>
      <c r="H129" s="103" cm="1" t="str">
        <f t="array" ref="H129">IF($AD129="","",$AA129-$J129-$P129-$O129)</f>
        <v/>
      </c>
      <c r="I129" s="105"/>
      <c r="J129" s="104"/>
      <c r="K129" s="115"/>
      <c r="L129" s="116"/>
      <c r="M129" s="106"/>
      <c r="N129" s="105"/>
      <c r="O129" s="108"/>
      <c r="P129" s="104"/>
      <c r="Q129" s="106"/>
      <c r="R129" s="105"/>
      <c r="S129" s="105"/>
      <c r="T129" s="105"/>
      <c r="U129" s="105"/>
      <c r="V129" s="105"/>
      <c r="W129" s="105"/>
      <c r="X129" s="105"/>
      <c r="Y129" s="105"/>
      <c r="Z129" s="107"/>
      <c r="AA129" s="103" cm="1" t="str">
        <f t="array" ref="AA129">IF(AD129="","",AD129-AC129)</f>
        <v/>
      </c>
      <c r="AB129" s="107"/>
      <c r="AC129" s="99"/>
      <c r="AD129" s="102"/>
      <c r="AE129" s="109"/>
      <c r="AF129" s="110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28"/>
      <c r="AQ129" s="28"/>
      <c r="AR129" s="28"/>
    </row>
    <row r="130" spans="1:44" ht="22.5" customHeight="1">
      <c r="A130" s="15"/>
      <c r="B130" s="15"/>
      <c r="C130" s="21"/>
      <c r="D130" s="21"/>
      <c r="E130" s="102"/>
      <c r="F130" s="103" cm="1" t="str">
        <f t="array" ref="F130">IF($AD130="","",$H130-$G130)</f>
        <v/>
      </c>
      <c r="G130" s="104"/>
      <c r="H130" s="103" cm="1" t="str">
        <f t="array" ref="H130">IF($AD130="","",$AA130-$J130-$P130-$O130)</f>
        <v/>
      </c>
      <c r="I130" s="105"/>
      <c r="J130" s="104"/>
      <c r="K130" s="115"/>
      <c r="L130" s="116"/>
      <c r="M130" s="106"/>
      <c r="N130" s="105"/>
      <c r="O130" s="108"/>
      <c r="P130" s="104"/>
      <c r="Q130" s="106"/>
      <c r="R130" s="105"/>
      <c r="S130" s="105"/>
      <c r="T130" s="105"/>
      <c r="U130" s="105"/>
      <c r="V130" s="105"/>
      <c r="W130" s="105"/>
      <c r="X130" s="105"/>
      <c r="Y130" s="105"/>
      <c r="Z130" s="107"/>
      <c r="AA130" s="103" cm="1" t="str">
        <f t="array" ref="AA130">IF(AD130="","",AD130-AC130)</f>
        <v/>
      </c>
      <c r="AB130" s="107"/>
      <c r="AC130" s="99"/>
      <c r="AD130" s="102"/>
      <c r="AE130" s="109"/>
      <c r="AF130" s="110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28"/>
      <c r="AQ130" s="28"/>
      <c r="AR130" s="28"/>
    </row>
    <row r="131" spans="1:44" ht="22.5" customHeight="1">
      <c r="A131" s="15"/>
      <c r="B131" s="15"/>
      <c r="C131" s="21"/>
      <c r="D131" s="21"/>
      <c r="E131" s="102"/>
      <c r="F131" s="103" cm="1" t="str">
        <f t="array" ref="F131">IF($AD131="","",$H131-$G131)</f>
        <v/>
      </c>
      <c r="G131" s="104"/>
      <c r="H131" s="103" cm="1" t="str">
        <f t="array" ref="H131">IF($AD131="","",$AA131-$J131-$P131-$O131)</f>
        <v/>
      </c>
      <c r="I131" s="105"/>
      <c r="J131" s="104"/>
      <c r="K131" s="115"/>
      <c r="L131" s="116"/>
      <c r="M131" s="106"/>
      <c r="N131" s="105"/>
      <c r="O131" s="108"/>
      <c r="P131" s="104"/>
      <c r="Q131" s="106"/>
      <c r="R131" s="105"/>
      <c r="S131" s="105"/>
      <c r="T131" s="105"/>
      <c r="U131" s="105"/>
      <c r="V131" s="105"/>
      <c r="W131" s="105"/>
      <c r="X131" s="105"/>
      <c r="Y131" s="105"/>
      <c r="Z131" s="107"/>
      <c r="AA131" s="103" cm="1" t="str">
        <f t="array" ref="AA131">IF(AD131="","",AD131-AC131)</f>
        <v/>
      </c>
      <c r="AB131" s="107"/>
      <c r="AC131" s="99"/>
      <c r="AD131" s="102"/>
      <c r="AE131" s="109"/>
      <c r="AF131" s="110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28"/>
      <c r="AQ131" s="28"/>
      <c r="AR131" s="28"/>
    </row>
    <row r="132" spans="1:44" ht="22.5" customHeight="1">
      <c r="A132" s="15"/>
      <c r="B132" s="15"/>
      <c r="C132" s="21"/>
      <c r="D132" s="21"/>
      <c r="E132" s="102"/>
      <c r="F132" s="103" cm="1" t="str">
        <f t="array" ref="F132">IF($AD132="","",$H132-$G132)</f>
        <v/>
      </c>
      <c r="G132" s="104"/>
      <c r="H132" s="103" cm="1" t="str">
        <f t="array" ref="H132">IF($AD132="","",$AA132-$J132-$P132-$O132)</f>
        <v/>
      </c>
      <c r="I132" s="105"/>
      <c r="J132" s="104"/>
      <c r="K132" s="115"/>
      <c r="L132" s="116"/>
      <c r="M132" s="106"/>
      <c r="N132" s="105"/>
      <c r="O132" s="108"/>
      <c r="P132" s="104"/>
      <c r="Q132" s="106"/>
      <c r="R132" s="105"/>
      <c r="S132" s="105"/>
      <c r="T132" s="105"/>
      <c r="U132" s="105"/>
      <c r="V132" s="105"/>
      <c r="W132" s="105"/>
      <c r="X132" s="105"/>
      <c r="Y132" s="105"/>
      <c r="Z132" s="107"/>
      <c r="AA132" s="103" cm="1" t="str">
        <f t="array" ref="AA132">IF(AD132="","",AD132-AC132)</f>
        <v/>
      </c>
      <c r="AB132" s="107"/>
      <c r="AC132" s="99"/>
      <c r="AD132" s="102"/>
      <c r="AE132" s="109"/>
      <c r="AF132" s="110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28"/>
      <c r="AQ132" s="28"/>
      <c r="AR132" s="28"/>
    </row>
    <row r="133" spans="1:44" ht="22.5" customHeight="1">
      <c r="A133" s="15"/>
      <c r="B133" s="15"/>
      <c r="C133" s="21"/>
      <c r="D133" s="21"/>
      <c r="E133" s="102"/>
      <c r="F133" s="103" cm="1" t="str">
        <f t="array" ref="F133">IF($AD133="","",$H133-$G133)</f>
        <v/>
      </c>
      <c r="G133" s="104"/>
      <c r="H133" s="103" cm="1" t="str">
        <f t="array" ref="H133">IF($AD133="","",$AA133-$J133-$P133-$O133)</f>
        <v/>
      </c>
      <c r="I133" s="105"/>
      <c r="J133" s="104"/>
      <c r="K133" s="115"/>
      <c r="L133" s="116"/>
      <c r="M133" s="106"/>
      <c r="N133" s="105"/>
      <c r="O133" s="108"/>
      <c r="P133" s="104"/>
      <c r="Q133" s="106"/>
      <c r="R133" s="105"/>
      <c r="S133" s="105"/>
      <c r="T133" s="105"/>
      <c r="U133" s="105"/>
      <c r="V133" s="105"/>
      <c r="W133" s="105"/>
      <c r="X133" s="105"/>
      <c r="Y133" s="105"/>
      <c r="Z133" s="107"/>
      <c r="AA133" s="103" cm="1" t="str">
        <f t="array" ref="AA133">IF(AD133="","",AD133-AC133)</f>
        <v/>
      </c>
      <c r="AB133" s="107"/>
      <c r="AC133" s="99"/>
      <c r="AD133" s="102"/>
      <c r="AE133" s="109"/>
      <c r="AF133" s="110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28"/>
      <c r="AQ133" s="28"/>
      <c r="AR133" s="28"/>
    </row>
    <row r="134" spans="1:44" ht="22.5" customHeight="1">
      <c r="A134" s="15"/>
      <c r="B134" s="15"/>
      <c r="C134" s="21"/>
      <c r="D134" s="21"/>
      <c r="E134" s="102"/>
      <c r="F134" s="103" cm="1" t="str">
        <f t="array" ref="F134">IF($AD134="","",$H134-$G134)</f>
        <v/>
      </c>
      <c r="G134" s="104"/>
      <c r="H134" s="103" cm="1" t="str">
        <f t="array" ref="H134">IF($AD134="","",$AA134-$J134-$P134-$O134)</f>
        <v/>
      </c>
      <c r="I134" s="105"/>
      <c r="J134" s="104"/>
      <c r="K134" s="115"/>
      <c r="L134" s="116"/>
      <c r="M134" s="106"/>
      <c r="N134" s="105"/>
      <c r="O134" s="108"/>
      <c r="P134" s="104"/>
      <c r="Q134" s="106"/>
      <c r="R134" s="105"/>
      <c r="S134" s="105"/>
      <c r="T134" s="105"/>
      <c r="U134" s="105"/>
      <c r="V134" s="105"/>
      <c r="W134" s="105"/>
      <c r="X134" s="105"/>
      <c r="Y134" s="105"/>
      <c r="Z134" s="107"/>
      <c r="AA134" s="103" cm="1" t="str">
        <f t="array" ref="AA134">IF(AD134="","",AD134-AC134)</f>
        <v/>
      </c>
      <c r="AB134" s="107"/>
      <c r="AC134" s="99"/>
      <c r="AD134" s="102"/>
      <c r="AE134" s="109"/>
      <c r="AF134" s="110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28"/>
      <c r="AQ134" s="28"/>
      <c r="AR134" s="28"/>
    </row>
    <row r="135" spans="1:44" ht="22.5" customHeight="1">
      <c r="A135" s="15"/>
      <c r="B135" s="15"/>
      <c r="C135" s="21"/>
      <c r="D135" s="21"/>
      <c r="E135" s="102"/>
      <c r="F135" s="103" cm="1" t="str">
        <f t="array" ref="F135">IF($AD135="","",$H135-$G135)</f>
        <v/>
      </c>
      <c r="G135" s="104"/>
      <c r="H135" s="103" cm="1" t="str">
        <f t="array" ref="H135">IF($AD135="","",$AA135-$J135-$P135-$O135)</f>
        <v/>
      </c>
      <c r="I135" s="105"/>
      <c r="J135" s="104"/>
      <c r="K135" s="115"/>
      <c r="L135" s="116"/>
      <c r="M135" s="106"/>
      <c r="N135" s="105"/>
      <c r="O135" s="108"/>
      <c r="P135" s="104"/>
      <c r="Q135" s="106"/>
      <c r="R135" s="105"/>
      <c r="S135" s="105"/>
      <c r="T135" s="105"/>
      <c r="U135" s="105"/>
      <c r="V135" s="105"/>
      <c r="W135" s="105"/>
      <c r="X135" s="105"/>
      <c r="Y135" s="105"/>
      <c r="Z135" s="107"/>
      <c r="AA135" s="103" cm="1" t="str">
        <f t="array" ref="AA135">IF(AD135="","",AD135-AC135)</f>
        <v/>
      </c>
      <c r="AB135" s="107"/>
      <c r="AC135" s="99"/>
      <c r="AD135" s="102"/>
      <c r="AE135" s="109"/>
      <c r="AF135" s="110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28"/>
      <c r="AQ135" s="28"/>
      <c r="AR135" s="28"/>
    </row>
    <row r="136" spans="1:44" ht="22.5" customHeight="1">
      <c r="A136" s="15"/>
      <c r="B136" s="15"/>
      <c r="C136" s="21"/>
      <c r="D136" s="21"/>
      <c r="E136" s="102"/>
      <c r="F136" s="103" cm="1" t="str">
        <f t="array" ref="F136">IF($AD136="","",$H136-$G136)</f>
        <v/>
      </c>
      <c r="G136" s="104"/>
      <c r="H136" s="103" cm="1" t="str">
        <f t="array" ref="H136">IF($AD136="","",$AA136-$J136-$P136-$O136)</f>
        <v/>
      </c>
      <c r="I136" s="105"/>
      <c r="J136" s="104"/>
      <c r="K136" s="115"/>
      <c r="L136" s="116"/>
      <c r="M136" s="106"/>
      <c r="N136" s="105"/>
      <c r="O136" s="108"/>
      <c r="P136" s="104"/>
      <c r="Q136" s="106"/>
      <c r="R136" s="105"/>
      <c r="S136" s="105"/>
      <c r="T136" s="105"/>
      <c r="U136" s="105"/>
      <c r="V136" s="105"/>
      <c r="W136" s="105"/>
      <c r="X136" s="105"/>
      <c r="Y136" s="105"/>
      <c r="Z136" s="107"/>
      <c r="AA136" s="103" cm="1" t="str">
        <f t="array" ref="AA136">IF(AD136="","",AD136-AC136)</f>
        <v/>
      </c>
      <c r="AB136" s="107"/>
      <c r="AC136" s="99"/>
      <c r="AD136" s="102"/>
      <c r="AE136" s="109"/>
      <c r="AF136" s="110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28"/>
      <c r="AQ136" s="28"/>
      <c r="AR136" s="28"/>
    </row>
    <row r="137" spans="1:44" ht="22.5" customHeight="1">
      <c r="A137" s="15"/>
      <c r="B137" s="15"/>
      <c r="C137" s="21"/>
      <c r="D137" s="21"/>
      <c r="E137" s="102"/>
      <c r="F137" s="103" cm="1" t="str">
        <f t="array" ref="F137">IF($AD137="","",$H137-$G137)</f>
        <v/>
      </c>
      <c r="G137" s="104"/>
      <c r="H137" s="103" cm="1" t="str">
        <f t="array" ref="H137">IF($AD137="","",$AA137-$J137-$P137-$O137)</f>
        <v/>
      </c>
      <c r="I137" s="105"/>
      <c r="J137" s="104"/>
      <c r="K137" s="115"/>
      <c r="L137" s="116"/>
      <c r="M137" s="106"/>
      <c r="N137" s="105"/>
      <c r="O137" s="108"/>
      <c r="P137" s="104"/>
      <c r="Q137" s="106"/>
      <c r="R137" s="105"/>
      <c r="S137" s="105"/>
      <c r="T137" s="105"/>
      <c r="U137" s="105"/>
      <c r="V137" s="105"/>
      <c r="W137" s="105"/>
      <c r="X137" s="105"/>
      <c r="Y137" s="105"/>
      <c r="Z137" s="107"/>
      <c r="AA137" s="103" cm="1" t="str">
        <f t="array" ref="AA137">IF(AD137="","",AD137-AC137)</f>
        <v/>
      </c>
      <c r="AB137" s="107"/>
      <c r="AC137" s="99"/>
      <c r="AD137" s="102"/>
      <c r="AE137" s="109"/>
      <c r="AF137" s="110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28"/>
      <c r="AQ137" s="28"/>
      <c r="AR137" s="28"/>
    </row>
    <row r="138" spans="1:44" ht="22.5" customHeight="1">
      <c r="A138" s="15"/>
      <c r="B138" s="15"/>
      <c r="C138" s="21"/>
      <c r="D138" s="21"/>
      <c r="E138" s="102"/>
      <c r="F138" s="103" cm="1" t="str">
        <f t="array" ref="F138">IF($AD138="","",$H138-$G138)</f>
        <v/>
      </c>
      <c r="G138" s="104"/>
      <c r="H138" s="103" cm="1" t="str">
        <f t="array" ref="H138">IF($AD138="","",$AA138-$J138-$P138-$O138)</f>
        <v/>
      </c>
      <c r="I138" s="105"/>
      <c r="J138" s="104"/>
      <c r="K138" s="115"/>
      <c r="L138" s="116"/>
      <c r="M138" s="106"/>
      <c r="N138" s="105"/>
      <c r="O138" s="108"/>
      <c r="P138" s="104"/>
      <c r="Q138" s="106"/>
      <c r="R138" s="105"/>
      <c r="S138" s="105"/>
      <c r="T138" s="105"/>
      <c r="U138" s="105"/>
      <c r="V138" s="105"/>
      <c r="W138" s="105"/>
      <c r="X138" s="105"/>
      <c r="Y138" s="105"/>
      <c r="Z138" s="107"/>
      <c r="AA138" s="103" cm="1" t="str">
        <f t="array" ref="AA138">IF(AD138="","",AD138-AC138)</f>
        <v/>
      </c>
      <c r="AB138" s="107"/>
      <c r="AC138" s="99"/>
      <c r="AD138" s="102"/>
      <c r="AE138" s="109"/>
      <c r="AF138" s="110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28"/>
      <c r="AQ138" s="28"/>
      <c r="AR138" s="28"/>
    </row>
    <row r="139" spans="1:44" ht="22.5" customHeight="1">
      <c r="A139" s="15"/>
      <c r="B139" s="15"/>
      <c r="C139" s="21"/>
      <c r="D139" s="21"/>
      <c r="E139" s="102"/>
      <c r="F139" s="103" cm="1" t="str">
        <f t="array" ref="F139">IF($AD139="","",$H139-$G139)</f>
        <v/>
      </c>
      <c r="G139" s="104"/>
      <c r="H139" s="103" cm="1" t="str">
        <f t="array" ref="H139">IF($AD139="","",$AA139-$J139-$P139-$O139)</f>
        <v/>
      </c>
      <c r="I139" s="105"/>
      <c r="J139" s="104"/>
      <c r="K139" s="115"/>
      <c r="L139" s="116"/>
      <c r="M139" s="106"/>
      <c r="N139" s="105"/>
      <c r="O139" s="108"/>
      <c r="P139" s="104"/>
      <c r="Q139" s="106"/>
      <c r="R139" s="105"/>
      <c r="S139" s="105"/>
      <c r="T139" s="105"/>
      <c r="U139" s="105"/>
      <c r="V139" s="105"/>
      <c r="W139" s="105"/>
      <c r="X139" s="105"/>
      <c r="Y139" s="105"/>
      <c r="Z139" s="107"/>
      <c r="AA139" s="103" cm="1" t="str">
        <f t="array" ref="AA139">IF(AD139="","",AD139-AC139)</f>
        <v/>
      </c>
      <c r="AB139" s="107"/>
      <c r="AC139" s="99"/>
      <c r="AD139" s="102"/>
      <c r="AE139" s="109"/>
      <c r="AF139" s="110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28"/>
      <c r="AQ139" s="28"/>
      <c r="AR139" s="28"/>
    </row>
    <row r="140" spans="1:44" ht="22.5" customHeight="1">
      <c r="A140" s="15"/>
      <c r="B140" s="15"/>
      <c r="C140" s="21"/>
      <c r="D140" s="21"/>
      <c r="E140" s="102"/>
      <c r="F140" s="103" cm="1" t="str">
        <f t="array" ref="F140">IF($AD140="","",$H140-$G140)</f>
        <v/>
      </c>
      <c r="G140" s="104"/>
      <c r="H140" s="103" cm="1" t="str">
        <f t="array" ref="H140">IF($AD140="","",$AA140-$J140-$P140-$O140)</f>
        <v/>
      </c>
      <c r="I140" s="105"/>
      <c r="J140" s="104"/>
      <c r="K140" s="115"/>
      <c r="L140" s="116"/>
      <c r="M140" s="106"/>
      <c r="N140" s="105"/>
      <c r="O140" s="108"/>
      <c r="P140" s="104"/>
      <c r="Q140" s="106"/>
      <c r="R140" s="105"/>
      <c r="S140" s="105"/>
      <c r="T140" s="105"/>
      <c r="U140" s="105"/>
      <c r="V140" s="105"/>
      <c r="W140" s="105"/>
      <c r="X140" s="105"/>
      <c r="Y140" s="105"/>
      <c r="Z140" s="107"/>
      <c r="AA140" s="103" cm="1" t="str">
        <f t="array" ref="AA140">IF(AD140="","",AD140-AC140)</f>
        <v/>
      </c>
      <c r="AB140" s="107"/>
      <c r="AC140" s="99"/>
      <c r="AD140" s="102"/>
      <c r="AE140" s="109"/>
      <c r="AF140" s="110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28"/>
      <c r="AQ140" s="28"/>
      <c r="AR140" s="28"/>
    </row>
    <row r="141" spans="1:44" ht="13.5" customHeight="1">
      <c r="A141" s="17"/>
      <c r="B141" s="17"/>
      <c r="C141" s="17"/>
      <c r="D141" s="17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spans="1:44" ht="13.5" customHeight="1">
      <c r="A142" s="4"/>
      <c r="B142" s="4"/>
      <c r="C142" s="4"/>
      <c r="D142" s="4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spans="1:44" ht="13.5" customHeight="1">
      <c r="A143" s="4"/>
      <c r="B143" s="4"/>
      <c r="C143" s="4"/>
      <c r="D143" s="4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spans="1:44" ht="13.5" customHeight="1">
      <c r="A144" s="4"/>
      <c r="B144" s="4"/>
      <c r="C144" s="4"/>
      <c r="D144" s="4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spans="1:44" ht="13.5" customHeight="1">
      <c r="A145" s="4"/>
      <c r="B145" s="4"/>
      <c r="C145" s="4"/>
      <c r="D145" s="4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spans="1:44" ht="13.5" customHeight="1">
      <c r="A146" s="4"/>
      <c r="B146" s="4"/>
      <c r="C146" s="4"/>
      <c r="D146" s="4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</sheetData>
  <sheetProtection password="CC6F" sheet="1" objects="1" scenarios="1"/>
  <mergeCells count="54">
    <mergeCell ref="W5:W6"/>
    <mergeCell ref="X5:X6"/>
    <mergeCell ref="Y5:Y6"/>
    <mergeCell ref="Z5:Z6"/>
    <mergeCell ref="U4:V4"/>
    <mergeCell ref="U5:U6"/>
    <mergeCell ref="V5:V6"/>
    <mergeCell ref="AH4:AH6"/>
    <mergeCell ref="AM4:AN4"/>
    <mergeCell ref="AK5:AK6"/>
    <mergeCell ref="AK4:AL4"/>
    <mergeCell ref="K5:L5"/>
    <mergeCell ref="M5:N5"/>
    <mergeCell ref="Q5:Q6"/>
    <mergeCell ref="R5:R6"/>
    <mergeCell ref="AI4:AI6"/>
    <mergeCell ref="AJ4:AJ6"/>
    <mergeCell ref="AL5:AL6"/>
    <mergeCell ref="AM5:AM6"/>
    <mergeCell ref="AN5:AN6"/>
    <mergeCell ref="S4:T4"/>
    <mergeCell ref="S5:S6"/>
    <mergeCell ref="T5:T6"/>
    <mergeCell ref="A1:E1"/>
    <mergeCell ref="A2:B2"/>
    <mergeCell ref="G1:I1"/>
    <mergeCell ref="A4:A6"/>
    <mergeCell ref="G2:I2"/>
    <mergeCell ref="G3:I3"/>
    <mergeCell ref="F4:F6"/>
    <mergeCell ref="C4:C6"/>
    <mergeCell ref="D4:D6"/>
    <mergeCell ref="I4:I6"/>
    <mergeCell ref="H4:H6"/>
    <mergeCell ref="C2:E2"/>
    <mergeCell ref="E4:E6"/>
    <mergeCell ref="G4:G6"/>
    <mergeCell ref="B4:B6"/>
    <mergeCell ref="J1:N1"/>
    <mergeCell ref="J2:N3"/>
    <mergeCell ref="O1:AE1"/>
    <mergeCell ref="O2:AE3"/>
    <mergeCell ref="Q4:R4"/>
    <mergeCell ref="AE4:AE6"/>
    <mergeCell ref="K4:N4"/>
    <mergeCell ref="AA4:AA6"/>
    <mergeCell ref="AB4:AB6"/>
    <mergeCell ref="AD4:AD6"/>
    <mergeCell ref="AC4:AC6"/>
    <mergeCell ref="J4:J6"/>
    <mergeCell ref="O4:O6"/>
    <mergeCell ref="P4:P6"/>
    <mergeCell ref="W4:X4"/>
    <mergeCell ref="Y4:Z4"/>
  </mergeCells>
  <phoneticPr fontId="17"/>
  <conditionalFormatting sqref="C7:C140">
    <cfRule type="expression" dxfId="29" priority="33">
      <formula>OR(AND($E7="",ISNUMBER($F7),$F7&lt;=TODAY()),AND($I7="",ISNUMBER($H7),$H7&lt;=TODAY()+7),AND(OR($K7="",$L7=""),ISNUMBER($H7),($H7+$J7)&lt;=TODAY()+7),AND($AB7="",ISNUMBER($AA7),$AA7&lt;=TODAY()+7))</formula>
    </cfRule>
  </conditionalFormatting>
  <conditionalFormatting sqref="C9:AB10 C18:AB18">
    <cfRule type="expression" priority="1" stopIfTrue="1">
      <formula>TRUE</formula>
    </cfRule>
  </conditionalFormatting>
  <conditionalFormatting sqref="F7:F140">
    <cfRule type="expression" dxfId="28" priority="12" stopIfTrue="1">
      <formula>AND(AND(ISNUMBER(F7),F7&lt;=TODAY(),E7=""),YEAR(F7)=$G$1)</formula>
    </cfRule>
    <cfRule type="expression" dxfId="27" priority="13" stopIfTrue="1">
      <formula>AND(AND(ISNUMBER(F7),F7&lt;=TODAY(),E7=""),YEAR(F7)=$G$2)</formula>
    </cfRule>
    <cfRule type="expression" dxfId="26" priority="14" stopIfTrue="1">
      <formula>AND(AND(ISNUMBER(F7),F7&lt;=TODAY(),E7=""),YEAR(F7)=$G$3)</formula>
    </cfRule>
    <cfRule type="expression" dxfId="25" priority="15">
      <formula>AND(ISNUMBER(F7),F7&lt;=TODAY(),E7="")</formula>
    </cfRule>
    <cfRule type="expression" dxfId="24" priority="16">
      <formula>AND(ISNUMBER(F7),YEAR(F7)=$G$1)</formula>
    </cfRule>
    <cfRule type="expression" dxfId="23" priority="17">
      <formula>AND(ISNUMBER(F7),YEAR(F7)=$G$2)</formula>
    </cfRule>
    <cfRule type="expression" dxfId="22" priority="18">
      <formula>AND(ISNUMBER(F7),YEAR(F7)=$G$3)</formula>
    </cfRule>
  </conditionalFormatting>
  <conditionalFormatting sqref="G7:G140 J7:J140 O7:P140 AC7:AC140">
    <cfRule type="notContainsBlanks" dxfId="21" priority="2" stopIfTrue="1">
      <formula>NOT(ISBLANK(G7))</formula>
    </cfRule>
  </conditionalFormatting>
  <conditionalFormatting sqref="H7:H140">
    <cfRule type="expression" dxfId="20" priority="19" stopIfTrue="1">
      <formula>AND(AND(ISNUMBER(H7),H7&lt;=TODAY(),I7=""),YEAR(H7)=$G$1)</formula>
    </cfRule>
    <cfRule type="expression" dxfId="19" priority="20" stopIfTrue="1">
      <formula>AND(AND(ISNUMBER(H7),H7&lt;=TODAY(),I7=""),YEAR(H7)=$G$2)</formula>
    </cfRule>
    <cfRule type="expression" dxfId="18" priority="21" stopIfTrue="1">
      <formula>AND(AND(ISNUMBER(H7),H7&lt;=TODAY(),I7=""),YEAR(H7)=$G$3)</formula>
    </cfRule>
    <cfRule type="expression" dxfId="17" priority="22">
      <formula>AND(ISNUMBER(H7),H7&lt;=TODAY(),I7="")</formula>
    </cfRule>
    <cfRule type="expression" dxfId="16" priority="23">
      <formula>AND(ISNUMBER(H7),YEAR(H7)=$G$1)</formula>
    </cfRule>
    <cfRule type="expression" dxfId="15" priority="24">
      <formula>AND(ISNUMBER(H7),YEAR(H7)=$G$2)</formula>
    </cfRule>
    <cfRule type="expression" dxfId="14" priority="25">
      <formula>AND(ISNUMBER(H7),YEAR(H7)=$G$3)</formula>
    </cfRule>
  </conditionalFormatting>
  <conditionalFormatting sqref="I7:I140">
    <cfRule type="expression" dxfId="13" priority="4" stopIfTrue="1">
      <formula>AND(I7="",ISNUMBER($H7),$H7&lt;=TODAY())</formula>
    </cfRule>
    <cfRule type="expression" dxfId="12" priority="5" stopIfTrue="1">
      <formula>AND(I7="",ISNUMBER($H7),$H7&gt;TODAY(),$H7&lt;=TODAY()+7)</formula>
    </cfRule>
  </conditionalFormatting>
  <conditionalFormatting sqref="K7:L140">
    <cfRule type="expression" dxfId="11" priority="6" stopIfTrue="1">
      <formula>AND(K7="",ISNUMBER($H7),($H7+$J7)&lt;=TODAY())</formula>
    </cfRule>
    <cfRule type="expression" dxfId="10" priority="7" stopIfTrue="1">
      <formula>AND(K7="",ISNUMBER($H7),($H7+$J7)&gt;TODAY(),($H7+$J7)&lt;=TODAY()+7)</formula>
    </cfRule>
  </conditionalFormatting>
  <conditionalFormatting sqref="Q7:Z140">
    <cfRule type="notContainsBlanks" dxfId="9" priority="3" stopIfTrue="1">
      <formula>NOT(ISBLANK(Q7))</formula>
    </cfRule>
  </conditionalFormatting>
  <conditionalFormatting sqref="AA7:AA140">
    <cfRule type="expression" dxfId="8" priority="26" stopIfTrue="1">
      <formula>AND(AND(ISNUMBER(AA7),AA7&lt;=TODAY(),AB7=""),YEAR(AA7)=$G$1)</formula>
    </cfRule>
    <cfRule type="expression" dxfId="7" priority="27" stopIfTrue="1">
      <formula>AND(AND(ISNUMBER(AA7),AA7&lt;=TODAY(),AB7=""),YEAR(AA7)=$G$2)</formula>
    </cfRule>
    <cfRule type="expression" dxfId="6" priority="28" stopIfTrue="1">
      <formula>AND(AND(ISNUMBER(AA7),AA7&lt;=TODAY(),AB7=""),YEAR(AA7)=$G$3)</formula>
    </cfRule>
    <cfRule type="expression" dxfId="5" priority="29">
      <formula>AND(ISNUMBER(AA7),AA7&lt;=TODAY(),AB7="")</formula>
    </cfRule>
    <cfRule type="expression" dxfId="4" priority="30">
      <formula>AND(ISNUMBER(AA7),YEAR(AA7)=$G$1)</formula>
    </cfRule>
    <cfRule type="expression" dxfId="3" priority="31">
      <formula>AND(ISNUMBER(AA7),YEAR(AA7)=$G$2)</formula>
    </cfRule>
    <cfRule type="expression" dxfId="2" priority="32">
      <formula>AND(ISNUMBER(AA7),YEAR(AA7)=$G$3)</formula>
    </cfRule>
  </conditionalFormatting>
  <conditionalFormatting sqref="AB7:AB140">
    <cfRule type="expression" dxfId="1" priority="10" stopIfTrue="1">
      <formula>AND(AB7="",ISNUMBER($AA7),$AA7&lt;=TODAY())</formula>
    </cfRule>
    <cfRule type="expression" dxfId="0" priority="11" stopIfTrue="1">
      <formula>AND(AB7="",ISNUMBER($AA7),$AA7&gt;TODAY(),$AA7&lt;=TODAY()+7)</formula>
    </cfRule>
  </conditionalFormatting>
  <pageMargins left="0.39370100000000002" right="0.19685" top="0.78740200000000005" bottom="0.39370100000000002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①施工図リスト</vt:lpstr>
      <vt:lpstr>②製作図リスト</vt:lpstr>
      <vt:lpstr>③計画書要領書リスト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小山努</dc:creator>
  <cp:lastModifiedBy>努 小山</cp:lastModifiedBy>
  <dcterms:created xsi:type="dcterms:W3CDTF">2026-10-10T09:51:44Z</dcterms:created>
  <dcterms:modified xsi:type="dcterms:W3CDTF">2026-10-10T12:55:28Z</dcterms:modified>
</cp:coreProperties>
</file>