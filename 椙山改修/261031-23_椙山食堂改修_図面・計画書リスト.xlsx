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<sst xmlns="http://schemas.openxmlformats.org/spreadsheetml/2006/main" count="416" uniqueCount="286">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</sst>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  <xf numFmtId="49" fontId="19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8</v>
      </c>
      <c r="BL5" s="28" cm="1" t="str">
        <f t="array" aca="1" ref="BL5" ca="1">BJ5&amp;": "&amp;BK5&amp;"個"</f>
        <v>黄色: 8個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46293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46300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46307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46321</v>
      </c>
      <c r="AD39" s="68" cm="1">
        <f t="array" ref="AD39">IF(AG39="","",$AG39-$AF39)</f>
        <v>46321</v>
      </c>
      <c r="AE39" s="67"/>
      <c r="AF39" s="83">
        <v>80</v>
      </c>
      <c r="AG39" s="72">
        <v>46401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SSD1（東デッキ側）製作２か月+塗装20日、発注済み、工程変更 1/14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46317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46324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46331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46352</v>
      </c>
      <c r="AD54" s="68" cm="1">
        <f t="array" ref="AD54">IF(AG54="","",$AG54-$AF54)</f>
        <v>46352</v>
      </c>
      <c r="AE54" s="67"/>
      <c r="AF54" s="83">
        <v>60</v>
      </c>
      <c r="AG54" s="72">
        <v>46412</v>
      </c>
      <c r="AH54" s="71"/>
      <c r="AI54" s="70"/>
      <c r="AJ54" s="68"/>
      <c r="AK54" s="68"/>
      <c r="AL54" s="67"/>
      <c r="AM54" s="72"/>
      <c r="AN54" s="133" t="inlineStr">
        <is>
          <t>製作２か月、工程変更 1/25</t>
        </is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IF(AD7="","",WORKDAY(H7-G7+1,-1,{46329,46349,46384,46385,46386,46387,46388,46391,46398,46429,46441,46468}))</f>
        <v/>
      </c>
      <c r="G7" s="104"/>
      <c r="H7" s="103" cm="1" t="str">
        <f t="array" ref="H7">IF(AD7="","",WORKDAY(AA7-J7-P7-O7+1,-1,{46329,46349,46384,46385,46386,46387,46388,46391,46398,46429,46441,46468}))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IF(AD7="","",WORKDAY(AD7-AC7+1,-1,{46329,46349,46384,46385,46386,46387,46388,46391,46398,46429,46441,46468}))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IF($AD8="","",WORKDAY($H8-$G8+1,-1,{46329,46349,46384,46385,46386,46387,46388,46391,46398,46429,46441,46468}))</f>
        <v>46293</v>
      </c>
      <c r="G8" s="114">
        <v>7</v>
      </c>
      <c r="H8" s="106" cm="1">
        <f t="array" ref="H8">IF($AD8="","",WORKDAY($AA8-$J8-$P8-$O8+1,-1,{46329,46349,46384,46385,46386,46387,46388,46391,46398,46429,46441,46468}))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IF(AD8="","",WORKDAY(AD8-AC8+1,-1,{46329,46349,46384,46385,46386,46387,46388,46391,46398,46429,46441,46468}))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IF($AD9="","",WORKDAY($H9-$G9+1,-1,{46329,46349,46384,46385,46386,46387,46388,46391,46398,46429,46441,46468}))</f>
        <v>46370</v>
      </c>
      <c r="G9" s="114"/>
      <c r="H9" s="126" cm="1">
        <f t="array" ref="H9">IF($AD9="","",WORKDAY($AA9-$J9-$P9-$O9+1,-1,{46329,46349,46384,46385,46386,46387,46388,46391,46398,46429,46441,46468}))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IF(AD9="","",WORKDAY(AD9-AC9+1,-1,{46329,46349,46384,46385,46386,46387,46388,46391,46398,46429,46441,46468}))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IF($AD10="","",WORKDAY($H10-$G10+1,-1,{46329,46349,46384,46385,46386,46387,46388,46391,46398,46429,46441,46468}))</f>
        <v>46370</v>
      </c>
      <c r="G10" s="114"/>
      <c r="H10" s="126" cm="1">
        <f t="array" ref="H10">IF($AD10="","",WORKDAY($AA10-$J10-$P10-$O10+1,-1,{46329,46349,46384,46385,46386,46387,46388,46391,46398,46429,46441,46468}))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IF(AD10="","",WORKDAY(AD10-AC10+1,-1,{46329,46349,46384,46385,46386,46387,46388,46391,46398,46429,46441,46468}))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IF($AD11="","",WORKDAY($H11-$G11+1,-1,{46329,46349,46384,46385,46386,46387,46388,46391,46398,46429,46441,46468}))</f>
        <v>46344</v>
      </c>
      <c r="G11" s="114">
        <v>7</v>
      </c>
      <c r="H11" s="106" cm="1">
        <f t="array" ref="H11">IF($AD11="","",WORKDAY($AA11-$J11-$P11-$O11+1,-1,{46329,46349,46384,46385,46386,46387,46388,46391,46398,46429,46441,46468}))</f>
        <v>46351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IF(AD11="","",WORKDAY(AD11-AC11+1,-1,{46329,46349,46384,46385,46386,46387,46388,46391,46398,46429,46441,46468}))</f>
        <v>46379</v>
      </c>
      <c r="AB11" s="107"/>
      <c r="AC11" s="118">
        <v>14</v>
      </c>
      <c r="AD11" s="102">
        <v>46393</v>
      </c>
      <c r="AE11" s="347" t="inlineStr">
        <is>
          <t>0918質疑対応とする⇒設計図に記載有り。とりあえず作成する、工程変更 1/6</t>
        </is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IF($AD12="","",WORKDAY($H12-$G12+1,-1,{46329,46349,46384,46385,46386,46387,46388,46391,46398,46429,46441,46468}))</f>
        <v>46346</v>
      </c>
      <c r="G12" s="114">
        <v>7</v>
      </c>
      <c r="H12" s="106" cm="1">
        <f t="array" ref="H12">IF($AD12="","",WORKDAY($AA12-$J12-$P12-$O12+1,-1,{46329,46349,46384,46385,46386,46387,46388,46391,46398,46429,46441,46468}))</f>
        <v>46353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IF(AD12="","",WORKDAY(AD12-AC12+1,-1,{46329,46349,46384,46385,46386,46387,46388,46391,46398,46429,46441,46468}))</f>
        <v>46381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IF($AD13="","",WORKDAY($H13-$G13+1,-1,{46329,46349,46384,46385,46386,46387,46388,46391,46398,46429,46441,46468}))</f>
        <v>46370</v>
      </c>
      <c r="G13" s="114">
        <v>7</v>
      </c>
      <c r="H13" s="106" cm="1">
        <f t="array" ref="H13">IF($AD13="","",WORKDAY($AA13-$J13-$P13-$O13+1,-1,{46329,46349,46384,46385,46386,46387,46388,46391,46398,46429,46441,46468}))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IF(AD13="","",WORKDAY(AD13-AC13+1,-1,{46329,46349,46384,46385,46386,46387,46388,46391,46398,46429,46441,46468}))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IF($AD14="","",WORKDAY($H14-$G14+1,-1,{46329,46349,46384,46385,46386,46387,46388,46391,46398,46429,46441,46468}))</f>
        <v>46321</v>
      </c>
      <c r="G14" s="114">
        <v>7</v>
      </c>
      <c r="H14" s="106" cm="1">
        <f t="array" ref="H14">IF($AD14="","",WORKDAY($AA14-$J14-$P14-$O14+1,-1,{46329,46349,46384,46385,46386,46387,46388,46391,46398,46429,46441,46468}))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IF(AD14="","",WORKDAY(AD14-AC14+1,-1,{46329,46349,46384,46385,46386,46387,46388,46391,46398,46429,46441,46468}))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IF($AD15="","",WORKDAY($H15-$G15+1,-1,{46329,46349,46384,46385,46386,46387,46388,46391,46398,46429,46441,46468}))</f>
        <v>46345</v>
      </c>
      <c r="G15" s="114">
        <v>7</v>
      </c>
      <c r="H15" s="106" cm="1">
        <f t="array" ref="H15">IF($AD15="","",WORKDAY($AA15-$J15-$P15-$O15+1,-1,{46329,46349,46384,46385,46386,46387,46388,46391,46398,46429,46441,46468}))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IF(AD15="","",WORKDAY(AD15-AC15+1,-1,{46329,46349,46384,46385,46386,46387,46388,46391,46398,46429,46441,46468}))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IF($AD16="","",WORKDAY($H16-$G16+1,-1,{46329,46349,46384,46385,46386,46387,46388,46391,46398,46429,46441,46468}))</f>
        <v>46346</v>
      </c>
      <c r="G16" s="114">
        <v>7</v>
      </c>
      <c r="H16" s="106" cm="1">
        <f t="array" ref="H16">IF($AD16="","",WORKDAY($AA16-$J16-$P16-$O16+1,-1,{46329,46349,46384,46385,46386,46387,46388,46391,46398,46429,46441,46468}))</f>
        <v>46353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IF(AD16="","",WORKDAY(AD16-AC16+1,-1,{46329,46349,46384,46385,46386,46387,46388,46391,46398,46429,46441,46468}))</f>
        <v>46381</v>
      </c>
      <c r="AB16" s="107"/>
      <c r="AC16" s="118">
        <v>14</v>
      </c>
      <c r="AD16" s="102">
        <v>46401</v>
      </c>
      <c r="AE16" s="135" t="inlineStr">
        <is>
          <t>工程変更 1/14</t>
        </is>
      </c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IF($AD17="","",WORKDAY($H17-$G17+1,-1,{46329,46349,46384,46385,46386,46387,46388,46391,46398,46429,46441,46468}))</f>
        <v>46346</v>
      </c>
      <c r="G17" s="114">
        <v>7</v>
      </c>
      <c r="H17" s="106" cm="1">
        <f t="array" ref="H17">IF($AD17="","",WORKDAY($AA17-$J17-$P17-$O17+1,-1,{46329,46349,46384,46385,46386,46387,46388,46391,46398,46429,46441,46468}))</f>
        <v>46353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IF(AD17="","",WORKDAY(AD17-AC17+1,-1,{46329,46349,46384,46385,46386,46387,46388,46391,46398,46429,46441,46468}))</f>
        <v>46381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IF($AD18="","",WORKDAY($H18-$G18+1,-1,{46329,46349,46384,46385,46386,46387,46388,46391,46398,46429,46441,46468}))</f>
        <v>46366</v>
      </c>
      <c r="G18" s="114"/>
      <c r="H18" s="126" cm="1">
        <f t="array" ref="H18">IF($AD18="","",WORKDAY($AA18-$J18-$P18-$O18+1,-1,{46329,46349,46384,46385,46386,46387,46388,46391,46398,46429,46441,46468}))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IF(AD18="","",WORKDAY(AD18-AC18+1,-1,{46329,46349,46384,46385,46386,46387,46388,46391,46398,46429,46441,46468}))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IF($AD19="","",WORKDAY($H19-$G19+1,-1,{46329,46349,46384,46385,46386,46387,46388,46391,46398,46429,46441,46468}))</f>
        <v>46328</v>
      </c>
      <c r="G19" s="114">
        <v>7</v>
      </c>
      <c r="H19" s="106" cm="1">
        <f t="array" ref="H19">IF($AD19="","",WORKDAY($AA19-$J19-$P19-$O19+1,-1,{46329,46349,46384,46385,46386,46387,46388,46391,46398,46429,46441,46468}))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IF(AD19="","",WORKDAY(AD19-AC19+1,-1,{46329,46349,46384,46385,46386,46387,46388,46391,46398,46429,46441,46468}))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IF($AD20="","",WORKDAY($H20-$G20+1,-1,{46329,46349,46384,46385,46386,46387,46388,46391,46398,46429,46441,46468}))</f>
        <v>46328</v>
      </c>
      <c r="G20" s="114">
        <v>7</v>
      </c>
      <c r="H20" s="106" cm="1">
        <f t="array" ref="H20">IF($AD20="","",WORKDAY($AA20-$J20-$P20-$O20+1,-1,{46329,46349,46384,46385,46386,46387,46388,46391,46398,46429,46441,46468}))</f>
        <v>46335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IF(AD20="","",WORKDAY(AD20-AC20+1,-1,{46329,46349,46384,46385,46386,46387,46388,46391,46398,46429,46441,46468}))</f>
        <v>46363</v>
      </c>
      <c r="AB20" s="107"/>
      <c r="AC20" s="118">
        <v>14</v>
      </c>
      <c r="AD20" s="102">
        <v>46377</v>
      </c>
      <c r="AE20" s="135" t="inlineStr">
        <is>
          <t>工程変更 12/21</t>
        </is>
      </c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IF($AD21="","",WORKDAY($H21-$G21+1,-1,{46329,46349,46384,46385,46386,46387,46388,46391,46398,46429,46441,46468}))</f>
        <v>46301</v>
      </c>
      <c r="G21" s="114">
        <v>7</v>
      </c>
      <c r="H21" s="106" cm="1">
        <f t="array" ref="H21">IF($AD21="","",WORKDAY($AA21-$J21-$P21-$O21+1,-1,{46329,46349,46384,46385,46386,46387,46388,46391,46398,46429,46441,46468}))</f>
        <v>46308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IF(AD21="","",WORKDAY(AD21-AC21+1,-1,{46329,46349,46384,46385,46386,46387,46388,46391,46398,46429,46441,46468}))</f>
        <v>46336</v>
      </c>
      <c r="AB21" s="107"/>
      <c r="AC21" s="118">
        <v>14</v>
      </c>
      <c r="AD21" s="102">
        <v>46350</v>
      </c>
      <c r="AE21" s="135" t="inlineStr">
        <is>
          <t>工程変更 11/24</t>
        </is>
      </c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IF($AD22="","",WORKDAY($H22-$G22+1,-1,{46329,46349,46384,46385,46386,46387,46388,46391,46398,46429,46441,46468}))</f>
        <v>46367</v>
      </c>
      <c r="G22" s="114">
        <v>7</v>
      </c>
      <c r="H22" s="106" cm="1">
        <f t="array" ref="H22">IF($AD22="","",WORKDAY($AA22-$J22-$P22-$O22+1,-1,{46329,46349,46384,46385,46386,46387,46388,46391,46398,46429,46441,46468}))</f>
        <v>46374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IF(AD22="","",WORKDAY(AD22-AC22+1,-1,{46329,46349,46384,46385,46386,46387,46388,46391,46398,46429,46441,46468}))</f>
        <v>46395</v>
      </c>
      <c r="AB22" s="107"/>
      <c r="AC22" s="118">
        <v>14</v>
      </c>
      <c r="AD22" s="102">
        <v>46412</v>
      </c>
      <c r="AE22" s="135" t="inlineStr">
        <is>
          <t>工程変更 1/25</t>
        </is>
      </c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IF($AD23="","",WORKDAY($H23-$G23+1,-1,{46329,46349,46384,46385,46386,46387,46388,46391,46398,46429,46441,46468}))</f>
        <v/>
      </c>
      <c r="G23" s="104"/>
      <c r="H23" s="103" cm="1" t="str">
        <f t="array" ref="H23">IF($AD23="","",WORKDAY($AA23-$J23-$P23-$O23+1,-1,{46329,46349,46384,46385,46386,46387,46388,46391,46398,46429,46441,46468}))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IF(AD23="","",WORKDAY(AD23-AC23+1,-1,{46329,46349,46384,46385,46386,46387,46388,46391,46398,46429,46441,46468}))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IF($AD24="","",WORKDAY($H24-$G24+1,-1,{46329,46349,46384,46385,46386,46387,46388,46391,46398,46429,46441,46468}))</f>
        <v/>
      </c>
      <c r="G24" s="104"/>
      <c r="H24" s="103" cm="1" t="str">
        <f t="array" ref="H24">IF($AD24="","",WORKDAY($AA24-$J24-$P24-$O24+1,-1,{46329,46349,46384,46385,46386,46387,46388,46391,46398,46429,46441,46468}))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IF(AD24="","",WORKDAY(AD24-AC24+1,-1,{46329,46349,46384,46385,46386,46387,46388,46391,46398,46429,46441,46468}))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IF($AD25="","",WORKDAY($H25-$G25+1,-1,{46329,46349,46384,46385,46386,46387,46388,46391,46398,46429,46441,46468}))</f>
        <v/>
      </c>
      <c r="G25" s="104"/>
      <c r="H25" s="103" cm="1" t="str">
        <f t="array" ref="H25">IF($AD25="","",WORKDAY($AA25-$J25-$P25-$O25+1,-1,{46329,46349,46384,46385,46386,46387,46388,46391,46398,46429,46441,46468}))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IF(AD25="","",WORKDAY(AD25-AC25+1,-1,{46329,46349,46384,46385,46386,46387,46388,46391,46398,46429,46441,46468}))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IF($AD26="","",WORKDAY($H26-$G26+1,-1,{46329,46349,46384,46385,46386,46387,46388,46391,46398,46429,46441,46468}))</f>
        <v/>
      </c>
      <c r="G26" s="104"/>
      <c r="H26" s="103" cm="1" t="str">
        <f t="array" ref="H26">IF($AD26="","",WORKDAY($AA26-$J26-$P26-$O26+1,-1,{46329,46349,46384,46385,46386,46387,46388,46391,46398,46429,46441,46468}))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IF(AD26="","",WORKDAY(AD26-AC26+1,-1,{46329,46349,46384,46385,46386,46387,46388,46391,46398,46429,46441,46468}))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IF($AD27="","",WORKDAY($H27-$G27+1,-1,{46329,46349,46384,46385,46386,46387,46388,46391,46398,46429,46441,46468}))</f>
        <v/>
      </c>
      <c r="G27" s="104"/>
      <c r="H27" s="103" cm="1" t="str">
        <f t="array" ref="H27">IF($AD27="","",WORKDAY($AA27-$J27-$P27-$O27+1,-1,{46329,46349,46384,46385,46386,46387,46388,46391,46398,46429,46441,46468}))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IF(AD27="","",WORKDAY(AD27-AC27+1,-1,{46329,46349,46384,46385,46386,46387,46388,46391,46398,46429,46441,46468}))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IF($AD28="","",WORKDAY($H28-$G28+1,-1,{46329,46349,46384,46385,46386,46387,46388,46391,46398,46429,46441,46468}))</f>
        <v/>
      </c>
      <c r="G28" s="104"/>
      <c r="H28" s="103" cm="1" t="str">
        <f t="array" ref="H28">IF($AD28="","",WORKDAY($AA28-$J28-$P28-$O28+1,-1,{46329,46349,46384,46385,46386,46387,46388,46391,46398,46429,46441,46468}))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IF(AD28="","",WORKDAY(AD28-AC28+1,-1,{46329,46349,46384,46385,46386,46387,46388,46391,46398,46429,46441,46468}))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IF($AD29="","",WORKDAY($H29-$G29+1,-1,{46329,46349,46384,46385,46386,46387,46388,46391,46398,46429,46441,46468}))</f>
        <v/>
      </c>
      <c r="G29" s="104"/>
      <c r="H29" s="103" cm="1" t="str">
        <f t="array" ref="H29">IF($AD29="","",WORKDAY($AA29-$J29-$P29-$O29+1,-1,{46329,46349,46384,46385,46386,46387,46388,46391,46398,46429,46441,46468}))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IF(AD29="","",WORKDAY(AD29-AC29+1,-1,{46329,46349,46384,46385,46386,46387,46388,46391,46398,46429,46441,46468}))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IF($AD30="","",WORKDAY($H30-$G30+1,-1,{46329,46349,46384,46385,46386,46387,46388,46391,46398,46429,46441,46468}))</f>
        <v/>
      </c>
      <c r="G30" s="104"/>
      <c r="H30" s="103" cm="1" t="str">
        <f t="array" ref="H30">IF($AD30="","",WORKDAY($AA30-$J30-$P30-$O30+1,-1,{46329,46349,46384,46385,46386,46387,46388,46391,46398,46429,46441,46468}))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IF(AD30="","",WORKDAY(AD30-AC30+1,-1,{46329,46349,46384,46385,46386,46387,46388,46391,46398,46429,46441,46468}))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IF($AD31="","",WORKDAY($H31-$G31+1,-1,{46329,46349,46384,46385,46386,46387,46388,46391,46398,46429,46441,46468}))</f>
        <v/>
      </c>
      <c r="G31" s="104"/>
      <c r="H31" s="103" cm="1" t="str">
        <f t="array" ref="H31">IF($AD31="","",WORKDAY($AA31-$J31-$P31-$O31+1,-1,{46329,46349,46384,46385,46386,46387,46388,46391,46398,46429,46441,46468}))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IF(AD31="","",WORKDAY(AD31-AC31+1,-1,{46329,46349,46384,46385,46386,46387,46388,46391,46398,46429,46441,46468}))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IF($AD32="","",WORKDAY($H32-$G32+1,-1,{46329,46349,46384,46385,46386,46387,46388,46391,46398,46429,46441,46468}))</f>
        <v/>
      </c>
      <c r="G32" s="104"/>
      <c r="H32" s="103" cm="1" t="str">
        <f t="array" ref="H32">IF($AD32="","",WORKDAY($AA32-$J32-$P32-$O32+1,-1,{46329,46349,46384,46385,46386,46387,46388,46391,46398,46429,46441,46468}))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IF(AD32="","",WORKDAY(AD32-AC32+1,-1,{46329,46349,46384,46385,46386,46387,46388,46391,46398,46429,46441,46468}))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IF($AD33="","",WORKDAY($H33-$G33+1,-1,{46329,46349,46384,46385,46386,46387,46388,46391,46398,46429,46441,46468}))</f>
        <v/>
      </c>
      <c r="G33" s="104"/>
      <c r="H33" s="103" cm="1" t="str">
        <f t="array" ref="H33">IF($AD33="","",WORKDAY($AA33-$J33-$P33-$O33+1,-1,{46329,46349,46384,46385,46386,46387,46388,46391,46398,46429,46441,46468}))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IF(AD33="","",WORKDAY(AD33-AC33+1,-1,{46329,46349,46384,46385,46386,46387,46388,46391,46398,46429,46441,46468}))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IF($AD34="","",WORKDAY($H34-$G34+1,-1,{46329,46349,46384,46385,46386,46387,46388,46391,46398,46429,46441,46468}))</f>
        <v/>
      </c>
      <c r="G34" s="104"/>
      <c r="H34" s="103" cm="1" t="str">
        <f t="array" ref="H34">IF($AD34="","",WORKDAY($AA34-$J34-$P34-$O34+1,-1,{46329,46349,46384,46385,46386,46387,46388,46391,46398,46429,46441,46468}))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IF(AD34="","",WORKDAY(AD34-AC34+1,-1,{46329,46349,46384,46385,46386,46387,46388,46391,46398,46429,46441,46468}))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IF($AD35="","",WORKDAY($H35-$G35+1,-1,{46329,46349,46384,46385,46386,46387,46388,46391,46398,46429,46441,46468}))</f>
        <v/>
      </c>
      <c r="G35" s="104"/>
      <c r="H35" s="103" cm="1" t="str">
        <f t="array" ref="H35">IF($AD35="","",WORKDAY($AA35-$J35-$P35-$O35+1,-1,{46329,46349,46384,46385,46386,46387,46388,46391,46398,46429,46441,46468}))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IF(AD35="","",WORKDAY(AD35-AC35+1,-1,{46329,46349,46384,46385,46386,46387,46388,46391,46398,46429,46441,46468}))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IF($AD36="","",WORKDAY($H36-$G36+1,-1,{46329,46349,46384,46385,46386,46387,46388,46391,46398,46429,46441,46468}))</f>
        <v/>
      </c>
      <c r="G36" s="104"/>
      <c r="H36" s="103" cm="1" t="str">
        <f t="array" ref="H36">IF($AD36="","",WORKDAY($AA36-$J36-$P36-$O36+1,-1,{46329,46349,46384,46385,46386,46387,46388,46391,46398,46429,46441,46468}))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IF(AD36="","",WORKDAY(AD36-AC36+1,-1,{46329,46349,46384,46385,46386,46387,46388,46391,46398,46429,46441,46468}))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IF($AD37="","",WORKDAY($H37-$G37+1,-1,{46329,46349,46384,46385,46386,46387,46388,46391,46398,46429,46441,46468}))</f>
        <v/>
      </c>
      <c r="G37" s="104"/>
      <c r="H37" s="103" cm="1" t="str">
        <f t="array" ref="H37">IF($AD37="","",WORKDAY($AA37-$J37-$P37-$O37+1,-1,{46329,46349,46384,46385,46386,46387,46388,46391,46398,46429,46441,46468}))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IF(AD37="","",WORKDAY(AD37-AC37+1,-1,{46329,46349,46384,46385,46386,46387,46388,46391,46398,46429,46441,46468}))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IF($AD38="","",WORKDAY($H38-$G38+1,-1,{46329,46349,46384,46385,46386,46387,46388,46391,46398,46429,46441,46468}))</f>
        <v/>
      </c>
      <c r="G38" s="104"/>
      <c r="H38" s="103" cm="1" t="str">
        <f t="array" ref="H38">IF($AD38="","",WORKDAY($AA38-$J38-$P38-$O38+1,-1,{46329,46349,46384,46385,46386,46387,46388,46391,46398,46429,46441,46468}))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IF(AD38="","",WORKDAY(AD38-AC38+1,-1,{46329,46349,46384,46385,46386,46387,46388,46391,46398,46429,46441,46468}))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IF($AD39="","",WORKDAY($H39-$G39+1,-1,{46329,46349,46384,46385,46386,46387,46388,46391,46398,46429,46441,46468}))</f>
        <v/>
      </c>
      <c r="G39" s="104"/>
      <c r="H39" s="103" cm="1" t="str">
        <f t="array" ref="H39">IF($AD39="","",WORKDAY($AA39-$J39-$P39-$O39+1,-1,{46329,46349,46384,46385,46386,46387,46388,46391,46398,46429,46441,46468}))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IF(AD39="","",WORKDAY(AD39-AC39+1,-1,{46329,46349,46384,46385,46386,46387,46388,46391,46398,46429,46441,46468}))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IF($AD40="","",WORKDAY($H40-$G40+1,-1,{46329,46349,46384,46385,46386,46387,46388,46391,46398,46429,46441,46468}))</f>
        <v/>
      </c>
      <c r="G40" s="104"/>
      <c r="H40" s="103" cm="1" t="str">
        <f t="array" ref="H40">IF($AD40="","",WORKDAY($AA40-$J40-$P40-$O40+1,-1,{46329,46349,46384,46385,46386,46387,46388,46391,46398,46429,46441,46468}))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IF(AD40="","",WORKDAY(AD40-AC40+1,-1,{46329,46349,46384,46385,46386,46387,46388,46391,46398,46429,46441,46468}))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IF($AD41="","",WORKDAY($H41-$G41+1,-1,{46329,46349,46384,46385,46386,46387,46388,46391,46398,46429,46441,46468}))</f>
        <v/>
      </c>
      <c r="G41" s="104"/>
      <c r="H41" s="103" cm="1" t="str">
        <f t="array" ref="H41">IF($AD41="","",WORKDAY($AA41-$J41-$P41-$O41+1,-1,{46329,46349,46384,46385,46386,46387,46388,46391,46398,46429,46441,46468}))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IF(AD41="","",WORKDAY(AD41-AC41+1,-1,{46329,46349,46384,46385,46386,46387,46388,46391,46398,46429,46441,46468}))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IF($AD42="","",WORKDAY($H42-$G42+1,-1,{46329,46349,46384,46385,46386,46387,46388,46391,46398,46429,46441,46468}))</f>
        <v/>
      </c>
      <c r="G42" s="104"/>
      <c r="H42" s="103" cm="1" t="str">
        <f t="array" ref="H42">IF($AD42="","",WORKDAY($AA42-$J42-$P42-$O42+1,-1,{46329,46349,46384,46385,46386,46387,46388,46391,46398,46429,46441,46468}))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IF(AD42="","",WORKDAY(AD42-AC42+1,-1,{46329,46349,46384,46385,46386,46387,46388,46391,46398,46429,46441,46468}))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IF($AD43="","",WORKDAY($H43-$G43+1,-1,{46329,46349,46384,46385,46386,46387,46388,46391,46398,46429,46441,46468}))</f>
        <v/>
      </c>
      <c r="G43" s="104"/>
      <c r="H43" s="103" cm="1" t="str">
        <f t="array" ref="H43">IF($AD43="","",WORKDAY($AA43-$J43-$P43-$O43+1,-1,{46329,46349,46384,46385,46386,46387,46388,46391,46398,46429,46441,46468}))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IF(AD43="","",WORKDAY(AD43-AC43+1,-1,{46329,46349,46384,46385,46386,46387,46388,46391,46398,46429,46441,46468}))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IF($AD44="","",WORKDAY($H44-$G44+1,-1,{46329,46349,46384,46385,46386,46387,46388,46391,46398,46429,46441,46468}))</f>
        <v/>
      </c>
      <c r="G44" s="104"/>
      <c r="H44" s="103" cm="1" t="str">
        <f t="array" ref="H44">IF($AD44="","",WORKDAY($AA44-$J44-$P44-$O44+1,-1,{46329,46349,46384,46385,46386,46387,46388,46391,46398,46429,46441,46468}))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IF(AD44="","",WORKDAY(AD44-AC44+1,-1,{46329,46349,46384,46385,46386,46387,46388,46391,46398,46429,46441,46468}))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IF($AD45="","",WORKDAY($H45-$G45+1,-1,{46329,46349,46384,46385,46386,46387,46388,46391,46398,46429,46441,46468}))</f>
        <v/>
      </c>
      <c r="G45" s="104"/>
      <c r="H45" s="103" cm="1" t="str">
        <f t="array" ref="H45">IF($AD45="","",WORKDAY($AA45-$J45-$P45-$O45+1,-1,{46329,46349,46384,46385,46386,46387,46388,46391,46398,46429,46441,46468}))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IF(AD45="","",WORKDAY(AD45-AC45+1,-1,{46329,46349,46384,46385,46386,46387,46388,46391,46398,46429,46441,46468}))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IF($AD46="","",WORKDAY($H46-$G46+1,-1,{46329,46349,46384,46385,46386,46387,46388,46391,46398,46429,46441,46468}))</f>
        <v/>
      </c>
      <c r="G46" s="104"/>
      <c r="H46" s="103" cm="1" t="str">
        <f t="array" ref="H46">IF($AD46="","",WORKDAY($AA46-$J46-$P46-$O46+1,-1,{46329,46349,46384,46385,46386,46387,46388,46391,46398,46429,46441,46468}))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IF(AD46="","",WORKDAY(AD46-AC46+1,-1,{46329,46349,46384,46385,46386,46387,46388,46391,46398,46429,46441,46468}))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IF($AD47="","",WORKDAY($H47-$G47+1,-1,{46329,46349,46384,46385,46386,46387,46388,46391,46398,46429,46441,46468}))</f>
        <v/>
      </c>
      <c r="G47" s="104"/>
      <c r="H47" s="103" cm="1" t="str">
        <f t="array" ref="H47">IF($AD47="","",WORKDAY($AA47-$J47-$P47-$O47+1,-1,{46329,46349,46384,46385,46386,46387,46388,46391,46398,46429,46441,46468}))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IF(AD47="","",WORKDAY(AD47-AC47+1,-1,{46329,46349,46384,46385,46386,46387,46388,46391,46398,46429,46441,46468}))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IF($AD48="","",WORKDAY($H48-$G48+1,-1,{46329,46349,46384,46385,46386,46387,46388,46391,46398,46429,46441,46468}))</f>
        <v/>
      </c>
      <c r="G48" s="104"/>
      <c r="H48" s="103" cm="1" t="str">
        <f t="array" ref="H48">IF($AD48="","",WORKDAY($AA48-$J48-$P48-$O48+1,-1,{46329,46349,46384,46385,46386,46387,46388,46391,46398,46429,46441,46468}))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IF(AD48="","",WORKDAY(AD48-AC48+1,-1,{46329,46349,46384,46385,46386,46387,46388,46391,46398,46429,46441,46468}))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IF($AD49="","",WORKDAY($H49-$G49+1,-1,{46329,46349,46384,46385,46386,46387,46388,46391,46398,46429,46441,46468}))</f>
        <v/>
      </c>
      <c r="G49" s="104"/>
      <c r="H49" s="103" cm="1" t="str">
        <f t="array" ref="H49">IF($AD49="","",WORKDAY($AA49-$J49-$P49-$O49+1,-1,{46329,46349,46384,46385,46386,46387,46388,46391,46398,46429,46441,46468}))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IF(AD49="","",WORKDAY(AD49-AC49+1,-1,{46329,46349,46384,46385,46386,46387,46388,46391,46398,46429,46441,46468}))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IF($AD50="","",WORKDAY($H50-$G50+1,-1,{46329,46349,46384,46385,46386,46387,46388,46391,46398,46429,46441,46468}))</f>
        <v/>
      </c>
      <c r="G50" s="104"/>
      <c r="H50" s="103" cm="1" t="str">
        <f t="array" ref="H50">IF($AD50="","",WORKDAY($AA50-$J50-$P50-$O50+1,-1,{46329,46349,46384,46385,46386,46387,46388,46391,46398,46429,46441,46468}))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IF(AD50="","",WORKDAY(AD50-AC50+1,-1,{46329,46349,46384,46385,46386,46387,46388,46391,46398,46429,46441,46468}))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IF($AD51="","",WORKDAY($H51-$G51+1,-1,{46329,46349,46384,46385,46386,46387,46388,46391,46398,46429,46441,46468}))</f>
        <v/>
      </c>
      <c r="G51" s="104"/>
      <c r="H51" s="103" cm="1" t="str">
        <f t="array" ref="H51">IF($AD51="","",WORKDAY($AA51-$J51-$P51-$O51+1,-1,{46329,46349,46384,46385,46386,46387,46388,46391,46398,46429,46441,46468}))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IF(AD51="","",WORKDAY(AD51-AC51+1,-1,{46329,46349,46384,46385,46386,46387,46388,46391,46398,46429,46441,46468}))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IF($AD52="","",WORKDAY($H52-$G52+1,-1,{46329,46349,46384,46385,46386,46387,46388,46391,46398,46429,46441,46468}))</f>
        <v/>
      </c>
      <c r="G52" s="104"/>
      <c r="H52" s="103" cm="1" t="str">
        <f t="array" ref="H52">IF($AD52="","",WORKDAY($AA52-$J52-$P52-$O52+1,-1,{46329,46349,46384,46385,46386,46387,46388,46391,46398,46429,46441,46468}))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IF(AD52="","",WORKDAY(AD52-AC52+1,-1,{46329,46349,46384,46385,46386,46387,46388,46391,46398,46429,46441,46468}))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IF($AD53="","",WORKDAY($H53-$G53+1,-1,{46329,46349,46384,46385,46386,46387,46388,46391,46398,46429,46441,46468}))</f>
        <v/>
      </c>
      <c r="G53" s="104"/>
      <c r="H53" s="103" cm="1" t="str">
        <f t="array" ref="H53">IF($AD53="","",WORKDAY($AA53-$J53-$P53-$O53+1,-1,{46329,46349,46384,46385,46386,46387,46388,46391,46398,46429,46441,46468}))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IF(AD53="","",WORKDAY(AD53-AC53+1,-1,{46329,46349,46384,46385,46386,46387,46388,46391,46398,46429,46441,46468}))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IF($AD54="","",WORKDAY($H54-$G54+1,-1,{46329,46349,46384,46385,46386,46387,46388,46391,46398,46429,46441,46468}))</f>
        <v/>
      </c>
      <c r="G54" s="104"/>
      <c r="H54" s="103" cm="1" t="str">
        <f t="array" ref="H54">IF($AD54="","",WORKDAY($AA54-$J54-$P54-$O54+1,-1,{46329,46349,46384,46385,46386,46387,46388,46391,46398,46429,46441,46468}))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IF(AD54="","",WORKDAY(AD54-AC54+1,-1,{46329,46349,46384,46385,46386,46387,46388,46391,46398,46429,46441,46468}))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IF($AD55="","",WORKDAY($H55-$G55+1,-1,{46329,46349,46384,46385,46386,46387,46388,46391,46398,46429,46441,46468}))</f>
        <v/>
      </c>
      <c r="G55" s="104"/>
      <c r="H55" s="103" cm="1" t="str">
        <f t="array" ref="H55">IF($AD55="","",WORKDAY($AA55-$J55-$P55-$O55+1,-1,{46329,46349,46384,46385,46386,46387,46388,46391,46398,46429,46441,46468}))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IF(AD55="","",WORKDAY(AD55-AC55+1,-1,{46329,46349,46384,46385,46386,46387,46388,46391,46398,46429,46441,46468}))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IF($AD56="","",WORKDAY($H56-$G56+1,-1,{46329,46349,46384,46385,46386,46387,46388,46391,46398,46429,46441,46468}))</f>
        <v/>
      </c>
      <c r="G56" s="104"/>
      <c r="H56" s="103" cm="1" t="str">
        <f t="array" ref="H56">IF($AD56="","",WORKDAY($AA56-$J56-$P56-$O56+1,-1,{46329,46349,46384,46385,46386,46387,46388,46391,46398,46429,46441,46468}))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IF(AD56="","",WORKDAY(AD56-AC56+1,-1,{46329,46349,46384,46385,46386,46387,46388,46391,46398,46429,46441,46468}))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IF($AD57="","",WORKDAY($H57-$G57+1,-1,{46329,46349,46384,46385,46386,46387,46388,46391,46398,46429,46441,46468}))</f>
        <v/>
      </c>
      <c r="G57" s="104"/>
      <c r="H57" s="103" cm="1" t="str">
        <f t="array" ref="H57">IF($AD57="","",WORKDAY($AA57-$J57-$P57-$O57+1,-1,{46329,46349,46384,46385,46386,46387,46388,46391,46398,46429,46441,46468}))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IF(AD57="","",WORKDAY(AD57-AC57+1,-1,{46329,46349,46384,46385,46386,46387,46388,46391,46398,46429,46441,46468}))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IF($AD58="","",WORKDAY($H58-$G58+1,-1,{46329,46349,46384,46385,46386,46387,46388,46391,46398,46429,46441,46468}))</f>
        <v/>
      </c>
      <c r="G58" s="104"/>
      <c r="H58" s="103" cm="1" t="str">
        <f t="array" ref="H58">IF($AD58="","",WORKDAY($AA58-$J58-$P58-$O58+1,-1,{46329,46349,46384,46385,46386,46387,46388,46391,46398,46429,46441,46468}))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IF(AD58="","",WORKDAY(AD58-AC58+1,-1,{46329,46349,46384,46385,46386,46387,46388,46391,46398,46429,46441,46468}))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IF($AD59="","",WORKDAY($H59-$G59+1,-1,{46329,46349,46384,46385,46386,46387,46388,46391,46398,46429,46441,46468}))</f>
        <v/>
      </c>
      <c r="G59" s="104"/>
      <c r="H59" s="103" cm="1" t="str">
        <f t="array" ref="H59">IF($AD59="","",WORKDAY($AA59-$J59-$P59-$O59+1,-1,{46329,46349,46384,46385,46386,46387,46388,46391,46398,46429,46441,46468}))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IF(AD59="","",WORKDAY(AD59-AC59+1,-1,{46329,46349,46384,46385,46386,46387,46388,46391,46398,46429,46441,46468}))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IF($AD60="","",WORKDAY($H60-$G60+1,-1,{46329,46349,46384,46385,46386,46387,46388,46391,46398,46429,46441,46468}))</f>
        <v/>
      </c>
      <c r="G60" s="104"/>
      <c r="H60" s="103" cm="1" t="str">
        <f t="array" ref="H60">IF($AD60="","",WORKDAY($AA60-$J60-$P60-$O60+1,-1,{46329,46349,46384,46385,46386,46387,46388,46391,46398,46429,46441,46468}))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IF(AD60="","",WORKDAY(AD60-AC60+1,-1,{46329,46349,46384,46385,46386,46387,46388,46391,46398,46429,46441,46468}))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IF($AD61="","",WORKDAY($H61-$G61+1,-1,{46329,46349,46384,46385,46386,46387,46388,46391,46398,46429,46441,46468}))</f>
        <v/>
      </c>
      <c r="G61" s="104"/>
      <c r="H61" s="103" cm="1" t="str">
        <f t="array" ref="H61">IF($AD61="","",WORKDAY($AA61-$J61-$P61-$O61+1,-1,{46329,46349,46384,46385,46386,46387,46388,46391,46398,46429,46441,46468}))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IF(AD61="","",WORKDAY(AD61-AC61+1,-1,{46329,46349,46384,46385,46386,46387,46388,46391,46398,46429,46441,46468}))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IF($AD62="","",WORKDAY($H62-$G62+1,-1,{46329,46349,46384,46385,46386,46387,46388,46391,46398,46429,46441,46468}))</f>
        <v/>
      </c>
      <c r="G62" s="104"/>
      <c r="H62" s="103" cm="1" t="str">
        <f t="array" ref="H62">IF($AD62="","",WORKDAY($AA62-$J62-$P62-$O62+1,-1,{46329,46349,46384,46385,46386,46387,46388,46391,46398,46429,46441,46468}))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IF(AD62="","",WORKDAY(AD62-AC62+1,-1,{46329,46349,46384,46385,46386,46387,46388,46391,46398,46429,46441,46468}))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IF($AD63="","",WORKDAY($H63-$G63+1,-1,{46329,46349,46384,46385,46386,46387,46388,46391,46398,46429,46441,46468}))</f>
        <v/>
      </c>
      <c r="G63" s="104"/>
      <c r="H63" s="103" cm="1" t="str">
        <f t="array" ref="H63">IF($AD63="","",WORKDAY($AA63-$J63-$P63-$O63+1,-1,{46329,46349,46384,46385,46386,46387,46388,46391,46398,46429,46441,46468}))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IF(AD63="","",WORKDAY(AD63-AC63+1,-1,{46329,46349,46384,46385,46386,46387,46388,46391,46398,46429,46441,46468}))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IF($AD64="","",WORKDAY($H64-$G64+1,-1,{46329,46349,46384,46385,46386,46387,46388,46391,46398,46429,46441,46468}))</f>
        <v/>
      </c>
      <c r="G64" s="104"/>
      <c r="H64" s="103" cm="1" t="str">
        <f t="array" ref="H64">IF($AD64="","",WORKDAY($AA64-$J64-$P64-$O64+1,-1,{46329,46349,46384,46385,46386,46387,46388,46391,46398,46429,46441,46468}))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IF(AD64="","",WORKDAY(AD64-AC64+1,-1,{46329,46349,46384,46385,46386,46387,46388,46391,46398,46429,46441,46468}))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IF($AD65="","",WORKDAY($H65-$G65+1,-1,{46329,46349,46384,46385,46386,46387,46388,46391,46398,46429,46441,46468}))</f>
        <v/>
      </c>
      <c r="G65" s="104"/>
      <c r="H65" s="103" cm="1" t="str">
        <f t="array" ref="H65">IF($AD65="","",WORKDAY($AA65-$J65-$P65-$O65+1,-1,{46329,46349,46384,46385,46386,46387,46388,46391,46398,46429,46441,46468}))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IF(AD65="","",WORKDAY(AD65-AC65+1,-1,{46329,46349,46384,46385,46386,46387,46388,46391,46398,46429,46441,46468}))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IF($AD66="","",WORKDAY($H66-$G66+1,-1,{46329,46349,46384,46385,46386,46387,46388,46391,46398,46429,46441,46468}))</f>
        <v/>
      </c>
      <c r="G66" s="104"/>
      <c r="H66" s="103" cm="1" t="str">
        <f t="array" ref="H66">IF($AD66="","",WORKDAY($AA66-$J66-$P66-$O66+1,-1,{46329,46349,46384,46385,46386,46387,46388,46391,46398,46429,46441,46468}))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IF(AD66="","",WORKDAY(AD66-AC66+1,-1,{46329,46349,46384,46385,46386,46387,46388,46391,46398,46429,46441,46468}))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IF($AD67="","",WORKDAY($H67-$G67+1,-1,{46329,46349,46384,46385,46386,46387,46388,46391,46398,46429,46441,46468}))</f>
        <v/>
      </c>
      <c r="G67" s="104"/>
      <c r="H67" s="103" cm="1" t="str">
        <f t="array" ref="H67">IF($AD67="","",WORKDAY($AA67-$J67-$P67-$O67+1,-1,{46329,46349,46384,46385,46386,46387,46388,46391,46398,46429,46441,46468}))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IF(AD67="","",WORKDAY(AD67-AC67+1,-1,{46329,46349,46384,46385,46386,46387,46388,46391,46398,46429,46441,46468}))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IF($AD68="","",WORKDAY($H68-$G68+1,-1,{46329,46349,46384,46385,46386,46387,46388,46391,46398,46429,46441,46468}))</f>
        <v/>
      </c>
      <c r="G68" s="104"/>
      <c r="H68" s="103" cm="1" t="str">
        <f t="array" ref="H68">IF($AD68="","",WORKDAY($AA68-$J68-$P68-$O68+1,-1,{46329,46349,46384,46385,46386,46387,46388,46391,46398,46429,46441,46468}))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IF(AD68="","",WORKDAY(AD68-AC68+1,-1,{46329,46349,46384,46385,46386,46387,46388,46391,46398,46429,46441,46468}))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IF($AD69="","",WORKDAY($H69-$G69+1,-1,{46329,46349,46384,46385,46386,46387,46388,46391,46398,46429,46441,46468}))</f>
        <v/>
      </c>
      <c r="G69" s="104"/>
      <c r="H69" s="103" cm="1" t="str">
        <f t="array" ref="H69">IF($AD69="","",WORKDAY($AA69-$J69-$P69-$O69+1,-1,{46329,46349,46384,46385,46386,46387,46388,46391,46398,46429,46441,46468}))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IF(AD69="","",WORKDAY(AD69-AC69+1,-1,{46329,46349,46384,46385,46386,46387,46388,46391,46398,46429,46441,46468}))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IF($AD70="","",WORKDAY($H70-$G70+1,-1,{46329,46349,46384,46385,46386,46387,46388,46391,46398,46429,46441,46468}))</f>
        <v/>
      </c>
      <c r="G70" s="104"/>
      <c r="H70" s="103" cm="1" t="str">
        <f t="array" ref="H70">IF($AD70="","",WORKDAY($AA70-$J70-$P70-$O70+1,-1,{46329,46349,46384,46385,46386,46387,46388,46391,46398,46429,46441,46468}))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IF(AD70="","",WORKDAY(AD70-AC70+1,-1,{46329,46349,46384,46385,46386,46387,46388,46391,46398,46429,46441,46468}))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IF($AD71="","",WORKDAY($H71-$G71+1,-1,{46329,46349,46384,46385,46386,46387,46388,46391,46398,46429,46441,46468}))</f>
        <v/>
      </c>
      <c r="G71" s="104"/>
      <c r="H71" s="103" cm="1" t="str">
        <f t="array" ref="H71">IF($AD71="","",WORKDAY($AA71-$J71-$P71-$O71+1,-1,{46329,46349,46384,46385,46386,46387,46388,46391,46398,46429,46441,46468}))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IF(AD71="","",WORKDAY(AD71-AC71+1,-1,{46329,46349,46384,46385,46386,46387,46388,46391,46398,46429,46441,46468}))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IF($AD72="","",WORKDAY($H72-$G72+1,-1,{46329,46349,46384,46385,46386,46387,46388,46391,46398,46429,46441,46468}))</f>
        <v/>
      </c>
      <c r="G72" s="104"/>
      <c r="H72" s="103" cm="1" t="str">
        <f t="array" ref="H72">IF($AD72="","",WORKDAY($AA72-$J72-$P72-$O72+1,-1,{46329,46349,46384,46385,46386,46387,46388,46391,46398,46429,46441,46468}))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IF(AD72="","",WORKDAY(AD72-AC72+1,-1,{46329,46349,46384,46385,46386,46387,46388,46391,46398,46429,46441,46468}))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IF($AD73="","",WORKDAY($H73-$G73+1,-1,{46329,46349,46384,46385,46386,46387,46388,46391,46398,46429,46441,46468}))</f>
        <v/>
      </c>
      <c r="G73" s="104"/>
      <c r="H73" s="103" cm="1" t="str">
        <f t="array" ref="H73">IF($AD73="","",WORKDAY($AA73-$J73-$P73-$O73+1,-1,{46329,46349,46384,46385,46386,46387,46388,46391,46398,46429,46441,46468}))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IF(AD73="","",WORKDAY(AD73-AC73+1,-1,{46329,46349,46384,46385,46386,46387,46388,46391,46398,46429,46441,46468}))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IF($AD74="","",WORKDAY($H74-$G74+1,-1,{46329,46349,46384,46385,46386,46387,46388,46391,46398,46429,46441,46468}))</f>
        <v/>
      </c>
      <c r="G74" s="104"/>
      <c r="H74" s="103" cm="1" t="str">
        <f t="array" ref="H74">IF($AD74="","",WORKDAY($AA74-$J74-$P74-$O74+1,-1,{46329,46349,46384,46385,46386,46387,46388,46391,46398,46429,46441,46468}))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IF(AD74="","",WORKDAY(AD74-AC74+1,-1,{46329,46349,46384,46385,46386,46387,46388,46391,46398,46429,46441,46468}))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IF($AD75="","",WORKDAY($H75-$G75+1,-1,{46329,46349,46384,46385,46386,46387,46388,46391,46398,46429,46441,46468}))</f>
        <v/>
      </c>
      <c r="G75" s="104"/>
      <c r="H75" s="103" cm="1" t="str">
        <f t="array" ref="H75">IF($AD75="","",WORKDAY($AA75-$J75-$P75-$O75+1,-1,{46329,46349,46384,46385,46386,46387,46388,46391,46398,46429,46441,46468}))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IF(AD75="","",WORKDAY(AD75-AC75+1,-1,{46329,46349,46384,46385,46386,46387,46388,46391,46398,46429,46441,46468}))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IF($AD76="","",WORKDAY($H76-$G76+1,-1,{46329,46349,46384,46385,46386,46387,46388,46391,46398,46429,46441,46468}))</f>
        <v/>
      </c>
      <c r="G76" s="104"/>
      <c r="H76" s="103" cm="1" t="str">
        <f t="array" ref="H76">IF($AD76="","",WORKDAY($AA76-$J76-$P76-$O76+1,-1,{46329,46349,46384,46385,46386,46387,46388,46391,46398,46429,46441,46468}))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IF(AD76="","",WORKDAY(AD76-AC76+1,-1,{46329,46349,46384,46385,46386,46387,46388,46391,46398,46429,46441,46468}))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IF($AD77="","",WORKDAY($H77-$G77+1,-1,{46329,46349,46384,46385,46386,46387,46388,46391,46398,46429,46441,46468}))</f>
        <v/>
      </c>
      <c r="G77" s="104"/>
      <c r="H77" s="103" cm="1" t="str">
        <f t="array" ref="H77">IF($AD77="","",WORKDAY($AA77-$J77-$P77-$O77+1,-1,{46329,46349,46384,46385,46386,46387,46388,46391,46398,46429,46441,46468}))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IF(AD77="","",WORKDAY(AD77-AC77+1,-1,{46329,46349,46384,46385,46386,46387,46388,46391,46398,46429,46441,46468}))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IF($AD78="","",WORKDAY($H78-$G78+1,-1,{46329,46349,46384,46385,46386,46387,46388,46391,46398,46429,46441,46468}))</f>
        <v/>
      </c>
      <c r="G78" s="104"/>
      <c r="H78" s="103" cm="1" t="str">
        <f t="array" ref="H78">IF($AD78="","",WORKDAY($AA78-$J78-$P78-$O78+1,-1,{46329,46349,46384,46385,46386,46387,46388,46391,46398,46429,46441,46468}))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IF(AD78="","",WORKDAY(AD78-AC78+1,-1,{46329,46349,46384,46385,46386,46387,46388,46391,46398,46429,46441,46468}))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IF($AD79="","",WORKDAY($H79-$G79+1,-1,{46329,46349,46384,46385,46386,46387,46388,46391,46398,46429,46441,46468}))</f>
        <v/>
      </c>
      <c r="G79" s="104"/>
      <c r="H79" s="103" cm="1" t="str">
        <f t="array" ref="H79">IF($AD79="","",WORKDAY($AA79-$J79-$P79-$O79+1,-1,{46329,46349,46384,46385,46386,46387,46388,46391,46398,46429,46441,46468}))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IF(AD79="","",WORKDAY(AD79-AC79+1,-1,{46329,46349,46384,46385,46386,46387,46388,46391,46398,46429,46441,46468}))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IF($AD80="","",WORKDAY($H80-$G80+1,-1,{46329,46349,46384,46385,46386,46387,46388,46391,46398,46429,46441,46468}))</f>
        <v/>
      </c>
      <c r="G80" s="104"/>
      <c r="H80" s="103" cm="1" t="str">
        <f t="array" ref="H80">IF($AD80="","",WORKDAY($AA80-$J80-$P80-$O80+1,-1,{46329,46349,46384,46385,46386,46387,46388,46391,46398,46429,46441,46468}))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IF(AD80="","",WORKDAY(AD80-AC80+1,-1,{46329,46349,46384,46385,46386,46387,46388,46391,46398,46429,46441,46468}))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IF($AD81="","",WORKDAY($H81-$G81+1,-1,{46329,46349,46384,46385,46386,46387,46388,46391,46398,46429,46441,46468}))</f>
        <v/>
      </c>
      <c r="G81" s="104"/>
      <c r="H81" s="103" cm="1" t="str">
        <f t="array" ref="H81">IF($AD81="","",WORKDAY($AA81-$J81-$P81-$O81+1,-1,{46329,46349,46384,46385,46386,46387,46388,46391,46398,46429,46441,46468}))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IF(AD81="","",WORKDAY(AD81-AC81+1,-1,{46329,46349,46384,46385,46386,46387,46388,46391,46398,46429,46441,46468}))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IF($AD82="","",WORKDAY($H82-$G82+1,-1,{46329,46349,46384,46385,46386,46387,46388,46391,46398,46429,46441,46468}))</f>
        <v/>
      </c>
      <c r="G82" s="104"/>
      <c r="H82" s="103" cm="1" t="str">
        <f t="array" ref="H82">IF($AD82="","",WORKDAY($AA82-$J82-$P82-$O82+1,-1,{46329,46349,46384,46385,46386,46387,46388,46391,46398,46429,46441,46468}))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IF(AD82="","",WORKDAY(AD82-AC82+1,-1,{46329,46349,46384,46385,46386,46387,46388,46391,46398,46429,46441,46468}))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IF($AD83="","",WORKDAY($H83-$G83+1,-1,{46329,46349,46384,46385,46386,46387,46388,46391,46398,46429,46441,46468}))</f>
        <v/>
      </c>
      <c r="G83" s="104"/>
      <c r="H83" s="103" cm="1" t="str">
        <f t="array" ref="H83">IF($AD83="","",WORKDAY($AA83-$J83-$P83-$O83+1,-1,{46329,46349,46384,46385,46386,46387,46388,46391,46398,46429,46441,46468}))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IF(AD83="","",WORKDAY(AD83-AC83+1,-1,{46329,46349,46384,46385,46386,46387,46388,46391,46398,46429,46441,46468}))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IF($AD84="","",WORKDAY($H84-$G84+1,-1,{46329,46349,46384,46385,46386,46387,46388,46391,46398,46429,46441,46468}))</f>
        <v/>
      </c>
      <c r="G84" s="104"/>
      <c r="H84" s="103" cm="1" t="str">
        <f t="array" ref="H84">IF($AD84="","",WORKDAY($AA84-$J84-$P84-$O84+1,-1,{46329,46349,46384,46385,46386,46387,46388,46391,46398,46429,46441,46468}))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IF(AD84="","",WORKDAY(AD84-AC84+1,-1,{46329,46349,46384,46385,46386,46387,46388,46391,46398,46429,46441,46468}))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IF($AD85="","",WORKDAY($H85-$G85+1,-1,{46329,46349,46384,46385,46386,46387,46388,46391,46398,46429,46441,46468}))</f>
        <v/>
      </c>
      <c r="G85" s="104"/>
      <c r="H85" s="103" cm="1" t="str">
        <f t="array" ref="H85">IF($AD85="","",WORKDAY($AA85-$J85-$P85-$O85+1,-1,{46329,46349,46384,46385,46386,46387,46388,46391,46398,46429,46441,46468}))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IF(AD85="","",WORKDAY(AD85-AC85+1,-1,{46329,46349,46384,46385,46386,46387,46388,46391,46398,46429,46441,46468}))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IF($AD86="","",WORKDAY($H86-$G86+1,-1,{46329,46349,46384,46385,46386,46387,46388,46391,46398,46429,46441,46468}))</f>
        <v/>
      </c>
      <c r="G86" s="104"/>
      <c r="H86" s="103" cm="1" t="str">
        <f t="array" ref="H86">IF($AD86="","",WORKDAY($AA86-$J86-$P86-$O86+1,-1,{46329,46349,46384,46385,46386,46387,46388,46391,46398,46429,46441,46468}))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IF(AD86="","",WORKDAY(AD86-AC86+1,-1,{46329,46349,46384,46385,46386,46387,46388,46391,46398,46429,46441,46468}))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IF($AD87="","",WORKDAY($H87-$G87+1,-1,{46329,46349,46384,46385,46386,46387,46388,46391,46398,46429,46441,46468}))</f>
        <v/>
      </c>
      <c r="G87" s="104"/>
      <c r="H87" s="103" cm="1" t="str">
        <f t="array" ref="H87">IF($AD87="","",WORKDAY($AA87-$J87-$P87-$O87+1,-1,{46329,46349,46384,46385,46386,46387,46388,46391,46398,46429,46441,46468}))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IF(AD87="","",WORKDAY(AD87-AC87+1,-1,{46329,46349,46384,46385,46386,46387,46388,46391,46398,46429,46441,46468}))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IF($AD88="","",WORKDAY($H88-$G88+1,-1,{46329,46349,46384,46385,46386,46387,46388,46391,46398,46429,46441,46468}))</f>
        <v/>
      </c>
      <c r="G88" s="104"/>
      <c r="H88" s="103" cm="1" t="str">
        <f t="array" ref="H88">IF($AD88="","",WORKDAY($AA88-$J88-$P88-$O88+1,-1,{46329,46349,46384,46385,46386,46387,46388,46391,46398,46429,46441,46468}))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IF(AD88="","",WORKDAY(AD88-AC88+1,-1,{46329,46349,46384,46385,46386,46387,46388,46391,46398,46429,46441,46468}))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IF($AD89="","",WORKDAY($H89-$G89+1,-1,{46329,46349,46384,46385,46386,46387,46388,46391,46398,46429,46441,46468}))</f>
        <v/>
      </c>
      <c r="G89" s="104"/>
      <c r="H89" s="103" cm="1" t="str">
        <f t="array" ref="H89">IF($AD89="","",WORKDAY($AA89-$J89-$P89-$O89+1,-1,{46329,46349,46384,46385,46386,46387,46388,46391,46398,46429,46441,46468}))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IF(AD89="","",WORKDAY(AD89-AC89+1,-1,{46329,46349,46384,46385,46386,46387,46388,46391,46398,46429,46441,46468}))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IF($AD90="","",WORKDAY($H90-$G90+1,-1,{46329,46349,46384,46385,46386,46387,46388,46391,46398,46429,46441,46468}))</f>
        <v/>
      </c>
      <c r="G90" s="104"/>
      <c r="H90" s="103" cm="1" t="str">
        <f t="array" ref="H90">IF($AD90="","",WORKDAY($AA90-$J90-$P90-$O90+1,-1,{46329,46349,46384,46385,46386,46387,46388,46391,46398,46429,46441,46468}))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IF(AD90="","",WORKDAY(AD90-AC90+1,-1,{46329,46349,46384,46385,46386,46387,46388,46391,46398,46429,46441,46468}))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IF($AD91="","",WORKDAY($H91-$G91+1,-1,{46329,46349,46384,46385,46386,46387,46388,46391,46398,46429,46441,46468}))</f>
        <v/>
      </c>
      <c r="G91" s="104"/>
      <c r="H91" s="103" cm="1" t="str">
        <f t="array" ref="H91">IF($AD91="","",WORKDAY($AA91-$J91-$P91-$O91+1,-1,{46329,46349,46384,46385,46386,46387,46388,46391,46398,46429,46441,46468}))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IF(AD91="","",WORKDAY(AD91-AC91+1,-1,{46329,46349,46384,46385,46386,46387,46388,46391,46398,46429,46441,46468}))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IF($AD92="","",WORKDAY($H92-$G92+1,-1,{46329,46349,46384,46385,46386,46387,46388,46391,46398,46429,46441,46468}))</f>
        <v/>
      </c>
      <c r="G92" s="104"/>
      <c r="H92" s="103" cm="1" t="str">
        <f t="array" ref="H92">IF($AD92="","",WORKDAY($AA92-$J92-$P92-$O92+1,-1,{46329,46349,46384,46385,46386,46387,46388,46391,46398,46429,46441,46468}))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IF(AD92="","",WORKDAY(AD92-AC92+1,-1,{46329,46349,46384,46385,46386,46387,46388,46391,46398,46429,46441,46468}))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IF($AD93="","",WORKDAY($H93-$G93+1,-1,{46329,46349,46384,46385,46386,46387,46388,46391,46398,46429,46441,46468}))</f>
        <v/>
      </c>
      <c r="G93" s="104"/>
      <c r="H93" s="103" cm="1" t="str">
        <f t="array" ref="H93">IF($AD93="","",WORKDAY($AA93-$J93-$P93-$O93+1,-1,{46329,46349,46384,46385,46386,46387,46388,46391,46398,46429,46441,46468}))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IF(AD93="","",WORKDAY(AD93-AC93+1,-1,{46329,46349,46384,46385,46386,46387,46388,46391,46398,46429,46441,46468}))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IF($AD94="","",WORKDAY($H94-$G94+1,-1,{46329,46349,46384,46385,46386,46387,46388,46391,46398,46429,46441,46468}))</f>
        <v/>
      </c>
      <c r="G94" s="104"/>
      <c r="H94" s="103" cm="1" t="str">
        <f t="array" ref="H94">IF($AD94="","",WORKDAY($AA94-$J94-$P94-$O94+1,-1,{46329,46349,46384,46385,46386,46387,46388,46391,46398,46429,46441,46468}))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IF(AD94="","",WORKDAY(AD94-AC94+1,-1,{46329,46349,46384,46385,46386,46387,46388,46391,46398,46429,46441,46468}))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IF($AD95="","",WORKDAY($H95-$G95+1,-1,{46329,46349,46384,46385,46386,46387,46388,46391,46398,46429,46441,46468}))</f>
        <v/>
      </c>
      <c r="G95" s="104"/>
      <c r="H95" s="103" cm="1" t="str">
        <f t="array" ref="H95">IF($AD95="","",WORKDAY($AA95-$J95-$P95-$O95+1,-1,{46329,46349,46384,46385,46386,46387,46388,46391,46398,46429,46441,46468}))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IF(AD95="","",WORKDAY(AD95-AC95+1,-1,{46329,46349,46384,46385,46386,46387,46388,46391,46398,46429,46441,46468}))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IF($AD96="","",WORKDAY($H96-$G96+1,-1,{46329,46349,46384,46385,46386,46387,46388,46391,46398,46429,46441,46468}))</f>
        <v/>
      </c>
      <c r="G96" s="104"/>
      <c r="H96" s="103" cm="1" t="str">
        <f t="array" ref="H96">IF($AD96="","",WORKDAY($AA96-$J96-$P96-$O96+1,-1,{46329,46349,46384,46385,46386,46387,46388,46391,46398,46429,46441,46468}))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IF(AD96="","",WORKDAY(AD96-AC96+1,-1,{46329,46349,46384,46385,46386,46387,46388,46391,46398,46429,46441,46468}))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IF($AD97="","",WORKDAY($H97-$G97+1,-1,{46329,46349,46384,46385,46386,46387,46388,46391,46398,46429,46441,46468}))</f>
        <v/>
      </c>
      <c r="G97" s="104"/>
      <c r="H97" s="103" cm="1" t="str">
        <f t="array" ref="H97">IF($AD97="","",WORKDAY($AA97-$J97-$P97-$O97+1,-1,{46329,46349,46384,46385,46386,46387,46388,46391,46398,46429,46441,46468}))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IF(AD97="","",WORKDAY(AD97-AC97+1,-1,{46329,46349,46384,46385,46386,46387,46388,46391,46398,46429,46441,46468}))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IF($AD98="","",WORKDAY($H98-$G98+1,-1,{46329,46349,46384,46385,46386,46387,46388,46391,46398,46429,46441,46468}))</f>
        <v/>
      </c>
      <c r="G98" s="104"/>
      <c r="H98" s="103" cm="1" t="str">
        <f t="array" ref="H98">IF($AD98="","",WORKDAY($AA98-$J98-$P98-$O98+1,-1,{46329,46349,46384,46385,46386,46387,46388,46391,46398,46429,46441,46468}))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IF(AD98="","",WORKDAY(AD98-AC98+1,-1,{46329,46349,46384,46385,46386,46387,46388,46391,46398,46429,46441,46468}))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IF($AD99="","",WORKDAY($H99-$G99+1,-1,{46329,46349,46384,46385,46386,46387,46388,46391,46398,46429,46441,46468}))</f>
        <v/>
      </c>
      <c r="G99" s="104"/>
      <c r="H99" s="103" cm="1" t="str">
        <f t="array" ref="H99">IF($AD99="","",WORKDAY($AA99-$J99-$P99-$O99+1,-1,{46329,46349,46384,46385,46386,46387,46388,46391,46398,46429,46441,46468}))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IF(AD99="","",WORKDAY(AD99-AC99+1,-1,{46329,46349,46384,46385,46386,46387,46388,46391,46398,46429,46441,46468}))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IF($AD100="","",WORKDAY($H100-$G100+1,-1,{46329,46349,46384,46385,46386,46387,46388,46391,46398,46429,46441,46468}))</f>
        <v/>
      </c>
      <c r="G100" s="104"/>
      <c r="H100" s="103" cm="1" t="str">
        <f t="array" ref="H100">IF($AD100="","",WORKDAY($AA100-$J100-$P100-$O100+1,-1,{46329,46349,46384,46385,46386,46387,46388,46391,46398,46429,46441,46468}))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IF(AD100="","",WORKDAY(AD100-AC100+1,-1,{46329,46349,46384,46385,46386,46387,46388,46391,46398,46429,46441,46468}))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IF($AD101="","",WORKDAY($H101-$G101+1,-1,{46329,46349,46384,46385,46386,46387,46388,46391,46398,46429,46441,46468}))</f>
        <v/>
      </c>
      <c r="G101" s="104"/>
      <c r="H101" s="103" cm="1" t="str">
        <f t="array" ref="H101">IF($AD101="","",WORKDAY($AA101-$J101-$P101-$O101+1,-1,{46329,46349,46384,46385,46386,46387,46388,46391,46398,46429,46441,46468}))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IF(AD101="","",WORKDAY(AD101-AC101+1,-1,{46329,46349,46384,46385,46386,46387,46388,46391,46398,46429,46441,46468}))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IF($AD102="","",WORKDAY($H102-$G102+1,-1,{46329,46349,46384,46385,46386,46387,46388,46391,46398,46429,46441,46468}))</f>
        <v/>
      </c>
      <c r="G102" s="104"/>
      <c r="H102" s="103" cm="1" t="str">
        <f t="array" ref="H102">IF($AD102="","",WORKDAY($AA102-$J102-$P102-$O102+1,-1,{46329,46349,46384,46385,46386,46387,46388,46391,46398,46429,46441,46468}))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IF(AD102="","",WORKDAY(AD102-AC102+1,-1,{46329,46349,46384,46385,46386,46387,46388,46391,46398,46429,46441,46468}))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IF($AD103="","",WORKDAY($H103-$G103+1,-1,{46329,46349,46384,46385,46386,46387,46388,46391,46398,46429,46441,46468}))</f>
        <v/>
      </c>
      <c r="G103" s="104"/>
      <c r="H103" s="103" cm="1" t="str">
        <f t="array" ref="H103">IF($AD103="","",WORKDAY($AA103-$J103-$P103-$O103+1,-1,{46329,46349,46384,46385,46386,46387,46388,46391,46398,46429,46441,46468}))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IF(AD103="","",WORKDAY(AD103-AC103+1,-1,{46329,46349,46384,46385,46386,46387,46388,46391,46398,46429,46441,46468}))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IF($AD104="","",WORKDAY($H104-$G104+1,-1,{46329,46349,46384,46385,46386,46387,46388,46391,46398,46429,46441,46468}))</f>
        <v/>
      </c>
      <c r="G104" s="104"/>
      <c r="H104" s="103" cm="1" t="str">
        <f t="array" ref="H104">IF($AD104="","",WORKDAY($AA104-$J104-$P104-$O104+1,-1,{46329,46349,46384,46385,46386,46387,46388,46391,46398,46429,46441,46468}))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IF(AD104="","",WORKDAY(AD104-AC104+1,-1,{46329,46349,46384,46385,46386,46387,46388,46391,46398,46429,46441,46468}))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IF($AD105="","",WORKDAY($H105-$G105+1,-1,{46329,46349,46384,46385,46386,46387,46388,46391,46398,46429,46441,46468}))</f>
        <v/>
      </c>
      <c r="G105" s="104"/>
      <c r="H105" s="103" cm="1" t="str">
        <f t="array" ref="H105">IF($AD105="","",WORKDAY($AA105-$J105-$P105-$O105+1,-1,{46329,46349,46384,46385,46386,46387,46388,46391,46398,46429,46441,46468}))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IF(AD105="","",WORKDAY(AD105-AC105+1,-1,{46329,46349,46384,46385,46386,46387,46388,46391,46398,46429,46441,46468}))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IF($AD106="","",WORKDAY($H106-$G106+1,-1,{46329,46349,46384,46385,46386,46387,46388,46391,46398,46429,46441,46468}))</f>
        <v/>
      </c>
      <c r="G106" s="104"/>
      <c r="H106" s="103" cm="1" t="str">
        <f t="array" ref="H106">IF($AD106="","",WORKDAY($AA106-$J106-$P106-$O106+1,-1,{46329,46349,46384,46385,46386,46387,46388,46391,46398,46429,46441,46468}))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IF(AD106="","",WORKDAY(AD106-AC106+1,-1,{46329,46349,46384,46385,46386,46387,46388,46391,46398,46429,46441,46468}))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IF($AD107="","",WORKDAY($H107-$G107+1,-1,{46329,46349,46384,46385,46386,46387,46388,46391,46398,46429,46441,46468}))</f>
        <v/>
      </c>
      <c r="G107" s="104"/>
      <c r="H107" s="103" cm="1" t="str">
        <f t="array" ref="H107">IF($AD107="","",WORKDAY($AA107-$J107-$P107-$O107+1,-1,{46329,46349,46384,46385,46386,46387,46388,46391,46398,46429,46441,46468}))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IF(AD107="","",WORKDAY(AD107-AC107+1,-1,{46329,46349,46384,46385,46386,46387,46388,46391,46398,46429,46441,46468}))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IF($AD108="","",WORKDAY($H108-$G108+1,-1,{46329,46349,46384,46385,46386,46387,46388,46391,46398,46429,46441,46468}))</f>
        <v/>
      </c>
      <c r="G108" s="104"/>
      <c r="H108" s="103" cm="1" t="str">
        <f t="array" ref="H108">IF($AD108="","",WORKDAY($AA108-$J108-$P108-$O108+1,-1,{46329,46349,46384,46385,46386,46387,46388,46391,46398,46429,46441,46468}))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IF(AD108="","",WORKDAY(AD108-AC108+1,-1,{46329,46349,46384,46385,46386,46387,46388,46391,46398,46429,46441,46468}))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IF($AD109="","",WORKDAY($H109-$G109+1,-1,{46329,46349,46384,46385,46386,46387,46388,46391,46398,46429,46441,46468}))</f>
        <v/>
      </c>
      <c r="G109" s="104"/>
      <c r="H109" s="103" cm="1" t="str">
        <f t="array" ref="H109">IF($AD109="","",WORKDAY($AA109-$J109-$P109-$O109+1,-1,{46329,46349,46384,46385,46386,46387,46388,46391,46398,46429,46441,46468}))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IF(AD109="","",WORKDAY(AD109-AC109+1,-1,{46329,46349,46384,46385,46386,46387,46388,46391,46398,46429,46441,46468}))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IF($AD110="","",WORKDAY($H110-$G110+1,-1,{46329,46349,46384,46385,46386,46387,46388,46391,46398,46429,46441,46468}))</f>
        <v/>
      </c>
      <c r="G110" s="104"/>
      <c r="H110" s="103" cm="1" t="str">
        <f t="array" ref="H110">IF($AD110="","",WORKDAY($AA110-$J110-$P110-$O110+1,-1,{46329,46349,46384,46385,46386,46387,46388,46391,46398,46429,46441,46468}))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IF(AD110="","",WORKDAY(AD110-AC110+1,-1,{46329,46349,46384,46385,46386,46387,46388,46391,46398,46429,46441,46468}))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IF($AD111="","",WORKDAY($H111-$G111+1,-1,{46329,46349,46384,46385,46386,46387,46388,46391,46398,46429,46441,46468}))</f>
        <v/>
      </c>
      <c r="G111" s="104"/>
      <c r="H111" s="103" cm="1" t="str">
        <f t="array" ref="H111">IF($AD111="","",WORKDAY($AA111-$J111-$P111-$O111+1,-1,{46329,46349,46384,46385,46386,46387,46388,46391,46398,46429,46441,46468}))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IF(AD111="","",WORKDAY(AD111-AC111+1,-1,{46329,46349,46384,46385,46386,46387,46388,46391,46398,46429,46441,46468}))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IF($AD112="","",WORKDAY($H112-$G112+1,-1,{46329,46349,46384,46385,46386,46387,46388,46391,46398,46429,46441,46468}))</f>
        <v/>
      </c>
      <c r="G112" s="104"/>
      <c r="H112" s="103" cm="1" t="str">
        <f t="array" ref="H112">IF($AD112="","",WORKDAY($AA112-$J112-$P112-$O112+1,-1,{46329,46349,46384,46385,46386,46387,46388,46391,46398,46429,46441,46468}))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IF(AD112="","",WORKDAY(AD112-AC112+1,-1,{46329,46349,46384,46385,46386,46387,46388,46391,46398,46429,46441,46468}))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IF($AD113="","",WORKDAY($H113-$G113+1,-1,{46329,46349,46384,46385,46386,46387,46388,46391,46398,46429,46441,46468}))</f>
        <v/>
      </c>
      <c r="G113" s="104"/>
      <c r="H113" s="103" cm="1" t="str">
        <f t="array" ref="H113">IF($AD113="","",WORKDAY($AA113-$J113-$P113-$O113+1,-1,{46329,46349,46384,46385,46386,46387,46388,46391,46398,46429,46441,46468}))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IF(AD113="","",WORKDAY(AD113-AC113+1,-1,{46329,46349,46384,46385,46386,46387,46388,46391,46398,46429,46441,46468}))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IF($AD114="","",WORKDAY($H114-$G114+1,-1,{46329,46349,46384,46385,46386,46387,46388,46391,46398,46429,46441,46468}))</f>
        <v/>
      </c>
      <c r="G114" s="104"/>
      <c r="H114" s="103" cm="1" t="str">
        <f t="array" ref="H114">IF($AD114="","",WORKDAY($AA114-$J114-$P114-$O114+1,-1,{46329,46349,46384,46385,46386,46387,46388,46391,46398,46429,46441,46468}))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IF(AD114="","",WORKDAY(AD114-AC114+1,-1,{46329,46349,46384,46385,46386,46387,46388,46391,46398,46429,46441,46468}))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IF($AD115="","",WORKDAY($H115-$G115+1,-1,{46329,46349,46384,46385,46386,46387,46388,46391,46398,46429,46441,46468}))</f>
        <v/>
      </c>
      <c r="G115" s="104"/>
      <c r="H115" s="103" cm="1" t="str">
        <f t="array" ref="H115">IF($AD115="","",WORKDAY($AA115-$J115-$P115-$O115+1,-1,{46329,46349,46384,46385,46386,46387,46388,46391,46398,46429,46441,46468}))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IF(AD115="","",WORKDAY(AD115-AC115+1,-1,{46329,46349,46384,46385,46386,46387,46388,46391,46398,46429,46441,46468}))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IF($AD116="","",WORKDAY($H116-$G116+1,-1,{46329,46349,46384,46385,46386,46387,46388,46391,46398,46429,46441,46468}))</f>
        <v/>
      </c>
      <c r="G116" s="104"/>
      <c r="H116" s="103" cm="1" t="str">
        <f t="array" ref="H116">IF($AD116="","",WORKDAY($AA116-$J116-$P116-$O116+1,-1,{46329,46349,46384,46385,46386,46387,46388,46391,46398,46429,46441,46468}))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IF(AD116="","",WORKDAY(AD116-AC116+1,-1,{46329,46349,46384,46385,46386,46387,46388,46391,46398,46429,46441,46468}))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IF($AD117="","",WORKDAY($H117-$G117+1,-1,{46329,46349,46384,46385,46386,46387,46388,46391,46398,46429,46441,46468}))</f>
        <v/>
      </c>
      <c r="G117" s="104"/>
      <c r="H117" s="103" cm="1" t="str">
        <f t="array" ref="H117">IF($AD117="","",WORKDAY($AA117-$J117-$P117-$O117+1,-1,{46329,46349,46384,46385,46386,46387,46388,46391,46398,46429,46441,46468}))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IF(AD117="","",WORKDAY(AD117-AC117+1,-1,{46329,46349,46384,46385,46386,46387,46388,46391,46398,46429,46441,46468}))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IF($AD118="","",WORKDAY($H118-$G118+1,-1,{46329,46349,46384,46385,46386,46387,46388,46391,46398,46429,46441,46468}))</f>
        <v/>
      </c>
      <c r="G118" s="104"/>
      <c r="H118" s="103" cm="1" t="str">
        <f t="array" ref="H118">IF($AD118="","",WORKDAY($AA118-$J118-$P118-$O118+1,-1,{46329,46349,46384,46385,46386,46387,46388,46391,46398,46429,46441,46468}))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IF(AD118="","",WORKDAY(AD118-AC118+1,-1,{46329,46349,46384,46385,46386,46387,46388,46391,46398,46429,46441,46468}))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IF($AD119="","",WORKDAY($H119-$G119+1,-1,{46329,46349,46384,46385,46386,46387,46388,46391,46398,46429,46441,46468}))</f>
        <v/>
      </c>
      <c r="G119" s="104"/>
      <c r="H119" s="103" cm="1" t="str">
        <f t="array" ref="H119">IF($AD119="","",WORKDAY($AA119-$J119-$P119-$O119+1,-1,{46329,46349,46384,46385,46386,46387,46388,46391,46398,46429,46441,46468}))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IF(AD119="","",WORKDAY(AD119-AC119+1,-1,{46329,46349,46384,46385,46386,46387,46388,46391,46398,46429,46441,46468}))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IF($AD120="","",WORKDAY($H120-$G120+1,-1,{46329,46349,46384,46385,46386,46387,46388,46391,46398,46429,46441,46468}))</f>
        <v/>
      </c>
      <c r="G120" s="104"/>
      <c r="H120" s="103" cm="1" t="str">
        <f t="array" ref="H120">IF($AD120="","",WORKDAY($AA120-$J120-$P120-$O120+1,-1,{46329,46349,46384,46385,46386,46387,46388,46391,46398,46429,46441,46468}))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IF(AD120="","",WORKDAY(AD120-AC120+1,-1,{46329,46349,46384,46385,46386,46387,46388,46391,46398,46429,46441,46468}))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IF($AD121="","",WORKDAY($H121-$G121+1,-1,{46329,46349,46384,46385,46386,46387,46388,46391,46398,46429,46441,46468}))</f>
        <v/>
      </c>
      <c r="G121" s="104"/>
      <c r="H121" s="103" cm="1" t="str">
        <f t="array" ref="H121">IF($AD121="","",WORKDAY($AA121-$J121-$P121-$O121+1,-1,{46329,46349,46384,46385,46386,46387,46388,46391,46398,46429,46441,46468}))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IF(AD121="","",WORKDAY(AD121-AC121+1,-1,{46329,46349,46384,46385,46386,46387,46388,46391,46398,46429,46441,46468}))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IF($AD122="","",WORKDAY($H122-$G122+1,-1,{46329,46349,46384,46385,46386,46387,46388,46391,46398,46429,46441,46468}))</f>
        <v/>
      </c>
      <c r="G122" s="104"/>
      <c r="H122" s="103" cm="1" t="str">
        <f t="array" ref="H122">IF($AD122="","",WORKDAY($AA122-$J122-$P122-$O122+1,-1,{46329,46349,46384,46385,46386,46387,46388,46391,46398,46429,46441,46468}))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IF(AD122="","",WORKDAY(AD122-AC122+1,-1,{46329,46349,46384,46385,46386,46387,46388,46391,46398,46429,46441,46468}))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IF($AD123="","",WORKDAY($H123-$G123+1,-1,{46329,46349,46384,46385,46386,46387,46388,46391,46398,46429,46441,46468}))</f>
        <v/>
      </c>
      <c r="G123" s="104"/>
      <c r="H123" s="103" cm="1" t="str">
        <f t="array" ref="H123">IF($AD123="","",WORKDAY($AA123-$J123-$P123-$O123+1,-1,{46329,46349,46384,46385,46386,46387,46388,46391,46398,46429,46441,46468}))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IF(AD123="","",WORKDAY(AD123-AC123+1,-1,{46329,46349,46384,46385,46386,46387,46388,46391,46398,46429,46441,46468}))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IF($AD124="","",WORKDAY($H124-$G124+1,-1,{46329,46349,46384,46385,46386,46387,46388,46391,46398,46429,46441,46468}))</f>
        <v/>
      </c>
      <c r="G124" s="104"/>
      <c r="H124" s="103" cm="1" t="str">
        <f t="array" ref="H124">IF($AD124="","",WORKDAY($AA124-$J124-$P124-$O124+1,-1,{46329,46349,46384,46385,46386,46387,46388,46391,46398,46429,46441,46468}))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IF(AD124="","",WORKDAY(AD124-AC124+1,-1,{46329,46349,46384,46385,46386,46387,46388,46391,46398,46429,46441,46468}))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IF($AD125="","",WORKDAY($H125-$G125+1,-1,{46329,46349,46384,46385,46386,46387,46388,46391,46398,46429,46441,46468}))</f>
        <v/>
      </c>
      <c r="G125" s="104"/>
      <c r="H125" s="103" cm="1" t="str">
        <f t="array" ref="H125">IF($AD125="","",WORKDAY($AA125-$J125-$P125-$O125+1,-1,{46329,46349,46384,46385,46386,46387,46388,46391,46398,46429,46441,46468}))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IF(AD125="","",WORKDAY(AD125-AC125+1,-1,{46329,46349,46384,46385,46386,46387,46388,46391,46398,46429,46441,46468}))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IF($AD126="","",WORKDAY($H126-$G126+1,-1,{46329,46349,46384,46385,46386,46387,46388,46391,46398,46429,46441,46468}))</f>
        <v/>
      </c>
      <c r="G126" s="104"/>
      <c r="H126" s="103" cm="1" t="str">
        <f t="array" ref="H126">IF($AD126="","",WORKDAY($AA126-$J126-$P126-$O126+1,-1,{46329,46349,46384,46385,46386,46387,46388,46391,46398,46429,46441,46468}))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IF(AD126="","",WORKDAY(AD126-AC126+1,-1,{46329,46349,46384,46385,46386,46387,46388,46391,46398,46429,46441,46468}))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IF($AD127="","",WORKDAY($H127-$G127+1,-1,{46329,46349,46384,46385,46386,46387,46388,46391,46398,46429,46441,46468}))</f>
        <v/>
      </c>
      <c r="G127" s="104"/>
      <c r="H127" s="103" cm="1" t="str">
        <f t="array" ref="H127">IF($AD127="","",WORKDAY($AA127-$J127-$P127-$O127+1,-1,{46329,46349,46384,46385,46386,46387,46388,46391,46398,46429,46441,46468}))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IF(AD127="","",WORKDAY(AD127-AC127+1,-1,{46329,46349,46384,46385,46386,46387,46388,46391,46398,46429,46441,46468}))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IF($AD128="","",WORKDAY($H128-$G128+1,-1,{46329,46349,46384,46385,46386,46387,46388,46391,46398,46429,46441,46468}))</f>
        <v/>
      </c>
      <c r="G128" s="104"/>
      <c r="H128" s="103" cm="1" t="str">
        <f t="array" ref="H128">IF($AD128="","",WORKDAY($AA128-$J128-$P128-$O128+1,-1,{46329,46349,46384,46385,46386,46387,46388,46391,46398,46429,46441,46468}))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IF(AD128="","",WORKDAY(AD128-AC128+1,-1,{46329,46349,46384,46385,46386,46387,46388,46391,46398,46429,46441,46468}))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IF($AD129="","",WORKDAY($H129-$G129+1,-1,{46329,46349,46384,46385,46386,46387,46388,46391,46398,46429,46441,46468}))</f>
        <v/>
      </c>
      <c r="G129" s="104"/>
      <c r="H129" s="103" cm="1" t="str">
        <f t="array" ref="H129">IF($AD129="","",WORKDAY($AA129-$J129-$P129-$O129+1,-1,{46329,46349,46384,46385,46386,46387,46388,46391,46398,46429,46441,46468}))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IF(AD129="","",WORKDAY(AD129-AC129+1,-1,{46329,46349,46384,46385,46386,46387,46388,46391,46398,46429,46441,46468}))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IF($AD130="","",WORKDAY($H130-$G130+1,-1,{46329,46349,46384,46385,46386,46387,46388,46391,46398,46429,46441,46468}))</f>
        <v/>
      </c>
      <c r="G130" s="104"/>
      <c r="H130" s="103" cm="1" t="str">
        <f t="array" ref="H130">IF($AD130="","",WORKDAY($AA130-$J130-$P130-$O130+1,-1,{46329,46349,46384,46385,46386,46387,46388,46391,46398,46429,46441,46468}))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IF(AD130="","",WORKDAY(AD130-AC130+1,-1,{46329,46349,46384,46385,46386,46387,46388,46391,46398,46429,46441,46468}))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IF($AD131="","",WORKDAY($H131-$G131+1,-1,{46329,46349,46384,46385,46386,46387,46388,46391,46398,46429,46441,46468}))</f>
        <v/>
      </c>
      <c r="G131" s="104"/>
      <c r="H131" s="103" cm="1" t="str">
        <f t="array" ref="H131">IF($AD131="","",WORKDAY($AA131-$J131-$P131-$O131+1,-1,{46329,46349,46384,46385,46386,46387,46388,46391,46398,46429,46441,46468}))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IF(AD131="","",WORKDAY(AD131-AC131+1,-1,{46329,46349,46384,46385,46386,46387,46388,46391,46398,46429,46441,46468}))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IF($AD132="","",WORKDAY($H132-$G132+1,-1,{46329,46349,46384,46385,46386,46387,46388,46391,46398,46429,46441,46468}))</f>
        <v/>
      </c>
      <c r="G132" s="104"/>
      <c r="H132" s="103" cm="1" t="str">
        <f t="array" ref="H132">IF($AD132="","",WORKDAY($AA132-$J132-$P132-$O132+1,-1,{46329,46349,46384,46385,46386,46387,46388,46391,46398,46429,46441,46468}))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IF(AD132="","",WORKDAY(AD132-AC132+1,-1,{46329,46349,46384,46385,46386,46387,46388,46391,46398,46429,46441,46468}))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IF($AD133="","",WORKDAY($H133-$G133+1,-1,{46329,46349,46384,46385,46386,46387,46388,46391,46398,46429,46441,46468}))</f>
        <v/>
      </c>
      <c r="G133" s="104"/>
      <c r="H133" s="103" cm="1" t="str">
        <f t="array" ref="H133">IF($AD133="","",WORKDAY($AA133-$J133-$P133-$O133+1,-1,{46329,46349,46384,46385,46386,46387,46388,46391,46398,46429,46441,46468}))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IF(AD133="","",WORKDAY(AD133-AC133+1,-1,{46329,46349,46384,46385,46386,46387,46388,46391,46398,46429,46441,46468}))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IF($AD134="","",WORKDAY($H134-$G134+1,-1,{46329,46349,46384,46385,46386,46387,46388,46391,46398,46429,46441,46468}))</f>
        <v/>
      </c>
      <c r="G134" s="104"/>
      <c r="H134" s="103" cm="1" t="str">
        <f t="array" ref="H134">IF($AD134="","",WORKDAY($AA134-$J134-$P134-$O134+1,-1,{46329,46349,46384,46385,46386,46387,46388,46391,46398,46429,46441,46468}))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IF(AD134="","",WORKDAY(AD134-AC134+1,-1,{46329,46349,46384,46385,46386,46387,46388,46391,46398,46429,46441,46468}))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IF($AD135="","",WORKDAY($H135-$G135+1,-1,{46329,46349,46384,46385,46386,46387,46388,46391,46398,46429,46441,46468}))</f>
        <v/>
      </c>
      <c r="G135" s="104"/>
      <c r="H135" s="103" cm="1" t="str">
        <f t="array" ref="H135">IF($AD135="","",WORKDAY($AA135-$J135-$P135-$O135+1,-1,{46329,46349,46384,46385,46386,46387,46388,46391,46398,46429,46441,46468}))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IF(AD135="","",WORKDAY(AD135-AC135+1,-1,{46329,46349,46384,46385,46386,46387,46388,46391,46398,46429,46441,46468}))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IF($AD136="","",WORKDAY($H136-$G136+1,-1,{46329,46349,46384,46385,46386,46387,46388,46391,46398,46429,46441,46468}))</f>
        <v/>
      </c>
      <c r="G136" s="104"/>
      <c r="H136" s="103" cm="1" t="str">
        <f t="array" ref="H136">IF($AD136="","",WORKDAY($AA136-$J136-$P136-$O136+1,-1,{46329,46349,46384,46385,46386,46387,46388,46391,46398,46429,46441,46468}))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IF(AD136="","",WORKDAY(AD136-AC136+1,-1,{46329,46349,46384,46385,46386,46387,46388,46391,46398,46429,46441,46468}))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IF($AD137="","",WORKDAY($H137-$G137+1,-1,{46329,46349,46384,46385,46386,46387,46388,46391,46398,46429,46441,46468}))</f>
        <v/>
      </c>
      <c r="G137" s="104"/>
      <c r="H137" s="103" cm="1" t="str">
        <f t="array" ref="H137">IF($AD137="","",WORKDAY($AA137-$J137-$P137-$O137+1,-1,{46329,46349,46384,46385,46386,46387,46388,46391,46398,46429,46441,46468}))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IF(AD137="","",WORKDAY(AD137-AC137+1,-1,{46329,46349,46384,46385,46386,46387,46388,46391,46398,46429,46441,46468}))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IF($AD138="","",WORKDAY($H138-$G138+1,-1,{46329,46349,46384,46385,46386,46387,46388,46391,46398,46429,46441,46468}))</f>
        <v/>
      </c>
      <c r="G138" s="104"/>
      <c r="H138" s="103" cm="1" t="str">
        <f t="array" ref="H138">IF($AD138="","",WORKDAY($AA138-$J138-$P138-$O138+1,-1,{46329,46349,46384,46385,46386,46387,46388,46391,46398,46429,46441,46468}))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IF(AD138="","",WORKDAY(AD138-AC138+1,-1,{46329,46349,46384,46385,46386,46387,46388,46391,46398,46429,46441,46468}))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IF($AD139="","",WORKDAY($H139-$G139+1,-1,{46329,46349,46384,46385,46386,46387,46388,46391,46398,46429,46441,46468}))</f>
        <v/>
      </c>
      <c r="G139" s="104"/>
      <c r="H139" s="103" cm="1" t="str">
        <f t="array" ref="H139">IF($AD139="","",WORKDAY($AA139-$J139-$P139-$O139+1,-1,{46329,46349,46384,46385,46386,46387,46388,46391,46398,46429,46441,46468}))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IF(AD139="","",WORKDAY(AD139-AC139+1,-1,{46329,46349,46384,46385,46386,46387,46388,46391,46398,46429,46441,46468}))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IF($AD140="","",WORKDAY($H140-$G140+1,-1,{46329,46349,46384,46385,46386,46387,46388,46391,46398,46429,46441,46468}))</f>
        <v/>
      </c>
      <c r="G140" s="104"/>
      <c r="H140" s="103" cm="1" t="str">
        <f t="array" ref="H140">IF($AD140="","",WORKDAY($AA140-$J140-$P140-$O140+1,-1,{46329,46349,46384,46385,46386,46387,46388,46391,46398,46429,46441,46468}))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IF(AD140="","",WORKDAY(AD140-AC140+1,-1,{46329,46349,46384,46385,46386,46387,46388,46391,46398,46429,46441,46468}))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