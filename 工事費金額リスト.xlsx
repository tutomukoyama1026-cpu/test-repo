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金額リスト" sheetId="1" state="visible" r:id="rId1"/>
    <sheet name="週間出来高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▲#,##0;&quot;-&quot;"/>
    <numFmt numFmtId="165" formatCode="0.0%;▲0.0%;"/>
  </numFmts>
  <fonts count="12">
    <font>
      <name val="Calibri"/>
      <family val="2"/>
      <color theme="1"/>
      <sz val="11"/>
      <scheme val="minor"/>
    </font>
    <font>
      <name val="ＭＳ ゴシック"/>
      <b val="1"/>
      <sz val="14"/>
    </font>
    <font>
      <name val="ＭＳ ゴシック"/>
      <color rgb="00595959"/>
      <sz val="10"/>
    </font>
    <font>
      <name val="ＭＳ ゴシック"/>
      <b val="1"/>
      <sz val="10"/>
    </font>
    <font>
      <name val="ＭＳ ゴシック"/>
      <color rgb="000000FF"/>
      <sz val="10"/>
    </font>
    <font>
      <name val="ＭＳ ゴシック"/>
      <b val="1"/>
      <color rgb="000000FF"/>
      <sz val="10"/>
    </font>
    <font>
      <name val="ＭＳ ゴシック"/>
      <sz val="10"/>
    </font>
    <font>
      <name val="ＭＳ ゴシック"/>
      <b val="1"/>
      <color rgb="00000000"/>
      <sz val="10"/>
    </font>
    <font>
      <name val="ＭＳ ゴシック"/>
      <b val="1"/>
      <color rgb="00008000"/>
      <sz val="10"/>
    </font>
    <font>
      <name val="ＭＳ ゴシック"/>
      <color rgb="00000000"/>
      <sz val="10"/>
    </font>
    <font>
      <name val="ＭＳ ゴシック"/>
      <color rgb="00008000"/>
      <sz val="10"/>
    </font>
    <font>
      <name val="ＭＳ ゴシック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 style="thin">
        <color rgb="00999999"/>
      </right>
      <top style="medium">
        <color rgb="00404040"/>
      </top>
      <bottom style="thin">
        <color rgb="00999999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3" borderId="1" pivotButton="0" quotePrefix="0" xfId="0"/>
    <xf numFmtId="164" fontId="3" fillId="3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indent="1"/>
    </xf>
    <xf numFmtId="164" fontId="5" fillId="4" borderId="1" pivotButton="0" quotePrefix="0" xfId="0"/>
    <xf numFmtId="164" fontId="4" fillId="4" borderId="1" pivotButton="0" quotePrefix="0" xfId="0"/>
    <xf numFmtId="164" fontId="3" fillId="4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indent="2"/>
    </xf>
    <xf numFmtId="164" fontId="4" fillId="5" borderId="1" pivotButton="0" quotePrefix="0" xfId="0"/>
    <xf numFmtId="164" fontId="6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indent="3"/>
    </xf>
    <xf numFmtId="164" fontId="4" fillId="0" borderId="1" pivotButton="0" quotePrefix="0" xfId="0"/>
    <xf numFmtId="164" fontId="0" fillId="0" borderId="1" pivotButton="0" quotePrefix="0" xfId="0"/>
    <xf numFmtId="164" fontId="6" fillId="0" borderId="1" pivotButton="0" quotePrefix="0" xfId="0"/>
    <xf numFmtId="0" fontId="3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1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vertical="center"/>
    </xf>
    <xf numFmtId="0" fontId="2" fillId="3" borderId="2" pivotButton="0" quotePrefix="0" xfId="0"/>
    <xf numFmtId="164" fontId="7" fillId="3" borderId="2" applyAlignment="1" pivotButton="0" quotePrefix="0" xfId="0">
      <alignment vertical="center"/>
    </xf>
    <xf numFmtId="165" fontId="7" fillId="3" borderId="2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/>
    </xf>
    <xf numFmtId="0" fontId="7" fillId="3" borderId="1" applyAlignment="1" pivotButton="0" quotePrefix="0" xfId="0">
      <alignment vertical="center"/>
    </xf>
    <xf numFmtId="0" fontId="2" fillId="3" borderId="1" pivotButton="0" quotePrefix="0" xfId="0"/>
    <xf numFmtId="164" fontId="7" fillId="3" borderId="1" applyAlignment="1" pivotButton="0" quotePrefix="0" xfId="0">
      <alignment vertical="center"/>
    </xf>
    <xf numFmtId="165" fontId="7" fillId="3" borderId="1" applyAlignment="1" pivotButton="0" quotePrefix="0" xfId="0">
      <alignment vertical="center"/>
    </xf>
    <xf numFmtId="0" fontId="7" fillId="3" borderId="1" applyAlignment="1" pivotButton="0" quotePrefix="0" xfId="0">
      <alignment horizontal="center" vertical="center"/>
    </xf>
    <xf numFmtId="165" fontId="7" fillId="0" borderId="1" pivotButton="0" quotePrefix="0" xfId="0"/>
    <xf numFmtId="0" fontId="7" fillId="4" borderId="2" applyAlignment="1" pivotButton="0" quotePrefix="0" xfId="0">
      <alignment vertical="center"/>
    </xf>
    <xf numFmtId="0" fontId="7" fillId="4" borderId="2" applyAlignment="1" pivotButton="0" quotePrefix="0" xfId="0">
      <alignment vertical="center" indent="1"/>
    </xf>
    <xf numFmtId="0" fontId="2" fillId="4" borderId="2" pivotButton="0" quotePrefix="0" xfId="0"/>
    <xf numFmtId="164" fontId="8" fillId="4" borderId="2" applyAlignment="1" pivotButton="0" quotePrefix="0" xfId="0">
      <alignment vertical="center"/>
    </xf>
    <xf numFmtId="165" fontId="7" fillId="4" borderId="2" applyAlignment="1" pivotButton="0" quotePrefix="0" xfId="0">
      <alignment vertical="center"/>
    </xf>
    <xf numFmtId="0" fontId="7" fillId="4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/>
    </xf>
    <xf numFmtId="0" fontId="7" fillId="4" borderId="1" applyAlignment="1" pivotButton="0" quotePrefix="0" xfId="0">
      <alignment vertical="center"/>
    </xf>
    <xf numFmtId="0" fontId="7" fillId="4" borderId="1" applyAlignment="1" pivotButton="0" quotePrefix="0" xfId="0">
      <alignment vertical="center" indent="1"/>
    </xf>
    <xf numFmtId="0" fontId="2" fillId="4" borderId="1" pivotButton="0" quotePrefix="0" xfId="0"/>
    <xf numFmtId="164" fontId="8" fillId="4" borderId="1" applyAlignment="1" pivotButton="0" quotePrefix="0" xfId="0">
      <alignment vertical="center"/>
    </xf>
    <xf numFmtId="165" fontId="7" fillId="4" borderId="1" applyAlignment="1" pivotButton="0" quotePrefix="0" xfId="0">
      <alignment vertical="center"/>
    </xf>
    <xf numFmtId="0" fontId="7" fillId="4" borderId="1" applyAlignment="1" pivotButton="0" quotePrefix="0" xfId="0">
      <alignment horizontal="center" vertical="center"/>
    </xf>
    <xf numFmtId="164" fontId="7" fillId="4" borderId="2" applyAlignment="1" pivotButton="0" quotePrefix="0" xfId="0">
      <alignment vertical="center"/>
    </xf>
    <xf numFmtId="164" fontId="7" fillId="4" borderId="1" applyAlignment="1" pivotButton="0" quotePrefix="0" xfId="0">
      <alignment vertical="center"/>
    </xf>
    <xf numFmtId="0" fontId="9" fillId="5" borderId="2" applyAlignment="1" pivotButton="0" quotePrefix="0" xfId="0">
      <alignment vertical="center"/>
    </xf>
    <xf numFmtId="0" fontId="9" fillId="5" borderId="2" applyAlignment="1" pivotButton="0" quotePrefix="0" xfId="0">
      <alignment vertical="center" indent="2"/>
    </xf>
    <xf numFmtId="0" fontId="2" fillId="5" borderId="2" pivotButton="0" quotePrefix="0" xfId="0"/>
    <xf numFmtId="164" fontId="10" fillId="5" borderId="2" applyAlignment="1" pivotButton="0" quotePrefix="0" xfId="0">
      <alignment vertical="center"/>
    </xf>
    <xf numFmtId="165" fontId="9" fillId="5" borderId="2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/>
    </xf>
    <xf numFmtId="0" fontId="9" fillId="5" borderId="1" applyAlignment="1" pivotButton="0" quotePrefix="0" xfId="0">
      <alignment vertical="center"/>
    </xf>
    <xf numFmtId="0" fontId="9" fillId="5" borderId="1" applyAlignment="1" pivotButton="0" quotePrefix="0" xfId="0">
      <alignment vertical="center" indent="2"/>
    </xf>
    <xf numFmtId="0" fontId="2" fillId="5" borderId="1" pivotButton="0" quotePrefix="0" xfId="0"/>
    <xf numFmtId="164" fontId="10" fillId="5" borderId="1" applyAlignment="1" pivotButton="0" quotePrefix="0" xfId="0">
      <alignment vertical="center"/>
    </xf>
    <xf numFmtId="165" fontId="9" fillId="5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165" fontId="9" fillId="0" borderId="1" pivotButton="0" quotePrefix="0" xfId="0"/>
    <xf numFmtId="164" fontId="9" fillId="5" borderId="2" applyAlignment="1" pivotButton="0" quotePrefix="0" xfId="0">
      <alignment vertical="center"/>
    </xf>
    <xf numFmtId="0" fontId="9" fillId="0" borderId="2" applyAlignment="1" pivotButton="0" quotePrefix="0" xfId="0">
      <alignment horizontal="center"/>
    </xf>
    <xf numFmtId="164" fontId="9" fillId="5" borderId="1" applyAlignment="1" pivotButton="0" quotePrefix="0" xfId="0">
      <alignment vertical="center"/>
    </xf>
    <xf numFmtId="0" fontId="9" fillId="0" borderId="2" applyAlignment="1" pivotButton="0" quotePrefix="0" xfId="0">
      <alignment vertical="center"/>
    </xf>
    <xf numFmtId="0" fontId="9" fillId="0" borderId="2" applyAlignment="1" pivotButton="0" quotePrefix="0" xfId="0">
      <alignment vertical="center" indent="3"/>
    </xf>
    <xf numFmtId="0" fontId="2" fillId="0" borderId="2" pivotButton="0" quotePrefix="0" xfId="0"/>
    <xf numFmtId="164" fontId="10" fillId="0" borderId="2" applyAlignment="1" pivotButton="0" quotePrefix="0" xfId="0">
      <alignment vertical="center"/>
    </xf>
    <xf numFmtId="165" fontId="9" fillId="0" borderId="2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 indent="3"/>
    </xf>
    <xf numFmtId="0" fontId="2" fillId="0" borderId="1" pivotButton="0" quotePrefix="0" xfId="0"/>
    <xf numFmtId="164" fontId="10" fillId="0" borderId="1" applyAlignment="1" pivotButton="0" quotePrefix="0" xfId="0">
      <alignment vertical="center"/>
    </xf>
    <xf numFmtId="165" fontId="9" fillId="0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ill>
        <patternFill patternType="solid">
          <fgColor rgb="00BFBFBF"/>
        </patternFill>
      </fill>
    </dxf>
    <dxf>
      <font>
        <color rgb="002F75B5"/>
      </font>
      <fill>
        <patternFill patternType="solid">
          <fgColor rgb="002F75B5"/>
        </patternFill>
      </fill>
    </dxf>
    <dxf>
      <font>
        <color rgb="00000000"/>
      </font>
      <fill>
        <patternFill patternType="solid"/>
      </fill>
    </dxf>
    <dxf>
      <font>
        <b val="1"/>
        <color rgb="00008000"/>
      </font>
      <fill>
        <patternFill patternType="solid">
          <fgColor rgb="00E2EFDA"/>
        </patternFill>
      </fill>
    </dxf>
    <dxf>
      <font>
        <b val="1"/>
        <color rgb="00FF0000"/>
      </font>
      <fill>
        <patternFill patternType="solid">
          <fgColor rgb="00FCE4D6"/>
        </patternFill>
      </fill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18" customWidth="1" min="4" max="4"/>
    <col width="14" customWidth="1" min="5" max="5"/>
    <col width="40" customWidth="1" min="6" max="6"/>
  </cols>
  <sheetData>
    <row r="1">
      <c r="A1" s="1" t="inlineStr">
        <is>
          <t>工事費 金額リスト</t>
        </is>
      </c>
    </row>
    <row r="2">
      <c r="A2" s="2" t="inlineStr">
        <is>
          <t>凡例： 青字＝入力値（見積書より）／黒字＝計算式（自動集計）</t>
        </is>
      </c>
    </row>
    <row r="4">
      <c r="A4" s="3" t="inlineStr">
        <is>
          <t>項</t>
        </is>
      </c>
      <c r="B4" s="3" t="inlineStr">
        <is>
          <t>名称</t>
        </is>
      </c>
      <c r="C4" s="3" t="inlineStr">
        <is>
          <t>金額（円）</t>
        </is>
      </c>
      <c r="D4" s="3" t="inlineStr">
        <is>
          <t>見積書記載額（円）</t>
        </is>
      </c>
      <c r="E4" s="3" t="inlineStr">
        <is>
          <t>差額（円）</t>
        </is>
      </c>
      <c r="F4" s="3" t="inlineStr">
        <is>
          <t>備考</t>
        </is>
      </c>
    </row>
    <row r="5">
      <c r="A5" s="4" t="inlineStr"/>
      <c r="B5" s="4" t="inlineStr">
        <is>
          <t>工事費 合計</t>
        </is>
      </c>
      <c r="C5" s="5">
        <f>C6+C7+C13+C31</f>
        <v/>
      </c>
      <c r="D5" s="5">
        <f>D6+D7+D13+D31</f>
        <v/>
      </c>
      <c r="E5" s="5">
        <f>C5-D5</f>
        <v/>
      </c>
      <c r="F5" s="4" t="inlineStr">
        <is>
          <t>a)+b)+c)+d)</t>
        </is>
      </c>
    </row>
    <row r="6">
      <c r="A6" s="6" t="inlineStr">
        <is>
          <t>a)</t>
        </is>
      </c>
      <c r="B6" s="7" t="inlineStr">
        <is>
          <t>共通仮設工事</t>
        </is>
      </c>
      <c r="C6" s="8" t="n">
        <v>4540000</v>
      </c>
      <c r="D6" s="9" t="n">
        <v>4540000</v>
      </c>
      <c r="E6" s="10">
        <f>C6-D6</f>
        <v/>
      </c>
      <c r="F6" s="6" t="inlineStr"/>
    </row>
    <row r="7">
      <c r="A7" s="6" t="inlineStr">
        <is>
          <t>b)</t>
        </is>
      </c>
      <c r="B7" s="7" t="inlineStr">
        <is>
          <t>解体撤去工事</t>
        </is>
      </c>
      <c r="C7" s="10">
        <f>C8+C9</f>
        <v/>
      </c>
      <c r="D7" s="9" t="n">
        <v>16690000</v>
      </c>
      <c r="E7" s="10">
        <f>C7-D7</f>
        <v/>
      </c>
      <c r="F7" s="6" t="inlineStr">
        <is>
          <t>建築＋設備</t>
        </is>
      </c>
    </row>
    <row r="8">
      <c r="A8" s="11" t="inlineStr">
        <is>
          <t>b)-1</t>
        </is>
      </c>
      <c r="B8" s="12" t="inlineStr">
        <is>
          <t>建築工事</t>
        </is>
      </c>
      <c r="C8" s="13" t="n">
        <v>5700000</v>
      </c>
      <c r="D8" s="13" t="n">
        <v>5700000</v>
      </c>
      <c r="E8" s="14">
        <f>C8-D8</f>
        <v/>
      </c>
      <c r="F8" s="11" t="inlineStr"/>
    </row>
    <row r="9">
      <c r="A9" s="11" t="inlineStr">
        <is>
          <t>b)-2</t>
        </is>
      </c>
      <c r="B9" s="12" t="inlineStr">
        <is>
          <t>設備工事</t>
        </is>
      </c>
      <c r="C9" s="14">
        <f>C10+C11+C12</f>
        <v/>
      </c>
      <c r="D9" s="13" t="n">
        <v>10990000</v>
      </c>
      <c r="E9" s="14">
        <f>C9-D9</f>
        <v/>
      </c>
      <c r="F9" s="11" t="inlineStr">
        <is>
          <t>電気＋空調＋衛生</t>
        </is>
      </c>
    </row>
    <row r="10">
      <c r="A10" s="15" t="inlineStr"/>
      <c r="B10" s="16" t="inlineStr">
        <is>
          <t>電気設備工事</t>
        </is>
      </c>
      <c r="C10" s="17" t="n">
        <v>5143000</v>
      </c>
      <c r="D10" s="18" t="n"/>
      <c r="E10" s="19" t="n"/>
      <c r="F10" s="15" t="inlineStr">
        <is>
          <t>見積書 b)-2 電気小計</t>
        </is>
      </c>
    </row>
    <row r="11">
      <c r="A11" s="15" t="inlineStr"/>
      <c r="B11" s="16" t="inlineStr">
        <is>
          <t>空気調和設備工事</t>
        </is>
      </c>
      <c r="C11" s="17" t="n">
        <v>5175000</v>
      </c>
      <c r="D11" s="18" t="n"/>
      <c r="E11" s="19" t="n"/>
      <c r="F11" s="15" t="inlineStr">
        <is>
          <t>見積書 b)-2 ダクト撤去工事</t>
        </is>
      </c>
    </row>
    <row r="12">
      <c r="A12" s="15" t="inlineStr"/>
      <c r="B12" s="16" t="inlineStr">
        <is>
          <t>衛生設備工事</t>
        </is>
      </c>
      <c r="C12" s="17" t="n">
        <v>672000</v>
      </c>
      <c r="D12" s="18" t="n"/>
      <c r="E12" s="19" t="n"/>
      <c r="F12" s="15" t="inlineStr">
        <is>
          <t>見積書 b)-2 配管撤去工事</t>
        </is>
      </c>
    </row>
    <row r="13">
      <c r="A13" s="6" t="inlineStr">
        <is>
          <t>c)</t>
        </is>
      </c>
      <c r="B13" s="7" t="inlineStr">
        <is>
          <t>改修工事</t>
        </is>
      </c>
      <c r="C13" s="10">
        <f>C14+C27</f>
        <v/>
      </c>
      <c r="D13" s="9" t="n">
        <v>209540000</v>
      </c>
      <c r="E13" s="10">
        <f>C13-D13</f>
        <v/>
      </c>
      <c r="F13" s="6" t="inlineStr">
        <is>
          <t>建築＋設備</t>
        </is>
      </c>
    </row>
    <row r="14">
      <c r="A14" s="11" t="inlineStr">
        <is>
          <t>c)-1</t>
        </is>
      </c>
      <c r="B14" s="12" t="inlineStr">
        <is>
          <t>建築工事</t>
        </is>
      </c>
      <c r="C14" s="14">
        <f>SUM(C15:C26)</f>
        <v/>
      </c>
      <c r="D14" s="13" t="n">
        <v>139549000</v>
      </c>
      <c r="E14" s="14">
        <f>C14-D14</f>
        <v/>
      </c>
      <c r="F14" s="11" t="inlineStr">
        <is>
          <t>明細1〜12の計</t>
        </is>
      </c>
    </row>
    <row r="15">
      <c r="A15" s="15" t="inlineStr">
        <is>
          <t>1</t>
        </is>
      </c>
      <c r="B15" s="16" t="inlineStr">
        <is>
          <t>直接仮設工事</t>
        </is>
      </c>
      <c r="C15" s="17" t="n">
        <v>4345372</v>
      </c>
      <c r="D15" s="18" t="n"/>
      <c r="E15" s="19" t="n"/>
      <c r="F15" s="15" t="inlineStr"/>
    </row>
    <row r="16">
      <c r="A16" s="15" t="inlineStr">
        <is>
          <t>2</t>
        </is>
      </c>
      <c r="B16" s="16" t="inlineStr">
        <is>
          <t>躯体工事</t>
        </is>
      </c>
      <c r="C16" s="17" t="n">
        <v>476900</v>
      </c>
      <c r="D16" s="18" t="n"/>
      <c r="E16" s="19" t="n"/>
      <c r="F16" s="15" t="inlineStr"/>
    </row>
    <row r="17">
      <c r="A17" s="15" t="inlineStr">
        <is>
          <t>3</t>
        </is>
      </c>
      <c r="B17" s="16" t="inlineStr">
        <is>
          <t>防水工事</t>
        </is>
      </c>
      <c r="C17" s="17" t="n">
        <v>337100</v>
      </c>
      <c r="D17" s="18" t="n"/>
      <c r="E17" s="19" t="n"/>
      <c r="F17" s="15" t="inlineStr"/>
    </row>
    <row r="18">
      <c r="A18" s="15" t="inlineStr">
        <is>
          <t>4</t>
        </is>
      </c>
      <c r="B18" s="16" t="inlineStr">
        <is>
          <t>タイル工事</t>
        </is>
      </c>
      <c r="C18" s="17" t="n">
        <v>14987300</v>
      </c>
      <c r="D18" s="18" t="n"/>
      <c r="E18" s="19" t="n"/>
      <c r="F18" s="15" t="inlineStr"/>
    </row>
    <row r="19">
      <c r="A19" s="15" t="inlineStr">
        <is>
          <t>5</t>
        </is>
      </c>
      <c r="B19" s="16" t="inlineStr">
        <is>
          <t>金属工事</t>
        </is>
      </c>
      <c r="C19" s="17" t="n">
        <v>18986738</v>
      </c>
      <c r="D19" s="18" t="n"/>
      <c r="E19" s="19" t="n"/>
      <c r="F19" s="15" t="inlineStr"/>
    </row>
    <row r="20">
      <c r="A20" s="15" t="inlineStr">
        <is>
          <t>6</t>
        </is>
      </c>
      <c r="B20" s="16" t="inlineStr">
        <is>
          <t>金属製建具工事</t>
        </is>
      </c>
      <c r="C20" s="17" t="n">
        <v>8285600</v>
      </c>
      <c r="D20" s="18" t="n"/>
      <c r="E20" s="19" t="n"/>
      <c r="F20" s="15" t="inlineStr"/>
    </row>
    <row r="21">
      <c r="A21" s="15" t="inlineStr">
        <is>
          <t>7</t>
        </is>
      </c>
      <c r="B21" s="16" t="inlineStr">
        <is>
          <t>ガラス工事</t>
        </is>
      </c>
      <c r="C21" s="17" t="n">
        <v>1115138</v>
      </c>
      <c r="D21" s="18" t="n"/>
      <c r="E21" s="19" t="n"/>
      <c r="F21" s="15" t="inlineStr"/>
    </row>
    <row r="22">
      <c r="A22" s="15" t="inlineStr">
        <is>
          <t>8</t>
        </is>
      </c>
      <c r="B22" s="16" t="inlineStr">
        <is>
          <t>木工事</t>
        </is>
      </c>
      <c r="C22" s="17" t="n">
        <v>52688330</v>
      </c>
      <c r="D22" s="18" t="n"/>
      <c r="E22" s="19" t="n"/>
      <c r="F22" s="15" t="inlineStr"/>
    </row>
    <row r="23">
      <c r="A23" s="15" t="inlineStr">
        <is>
          <t>9</t>
        </is>
      </c>
      <c r="B23" s="16" t="inlineStr">
        <is>
          <t>左官工事</t>
        </is>
      </c>
      <c r="C23" s="17" t="n">
        <v>2198888</v>
      </c>
      <c r="D23" s="18" t="n"/>
      <c r="E23" s="19" t="n"/>
      <c r="F23" s="15" t="inlineStr"/>
    </row>
    <row r="24">
      <c r="A24" s="15" t="inlineStr">
        <is>
          <t>10</t>
        </is>
      </c>
      <c r="B24" s="16" t="inlineStr">
        <is>
          <t>塗装工事</t>
        </is>
      </c>
      <c r="C24" s="17" t="n">
        <v>25936424</v>
      </c>
      <c r="D24" s="18" t="n"/>
      <c r="E24" s="19" t="n"/>
      <c r="F24" s="15" t="inlineStr"/>
    </row>
    <row r="25">
      <c r="A25" s="15" t="inlineStr">
        <is>
          <t>11</t>
        </is>
      </c>
      <c r="B25" s="16" t="inlineStr">
        <is>
          <t>内装工事</t>
        </is>
      </c>
      <c r="C25" s="17" t="n">
        <v>7562450</v>
      </c>
      <c r="D25" s="18" t="n"/>
      <c r="E25" s="19" t="n"/>
      <c r="F25" s="15" t="inlineStr"/>
    </row>
    <row r="26">
      <c r="A26" s="15" t="inlineStr">
        <is>
          <t>12</t>
        </is>
      </c>
      <c r="B26" s="16" t="inlineStr">
        <is>
          <t>雑工事</t>
        </is>
      </c>
      <c r="C26" s="17" t="n">
        <v>2628760</v>
      </c>
      <c r="D26" s="18" t="n"/>
      <c r="E26" s="19" t="n"/>
      <c r="F26" s="15" t="inlineStr"/>
    </row>
    <row r="27">
      <c r="A27" s="11" t="inlineStr"/>
      <c r="B27" s="12" t="inlineStr">
        <is>
          <t>設備工事</t>
        </is>
      </c>
      <c r="C27" s="14">
        <f>C28+C29+C30</f>
        <v/>
      </c>
      <c r="D27" s="14">
        <f>D13-D14</f>
        <v/>
      </c>
      <c r="E27" s="14">
        <f>C27-D27</f>
        <v/>
      </c>
      <c r="F27" s="11" t="inlineStr">
        <is>
          <t>電気＋空調＋衛生（c)-2〜c)-4 の計／記載額は c)−c)-1 で逆算）</t>
        </is>
      </c>
    </row>
    <row r="28">
      <c r="A28" s="15" t="inlineStr">
        <is>
          <t>c)-2</t>
        </is>
      </c>
      <c r="B28" s="16" t="inlineStr">
        <is>
          <t>電気設備工事</t>
        </is>
      </c>
      <c r="C28" s="17" t="n">
        <v>53910000</v>
      </c>
      <c r="D28" s="18" t="n"/>
      <c r="E28" s="19" t="n"/>
      <c r="F28" s="15" t="inlineStr">
        <is>
          <t>見積書 c)-2 計</t>
        </is>
      </c>
    </row>
    <row r="29">
      <c r="A29" s="15" t="inlineStr">
        <is>
          <t>c)-3</t>
        </is>
      </c>
      <c r="B29" s="16" t="inlineStr">
        <is>
          <t>空気調和設備工事</t>
        </is>
      </c>
      <c r="C29" s="17" t="n">
        <v>14450000</v>
      </c>
      <c r="D29" s="18" t="n"/>
      <c r="E29" s="19" t="n"/>
      <c r="F29" s="15" t="inlineStr">
        <is>
          <t>見積書 c)-3 計</t>
        </is>
      </c>
    </row>
    <row r="30">
      <c r="A30" s="15" t="inlineStr">
        <is>
          <t>c)-4</t>
        </is>
      </c>
      <c r="B30" s="16" t="inlineStr">
        <is>
          <t>衛生設備工事</t>
        </is>
      </c>
      <c r="C30" s="17" t="n">
        <v>1631000</v>
      </c>
      <c r="D30" s="18" t="n"/>
      <c r="E30" s="19" t="n"/>
      <c r="F30" s="15" t="inlineStr">
        <is>
          <t>見積書 c)-4 計</t>
        </is>
      </c>
    </row>
    <row r="31">
      <c r="A31" s="6" t="inlineStr">
        <is>
          <t>d)</t>
        </is>
      </c>
      <c r="B31" s="7" t="inlineStr">
        <is>
          <t>諸経費</t>
        </is>
      </c>
      <c r="C31" s="8" t="n">
        <v>31230000</v>
      </c>
      <c r="D31" s="9" t="n">
        <v>31230000</v>
      </c>
      <c r="E31" s="10">
        <f>C31-D31</f>
        <v/>
      </c>
      <c r="F31" s="6" t="inlineStr"/>
    </row>
    <row r="33">
      <c r="B33" s="20" t="inlineStr">
        <is>
          <t>集計表</t>
        </is>
      </c>
    </row>
    <row r="34">
      <c r="B34" s="3" t="inlineStr">
        <is>
          <t>区分</t>
        </is>
      </c>
      <c r="C34" s="3" t="inlineStr">
        <is>
          <t>解体撤去工事</t>
        </is>
      </c>
      <c r="D34" s="3" t="inlineStr">
        <is>
          <t>改修工事</t>
        </is>
      </c>
      <c r="E34" s="3" t="inlineStr">
        <is>
          <t>計</t>
        </is>
      </c>
    </row>
    <row r="35">
      <c r="B35" s="15" t="inlineStr">
        <is>
          <t>建築工事</t>
        </is>
      </c>
      <c r="C35" s="19">
        <f>C8</f>
        <v/>
      </c>
      <c r="D35" s="19">
        <f>C14</f>
        <v/>
      </c>
      <c r="E35" s="19">
        <f>C35+D35</f>
        <v/>
      </c>
    </row>
    <row r="36">
      <c r="B36" s="15" t="inlineStr">
        <is>
          <t>電気設備工事</t>
        </is>
      </c>
      <c r="C36" s="19">
        <f>C10</f>
        <v/>
      </c>
      <c r="D36" s="19">
        <f>C28</f>
        <v/>
      </c>
      <c r="E36" s="19">
        <f>C36+D36</f>
        <v/>
      </c>
    </row>
    <row r="37">
      <c r="B37" s="15" t="inlineStr">
        <is>
          <t>空気調和設備工事</t>
        </is>
      </c>
      <c r="C37" s="19">
        <f>C11</f>
        <v/>
      </c>
      <c r="D37" s="19">
        <f>C29</f>
        <v/>
      </c>
      <c r="E37" s="19">
        <f>C37+D37</f>
        <v/>
      </c>
    </row>
    <row r="38">
      <c r="B38" s="15" t="inlineStr">
        <is>
          <t>衛生設備工事</t>
        </is>
      </c>
      <c r="C38" s="19">
        <f>C12</f>
        <v/>
      </c>
      <c r="D38" s="19">
        <f>C30</f>
        <v/>
      </c>
      <c r="E38" s="19">
        <f>C38+D38</f>
        <v/>
      </c>
    </row>
    <row r="39">
      <c r="B39" s="21" t="inlineStr">
        <is>
          <t>計</t>
        </is>
      </c>
      <c r="C39" s="22">
        <f>SUM(C35:C38)</f>
        <v/>
      </c>
      <c r="D39" s="22">
        <f>SUM(D35:D38)</f>
        <v/>
      </c>
      <c r="E39" s="22">
        <f>SUM(E35:E38)</f>
        <v/>
      </c>
    </row>
    <row r="40">
      <c r="B40" s="21" t="inlineStr">
        <is>
          <t>照合（本表との差）</t>
        </is>
      </c>
      <c r="C40" s="22">
        <f>C39-C7</f>
        <v/>
      </c>
      <c r="D40" s="22">
        <f>D39-C13</f>
        <v/>
      </c>
      <c r="E40" s="22">
        <f>E39-C7-C13</f>
        <v/>
      </c>
    </row>
    <row r="42">
      <c r="B42" s="2" t="inlineStr">
        <is>
          <t>出典：金額はすべて見積書（内訳、b)解体撤去工事、c)-1 建築工事明細、c)-2〜c)-4 設備工事計）より。差額が「-」なら記載額と一致。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89"/>
  <sheetViews>
    <sheetView workbookViewId="0">
      <pane xSplit="7" ySplit="6" topLeftCell="H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8" customWidth="1" min="5" max="5"/>
    <col width="9" customWidth="1" min="6" max="6"/>
    <col width="11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1" t="inlineStr">
        <is>
          <t>週間出来高（工程・出来高率）</t>
        </is>
      </c>
    </row>
    <row r="2">
      <c r="A2" s="2" t="inlineStr">
        <is>
          <t>凡例： 各工事の1段目（工程）の週に何か入力（例：1 や ●）すると黒く塗られ、工事ありになります。出来高率は工事ありの週数で均等割りし、各工事の合計が100%になります。集計行は契約金額で加重平均。6行目の稼働が0の週（年末年始）は工事ありにしても割合に含めません（灰色）。</t>
        </is>
      </c>
    </row>
    <row r="3">
      <c r="A3" s="20" t="inlineStr">
        <is>
          <t>チェック結果：</t>
        </is>
      </c>
      <c r="B3" s="23">
        <f>IF(COUNTIF(G7:G81,"OK")=COUNTA(G7:G81),"全工事 100% OK","要確認 "&amp;(COUNTA(G7:G81)-COUNTIF(G7:G81,"OK"))&amp;"件")</f>
        <v/>
      </c>
    </row>
    <row r="4" ht="20" customHeight="1">
      <c r="A4" s="24" t="inlineStr">
        <is>
          <t>項</t>
        </is>
      </c>
      <c r="B4" s="24" t="inlineStr">
        <is>
          <t>名称</t>
        </is>
      </c>
      <c r="C4" s="24" t="inlineStr">
        <is>
          <t>区分</t>
        </is>
      </c>
      <c r="D4" s="24" t="inlineStr">
        <is>
          <t>契約金額（円）</t>
        </is>
      </c>
      <c r="E4" s="24" t="inlineStr">
        <is>
          <t>工事週数</t>
        </is>
      </c>
      <c r="F4" s="24" t="inlineStr">
        <is>
          <t>出来高率 計</t>
        </is>
      </c>
      <c r="G4" s="24" t="inlineStr">
        <is>
          <t>100%チェック</t>
        </is>
      </c>
      <c r="H4" s="24" t="inlineStr">
        <is>
          <t>11月第1週</t>
        </is>
      </c>
      <c r="I4" s="24" t="inlineStr">
        <is>
          <t>11月第2週</t>
        </is>
      </c>
      <c r="J4" s="24" t="inlineStr">
        <is>
          <t>11月第3週</t>
        </is>
      </c>
      <c r="K4" s="24" t="inlineStr">
        <is>
          <t>11月第4週</t>
        </is>
      </c>
      <c r="L4" s="24" t="inlineStr">
        <is>
          <t>11月第5週</t>
        </is>
      </c>
      <c r="M4" s="24" t="inlineStr">
        <is>
          <t>12月第1週</t>
        </is>
      </c>
      <c r="N4" s="24" t="inlineStr">
        <is>
          <t>12月第2週</t>
        </is>
      </c>
      <c r="O4" s="24" t="inlineStr">
        <is>
          <t>12月第3週</t>
        </is>
      </c>
      <c r="P4" s="24" t="inlineStr">
        <is>
          <t>12月第4週</t>
        </is>
      </c>
      <c r="Q4" s="24" t="inlineStr">
        <is>
          <t>1月第1週</t>
        </is>
      </c>
      <c r="R4" s="24" t="inlineStr">
        <is>
          <t>1月第2週</t>
        </is>
      </c>
      <c r="S4" s="24" t="inlineStr">
        <is>
          <t>1月第3週</t>
        </is>
      </c>
      <c r="T4" s="24" t="inlineStr">
        <is>
          <t>1月第4週</t>
        </is>
      </c>
      <c r="U4" s="24" t="inlineStr">
        <is>
          <t>2月第1週</t>
        </is>
      </c>
      <c r="V4" s="24" t="inlineStr">
        <is>
          <t>2月第2週</t>
        </is>
      </c>
      <c r="W4" s="24" t="inlineStr">
        <is>
          <t>2月第3週</t>
        </is>
      </c>
      <c r="X4" s="24" t="inlineStr">
        <is>
          <t>2月第4週</t>
        </is>
      </c>
      <c r="Y4" s="24" t="inlineStr">
        <is>
          <t>3月第1週</t>
        </is>
      </c>
      <c r="Z4" s="24" t="inlineStr">
        <is>
          <t>3月第2週</t>
        </is>
      </c>
      <c r="AA4" s="24" t="inlineStr">
        <is>
          <t>3月第3週</t>
        </is>
      </c>
      <c r="AB4" s="24" t="inlineStr">
        <is>
          <t>3月第4週</t>
        </is>
      </c>
      <c r="AC4" s="24" t="inlineStr">
        <is>
          <t>3月第5週</t>
        </is>
      </c>
    </row>
    <row r="5">
      <c r="A5" s="24" t="n"/>
      <c r="B5" s="24" t="n"/>
      <c r="C5" s="24" t="n"/>
      <c r="D5" s="24" t="n"/>
      <c r="E5" s="24" t="n"/>
      <c r="F5" s="24" t="n"/>
      <c r="G5" s="24" t="n"/>
      <c r="H5" s="24" t="inlineStr">
        <is>
          <t>11/2～11/8</t>
        </is>
      </c>
      <c r="I5" s="24" t="inlineStr">
        <is>
          <t>11/9～11/15</t>
        </is>
      </c>
      <c r="J5" s="24" t="inlineStr">
        <is>
          <t>11/16～11/22</t>
        </is>
      </c>
      <c r="K5" s="24" t="inlineStr">
        <is>
          <t>11/23～11/29</t>
        </is>
      </c>
      <c r="L5" s="24" t="inlineStr">
        <is>
          <t>11/30～12/6</t>
        </is>
      </c>
      <c r="M5" s="24" t="inlineStr">
        <is>
          <t>12/7～12/13</t>
        </is>
      </c>
      <c r="N5" s="24" t="inlineStr">
        <is>
          <t>12/14～12/20</t>
        </is>
      </c>
      <c r="O5" s="24" t="inlineStr">
        <is>
          <t>12/21～12/27</t>
        </is>
      </c>
      <c r="P5" s="24" t="inlineStr">
        <is>
          <t>12/28～1/3</t>
        </is>
      </c>
      <c r="Q5" s="24" t="inlineStr">
        <is>
          <t>1/4～1/10</t>
        </is>
      </c>
      <c r="R5" s="24" t="inlineStr">
        <is>
          <t>1/11～1/17</t>
        </is>
      </c>
      <c r="S5" s="24" t="inlineStr">
        <is>
          <t>1/18～1/24</t>
        </is>
      </c>
      <c r="T5" s="24" t="inlineStr">
        <is>
          <t>1/25～1/31</t>
        </is>
      </c>
      <c r="U5" s="24" t="inlineStr">
        <is>
          <t>2/1～2/7</t>
        </is>
      </c>
      <c r="V5" s="24" t="inlineStr">
        <is>
          <t>2/8～2/14</t>
        </is>
      </c>
      <c r="W5" s="24" t="inlineStr">
        <is>
          <t>2/15～2/21</t>
        </is>
      </c>
      <c r="X5" s="24" t="inlineStr">
        <is>
          <t>2/22～2/28</t>
        </is>
      </c>
      <c r="Y5" s="24" t="inlineStr">
        <is>
          <t>3/1～3/7</t>
        </is>
      </c>
      <c r="Z5" s="24" t="inlineStr">
        <is>
          <t>3/8～3/14</t>
        </is>
      </c>
      <c r="AA5" s="24" t="inlineStr">
        <is>
          <t>3/15～3/21</t>
        </is>
      </c>
      <c r="AB5" s="24" t="inlineStr">
        <is>
          <t>3/22～3/28</t>
        </is>
      </c>
      <c r="AC5" s="24" t="inlineStr">
        <is>
          <t>3/29～4/4</t>
        </is>
      </c>
    </row>
    <row r="6">
      <c r="A6" s="24" t="n"/>
      <c r="B6" s="24" t="n"/>
      <c r="C6" s="24" t="inlineStr">
        <is>
          <t>稼働(1/0)</t>
        </is>
      </c>
      <c r="D6" s="24" t="n"/>
      <c r="E6" s="24" t="n"/>
      <c r="F6" s="24" t="n"/>
      <c r="G6" s="24" t="n"/>
      <c r="H6" s="25" t="n">
        <v>1</v>
      </c>
      <c r="I6" s="25" t="n">
        <v>1</v>
      </c>
      <c r="J6" s="25" t="n">
        <v>1</v>
      </c>
      <c r="K6" s="25" t="n">
        <v>1</v>
      </c>
      <c r="L6" s="25" t="n">
        <v>1</v>
      </c>
      <c r="M6" s="25" t="n">
        <v>1</v>
      </c>
      <c r="N6" s="25" t="n">
        <v>1</v>
      </c>
      <c r="O6" s="25" t="n">
        <v>1</v>
      </c>
      <c r="P6" s="25" t="n">
        <v>0</v>
      </c>
      <c r="Q6" s="25" t="n">
        <v>1</v>
      </c>
      <c r="R6" s="25" t="n">
        <v>1</v>
      </c>
      <c r="S6" s="25" t="n">
        <v>1</v>
      </c>
      <c r="T6" s="25" t="n">
        <v>1</v>
      </c>
      <c r="U6" s="25" t="n">
        <v>1</v>
      </c>
      <c r="V6" s="25" t="n">
        <v>1</v>
      </c>
      <c r="W6" s="25" t="n">
        <v>1</v>
      </c>
      <c r="X6" s="25" t="n">
        <v>1</v>
      </c>
      <c r="Y6" s="25" t="n">
        <v>1</v>
      </c>
      <c r="Z6" s="25" t="n">
        <v>1</v>
      </c>
      <c r="AA6" s="25" t="n">
        <v>1</v>
      </c>
      <c r="AB6" s="25" t="n">
        <v>1</v>
      </c>
      <c r="AC6" s="25" t="n">
        <v>1</v>
      </c>
    </row>
    <row r="7">
      <c r="A7" s="26" t="inlineStr"/>
      <c r="B7" s="26" t="inlineStr">
        <is>
          <t>工事費 合計</t>
        </is>
      </c>
      <c r="C7" s="27" t="inlineStr">
        <is>
          <t>工程</t>
        </is>
      </c>
      <c r="D7" s="28">
        <f>D10+D13+D28+D79</f>
        <v/>
      </c>
      <c r="E7" s="26">
        <f>COUNTIF(H8:AC8,"&gt;0")</f>
        <v/>
      </c>
      <c r="F7" s="29">
        <f>SUM(H8:AC8)</f>
        <v/>
      </c>
      <c r="G7" s="30">
        <f>IF(AND(ABS(F7-1)&lt;0.0001,ABS(AC9-1)&lt;0.0001),"OK",IF(E7=0,"工程未設定","NG"))</f>
        <v/>
      </c>
      <c r="H7" s="31">
        <f>IF(H8&gt;0,"■","")</f>
        <v/>
      </c>
      <c r="I7" s="31">
        <f>IF(I8&gt;0,"■","")</f>
        <v/>
      </c>
      <c r="J7" s="31">
        <f>IF(J8&gt;0,"■","")</f>
        <v/>
      </c>
      <c r="K7" s="31">
        <f>IF(K8&gt;0,"■","")</f>
        <v/>
      </c>
      <c r="L7" s="31">
        <f>IF(L8&gt;0,"■","")</f>
        <v/>
      </c>
      <c r="M7" s="31">
        <f>IF(M8&gt;0,"■","")</f>
        <v/>
      </c>
      <c r="N7" s="31">
        <f>IF(N8&gt;0,"■","")</f>
        <v/>
      </c>
      <c r="O7" s="31">
        <f>IF(O8&gt;0,"■","")</f>
        <v/>
      </c>
      <c r="P7" s="31">
        <f>IF(P8&gt;0,"■","")</f>
        <v/>
      </c>
      <c r="Q7" s="31">
        <f>IF(Q8&gt;0,"■","")</f>
        <v/>
      </c>
      <c r="R7" s="31">
        <f>IF(R8&gt;0,"■","")</f>
        <v/>
      </c>
      <c r="S7" s="31">
        <f>IF(S8&gt;0,"■","")</f>
        <v/>
      </c>
      <c r="T7" s="31">
        <f>IF(T8&gt;0,"■","")</f>
        <v/>
      </c>
      <c r="U7" s="31">
        <f>IF(U8&gt;0,"■","")</f>
        <v/>
      </c>
      <c r="V7" s="31">
        <f>IF(V8&gt;0,"■","")</f>
        <v/>
      </c>
      <c r="W7" s="31">
        <f>IF(W8&gt;0,"■","")</f>
        <v/>
      </c>
      <c r="X7" s="31">
        <f>IF(X8&gt;0,"■","")</f>
        <v/>
      </c>
      <c r="Y7" s="31">
        <f>IF(Y8&gt;0,"■","")</f>
        <v/>
      </c>
      <c r="Z7" s="31">
        <f>IF(Z8&gt;0,"■","")</f>
        <v/>
      </c>
      <c r="AA7" s="31">
        <f>IF(AA8&gt;0,"■","")</f>
        <v/>
      </c>
      <c r="AB7" s="31">
        <f>IF(AB8&gt;0,"■","")</f>
        <v/>
      </c>
      <c r="AC7" s="31">
        <f>IF(AC8&gt;0,"■","")</f>
        <v/>
      </c>
    </row>
    <row r="8">
      <c r="A8" s="32" t="n"/>
      <c r="B8" s="32" t="n"/>
      <c r="C8" s="33" t="inlineStr">
        <is>
          <t>今週出来高率</t>
        </is>
      </c>
      <c r="D8" s="34" t="n"/>
      <c r="E8" s="32" t="n"/>
      <c r="F8" s="35" t="n"/>
      <c r="G8" s="36" t="n"/>
      <c r="H8" s="37">
        <f>IF($D7=0,0,(H11*$D10+H14*$D13+H29*$D28+H80*$D79)/$D7)</f>
        <v/>
      </c>
      <c r="I8" s="37">
        <f>IF($D7=0,0,(I11*$D10+I14*$D13+I29*$D28+I80*$D79)/$D7)</f>
        <v/>
      </c>
      <c r="J8" s="37">
        <f>IF($D7=0,0,(J11*$D10+J14*$D13+J29*$D28+J80*$D79)/$D7)</f>
        <v/>
      </c>
      <c r="K8" s="37">
        <f>IF($D7=0,0,(K11*$D10+K14*$D13+K29*$D28+K80*$D79)/$D7)</f>
        <v/>
      </c>
      <c r="L8" s="37">
        <f>IF($D7=0,0,(L11*$D10+L14*$D13+L29*$D28+L80*$D79)/$D7)</f>
        <v/>
      </c>
      <c r="M8" s="37">
        <f>IF($D7=0,0,(M11*$D10+M14*$D13+M29*$D28+M80*$D79)/$D7)</f>
        <v/>
      </c>
      <c r="N8" s="37">
        <f>IF($D7=0,0,(N11*$D10+N14*$D13+N29*$D28+N80*$D79)/$D7)</f>
        <v/>
      </c>
      <c r="O8" s="37">
        <f>IF($D7=0,0,(O11*$D10+O14*$D13+O29*$D28+O80*$D79)/$D7)</f>
        <v/>
      </c>
      <c r="P8" s="37">
        <f>IF($D7=0,0,(P11*$D10+P14*$D13+P29*$D28+P80*$D79)/$D7)</f>
        <v/>
      </c>
      <c r="Q8" s="37">
        <f>IF($D7=0,0,(Q11*$D10+Q14*$D13+Q29*$D28+Q80*$D79)/$D7)</f>
        <v/>
      </c>
      <c r="R8" s="37">
        <f>IF($D7=0,0,(R11*$D10+R14*$D13+R29*$D28+R80*$D79)/$D7)</f>
        <v/>
      </c>
      <c r="S8" s="37">
        <f>IF($D7=0,0,(S11*$D10+S14*$D13+S29*$D28+S80*$D79)/$D7)</f>
        <v/>
      </c>
      <c r="T8" s="37">
        <f>IF($D7=0,0,(T11*$D10+T14*$D13+T29*$D28+T80*$D79)/$D7)</f>
        <v/>
      </c>
      <c r="U8" s="37">
        <f>IF($D7=0,0,(U11*$D10+U14*$D13+U29*$D28+U80*$D79)/$D7)</f>
        <v/>
      </c>
      <c r="V8" s="37">
        <f>IF($D7=0,0,(V11*$D10+V14*$D13+V29*$D28+V80*$D79)/$D7)</f>
        <v/>
      </c>
      <c r="W8" s="37">
        <f>IF($D7=0,0,(W11*$D10+W14*$D13+W29*$D28+W80*$D79)/$D7)</f>
        <v/>
      </c>
      <c r="X8" s="37">
        <f>IF($D7=0,0,(X11*$D10+X14*$D13+X29*$D28+X80*$D79)/$D7)</f>
        <v/>
      </c>
      <c r="Y8" s="37">
        <f>IF($D7=0,0,(Y11*$D10+Y14*$D13+Y29*$D28+Y80*$D79)/$D7)</f>
        <v/>
      </c>
      <c r="Z8" s="37">
        <f>IF($D7=0,0,(Z11*$D10+Z14*$D13+Z29*$D28+Z80*$D79)/$D7)</f>
        <v/>
      </c>
      <c r="AA8" s="37">
        <f>IF($D7=0,0,(AA11*$D10+AA14*$D13+AA29*$D28+AA80*$D79)/$D7)</f>
        <v/>
      </c>
      <c r="AB8" s="37">
        <f>IF($D7=0,0,(AB11*$D10+AB14*$D13+AB29*$D28+AB80*$D79)/$D7)</f>
        <v/>
      </c>
      <c r="AC8" s="37">
        <f>IF($D7=0,0,(AC11*$D10+AC14*$D13+AC29*$D28+AC80*$D79)/$D7)</f>
        <v/>
      </c>
    </row>
    <row r="9">
      <c r="A9" s="32" t="n"/>
      <c r="B9" s="32" t="n"/>
      <c r="C9" s="33" t="inlineStr">
        <is>
          <t>累計出来高率</t>
        </is>
      </c>
      <c r="D9" s="34" t="n"/>
      <c r="E9" s="32" t="n"/>
      <c r="F9" s="35" t="n"/>
      <c r="G9" s="36" t="n"/>
      <c r="H9" s="37">
        <f>H8</f>
        <v/>
      </c>
      <c r="I9" s="37">
        <f>H9+I8</f>
        <v/>
      </c>
      <c r="J9" s="37">
        <f>I9+J8</f>
        <v/>
      </c>
      <c r="K9" s="37">
        <f>J9+K8</f>
        <v/>
      </c>
      <c r="L9" s="37">
        <f>K9+L8</f>
        <v/>
      </c>
      <c r="M9" s="37">
        <f>L9+M8</f>
        <v/>
      </c>
      <c r="N9" s="37">
        <f>M9+N8</f>
        <v/>
      </c>
      <c r="O9" s="37">
        <f>N9+O8</f>
        <v/>
      </c>
      <c r="P9" s="37">
        <f>O9+P8</f>
        <v/>
      </c>
      <c r="Q9" s="37">
        <f>P9+Q8</f>
        <v/>
      </c>
      <c r="R9" s="37">
        <f>Q9+R8</f>
        <v/>
      </c>
      <c r="S9" s="37">
        <f>R9+S8</f>
        <v/>
      </c>
      <c r="T9" s="37">
        <f>S9+T8</f>
        <v/>
      </c>
      <c r="U9" s="37">
        <f>T9+U8</f>
        <v/>
      </c>
      <c r="V9" s="37">
        <f>U9+V8</f>
        <v/>
      </c>
      <c r="W9" s="37">
        <f>V9+W8</f>
        <v/>
      </c>
      <c r="X9" s="37">
        <f>W9+X8</f>
        <v/>
      </c>
      <c r="Y9" s="37">
        <f>X9+Y8</f>
        <v/>
      </c>
      <c r="Z9" s="37">
        <f>Y9+Z8</f>
        <v/>
      </c>
      <c r="AA9" s="37">
        <f>Z9+AA8</f>
        <v/>
      </c>
      <c r="AB9" s="37">
        <f>AA9+AB8</f>
        <v/>
      </c>
      <c r="AC9" s="37">
        <f>AB9+AC8</f>
        <v/>
      </c>
    </row>
    <row r="10">
      <c r="A10" s="38" t="inlineStr">
        <is>
          <t>a)</t>
        </is>
      </c>
      <c r="B10" s="39" t="inlineStr">
        <is>
          <t>共通仮設工事</t>
        </is>
      </c>
      <c r="C10" s="40" t="inlineStr">
        <is>
          <t>工程</t>
        </is>
      </c>
      <c r="D10" s="41">
        <f>'金額リスト'!C6</f>
        <v/>
      </c>
      <c r="E10" s="38">
        <f>SUMPRODUCT((H10:AC10&lt;&gt;"")*(H$6:AC$6=1))</f>
        <v/>
      </c>
      <c r="F10" s="42">
        <f>SUM(H11:AC11)</f>
        <v/>
      </c>
      <c r="G10" s="43">
        <f>IF(AND(ABS(F10-1)&lt;0.0001,ABS(AC12-1)&lt;0.0001),"OK",IF(E10=0,"工程未設定","NG"))</f>
        <v/>
      </c>
      <c r="H10" s="44" t="n"/>
      <c r="I10" s="44" t="n">
        <v>1</v>
      </c>
      <c r="J10" s="44" t="n">
        <v>1</v>
      </c>
      <c r="K10" s="44" t="n">
        <v>1</v>
      </c>
      <c r="L10" s="44" t="n">
        <v>1</v>
      </c>
      <c r="M10" s="44" t="n">
        <v>1</v>
      </c>
      <c r="N10" s="44" t="n">
        <v>1</v>
      </c>
      <c r="O10" s="44" t="n">
        <v>1</v>
      </c>
      <c r="P10" s="44" t="n">
        <v>1</v>
      </c>
      <c r="Q10" s="44" t="n">
        <v>1</v>
      </c>
      <c r="R10" s="44" t="n">
        <v>1</v>
      </c>
      <c r="S10" s="44" t="n">
        <v>1</v>
      </c>
      <c r="T10" s="44" t="n">
        <v>1</v>
      </c>
      <c r="U10" s="44" t="n">
        <v>1</v>
      </c>
      <c r="V10" s="44" t="n">
        <v>1</v>
      </c>
      <c r="W10" s="44" t="n">
        <v>1</v>
      </c>
      <c r="X10" s="44" t="n">
        <v>1</v>
      </c>
      <c r="Y10" s="44" t="n">
        <v>1</v>
      </c>
      <c r="Z10" s="44" t="n">
        <v>1</v>
      </c>
      <c r="AA10" s="44" t="n">
        <v>1</v>
      </c>
      <c r="AB10" s="44" t="n">
        <v>1</v>
      </c>
      <c r="AC10" s="44" t="n">
        <v>1</v>
      </c>
    </row>
    <row r="11">
      <c r="A11" s="45" t="n"/>
      <c r="B11" s="46" t="n"/>
      <c r="C11" s="47" t="inlineStr">
        <is>
          <t>今週出来高率</t>
        </is>
      </c>
      <c r="D11" s="48" t="n"/>
      <c r="E11" s="45" t="n"/>
      <c r="F11" s="49" t="n"/>
      <c r="G11" s="50" t="n"/>
      <c r="H11" s="37">
        <f>IF(OR($E10=0,H10="",H$6&lt;&gt;1),0,1/$E10)</f>
        <v/>
      </c>
      <c r="I11" s="37">
        <f>IF(OR($E10=0,I10="",I$6&lt;&gt;1),0,1/$E10)</f>
        <v/>
      </c>
      <c r="J11" s="37">
        <f>IF(OR($E10=0,J10="",J$6&lt;&gt;1),0,1/$E10)</f>
        <v/>
      </c>
      <c r="K11" s="37">
        <f>IF(OR($E10=0,K10="",K$6&lt;&gt;1),0,1/$E10)</f>
        <v/>
      </c>
      <c r="L11" s="37">
        <f>IF(OR($E10=0,L10="",L$6&lt;&gt;1),0,1/$E10)</f>
        <v/>
      </c>
      <c r="M11" s="37">
        <f>IF(OR($E10=0,M10="",M$6&lt;&gt;1),0,1/$E10)</f>
        <v/>
      </c>
      <c r="N11" s="37">
        <f>IF(OR($E10=0,N10="",N$6&lt;&gt;1),0,1/$E10)</f>
        <v/>
      </c>
      <c r="O11" s="37">
        <f>IF(OR($E10=0,O10="",O$6&lt;&gt;1),0,1/$E10)</f>
        <v/>
      </c>
      <c r="P11" s="37">
        <f>IF(OR($E10=0,P10="",P$6&lt;&gt;1),0,1/$E10)</f>
        <v/>
      </c>
      <c r="Q11" s="37">
        <f>IF(OR($E10=0,Q10="",Q$6&lt;&gt;1),0,1/$E10)</f>
        <v/>
      </c>
      <c r="R11" s="37">
        <f>IF(OR($E10=0,R10="",R$6&lt;&gt;1),0,1/$E10)</f>
        <v/>
      </c>
      <c r="S11" s="37">
        <f>IF(OR($E10=0,S10="",S$6&lt;&gt;1),0,1/$E10)</f>
        <v/>
      </c>
      <c r="T11" s="37">
        <f>IF(OR($E10=0,T10="",T$6&lt;&gt;1),0,1/$E10)</f>
        <v/>
      </c>
      <c r="U11" s="37">
        <f>IF(OR($E10=0,U10="",U$6&lt;&gt;1),0,1/$E10)</f>
        <v/>
      </c>
      <c r="V11" s="37">
        <f>IF(OR($E10=0,V10="",V$6&lt;&gt;1),0,1/$E10)</f>
        <v/>
      </c>
      <c r="W11" s="37">
        <f>IF(OR($E10=0,W10="",W$6&lt;&gt;1),0,1/$E10)</f>
        <v/>
      </c>
      <c r="X11" s="37">
        <f>IF(OR($E10=0,X10="",X$6&lt;&gt;1),0,1/$E10)</f>
        <v/>
      </c>
      <c r="Y11" s="37">
        <f>IF(OR($E10=0,Y10="",Y$6&lt;&gt;1),0,1/$E10)</f>
        <v/>
      </c>
      <c r="Z11" s="37">
        <f>IF(OR($E10=0,Z10="",Z$6&lt;&gt;1),0,1/$E10)</f>
        <v/>
      </c>
      <c r="AA11" s="37">
        <f>IF(OR($E10=0,AA10="",AA$6&lt;&gt;1),0,1/$E10)</f>
        <v/>
      </c>
      <c r="AB11" s="37">
        <f>IF(OR($E10=0,AB10="",AB$6&lt;&gt;1),0,1/$E10)</f>
        <v/>
      </c>
      <c r="AC11" s="37">
        <f>IF(OR($E10=0,AC10="",AC$6&lt;&gt;1),0,1/$E10)</f>
        <v/>
      </c>
    </row>
    <row r="12">
      <c r="A12" s="45" t="n"/>
      <c r="B12" s="46" t="n"/>
      <c r="C12" s="47" t="inlineStr">
        <is>
          <t>累計出来高率</t>
        </is>
      </c>
      <c r="D12" s="48" t="n"/>
      <c r="E12" s="45" t="n"/>
      <c r="F12" s="49" t="n"/>
      <c r="G12" s="50" t="n"/>
      <c r="H12" s="37">
        <f>H11</f>
        <v/>
      </c>
      <c r="I12" s="37">
        <f>H12+I11</f>
        <v/>
      </c>
      <c r="J12" s="37">
        <f>I12+J11</f>
        <v/>
      </c>
      <c r="K12" s="37">
        <f>J12+K11</f>
        <v/>
      </c>
      <c r="L12" s="37">
        <f>K12+L11</f>
        <v/>
      </c>
      <c r="M12" s="37">
        <f>L12+M11</f>
        <v/>
      </c>
      <c r="N12" s="37">
        <f>M12+N11</f>
        <v/>
      </c>
      <c r="O12" s="37">
        <f>N12+O11</f>
        <v/>
      </c>
      <c r="P12" s="37">
        <f>O12+P11</f>
        <v/>
      </c>
      <c r="Q12" s="37">
        <f>P12+Q11</f>
        <v/>
      </c>
      <c r="R12" s="37">
        <f>Q12+R11</f>
        <v/>
      </c>
      <c r="S12" s="37">
        <f>R12+S11</f>
        <v/>
      </c>
      <c r="T12" s="37">
        <f>S12+T11</f>
        <v/>
      </c>
      <c r="U12" s="37">
        <f>T12+U11</f>
        <v/>
      </c>
      <c r="V12" s="37">
        <f>U12+V11</f>
        <v/>
      </c>
      <c r="W12" s="37">
        <f>V12+W11</f>
        <v/>
      </c>
      <c r="X12" s="37">
        <f>W12+X11</f>
        <v/>
      </c>
      <c r="Y12" s="37">
        <f>X12+Y11</f>
        <v/>
      </c>
      <c r="Z12" s="37">
        <f>Y12+Z11</f>
        <v/>
      </c>
      <c r="AA12" s="37">
        <f>Z12+AA11</f>
        <v/>
      </c>
      <c r="AB12" s="37">
        <f>AA12+AB11</f>
        <v/>
      </c>
      <c r="AC12" s="37">
        <f>AB12+AC11</f>
        <v/>
      </c>
    </row>
    <row r="13">
      <c r="A13" s="38" t="inlineStr">
        <is>
          <t>b)</t>
        </is>
      </c>
      <c r="B13" s="39" t="inlineStr">
        <is>
          <t>解体撤去工事</t>
        </is>
      </c>
      <c r="C13" s="40" t="inlineStr">
        <is>
          <t>工程</t>
        </is>
      </c>
      <c r="D13" s="51">
        <f>D16+D19+D22+D25</f>
        <v/>
      </c>
      <c r="E13" s="38">
        <f>COUNTIF(H14:AC14,"&gt;0")</f>
        <v/>
      </c>
      <c r="F13" s="42">
        <f>SUM(H14:AC14)</f>
        <v/>
      </c>
      <c r="G13" s="43">
        <f>IF(AND(ABS(F13-1)&lt;0.0001,ABS(AC15-1)&lt;0.0001),"OK",IF(E13=0,"工程未設定","NG"))</f>
        <v/>
      </c>
      <c r="H13" s="31">
        <f>IF(H14&gt;0,"■","")</f>
        <v/>
      </c>
      <c r="I13" s="31">
        <f>IF(I14&gt;0,"■","")</f>
        <v/>
      </c>
      <c r="J13" s="31">
        <f>IF(J14&gt;0,"■","")</f>
        <v/>
      </c>
      <c r="K13" s="31">
        <f>IF(K14&gt;0,"■","")</f>
        <v/>
      </c>
      <c r="L13" s="31">
        <f>IF(L14&gt;0,"■","")</f>
        <v/>
      </c>
      <c r="M13" s="31">
        <f>IF(M14&gt;0,"■","")</f>
        <v/>
      </c>
      <c r="N13" s="31">
        <f>IF(N14&gt;0,"■","")</f>
        <v/>
      </c>
      <c r="O13" s="31">
        <f>IF(O14&gt;0,"■","")</f>
        <v/>
      </c>
      <c r="P13" s="31">
        <f>IF(P14&gt;0,"■","")</f>
        <v/>
      </c>
      <c r="Q13" s="31">
        <f>IF(Q14&gt;0,"■","")</f>
        <v/>
      </c>
      <c r="R13" s="31">
        <f>IF(R14&gt;0,"■","")</f>
        <v/>
      </c>
      <c r="S13" s="31">
        <f>IF(S14&gt;0,"■","")</f>
        <v/>
      </c>
      <c r="T13" s="31">
        <f>IF(T14&gt;0,"■","")</f>
        <v/>
      </c>
      <c r="U13" s="31">
        <f>IF(U14&gt;0,"■","")</f>
        <v/>
      </c>
      <c r="V13" s="31">
        <f>IF(V14&gt;0,"■","")</f>
        <v/>
      </c>
      <c r="W13" s="31">
        <f>IF(W14&gt;0,"■","")</f>
        <v/>
      </c>
      <c r="X13" s="31">
        <f>IF(X14&gt;0,"■","")</f>
        <v/>
      </c>
      <c r="Y13" s="31">
        <f>IF(Y14&gt;0,"■","")</f>
        <v/>
      </c>
      <c r="Z13" s="31">
        <f>IF(Z14&gt;0,"■","")</f>
        <v/>
      </c>
      <c r="AA13" s="31">
        <f>IF(AA14&gt;0,"■","")</f>
        <v/>
      </c>
      <c r="AB13" s="31">
        <f>IF(AB14&gt;0,"■","")</f>
        <v/>
      </c>
      <c r="AC13" s="31">
        <f>IF(AC14&gt;0,"■","")</f>
        <v/>
      </c>
    </row>
    <row r="14">
      <c r="A14" s="45" t="n"/>
      <c r="B14" s="46" t="n"/>
      <c r="C14" s="47" t="inlineStr">
        <is>
          <t>今週出来高率</t>
        </is>
      </c>
      <c r="D14" s="52" t="n"/>
      <c r="E14" s="45" t="n"/>
      <c r="F14" s="49" t="n"/>
      <c r="G14" s="50" t="n"/>
      <c r="H14" s="37">
        <f>IF($D13=0,0,(H17*$D16+H20*$D19+H23*$D22+H26*$D25)/$D13)</f>
        <v/>
      </c>
      <c r="I14" s="37">
        <f>IF($D13=0,0,(I17*$D16+I20*$D19+I23*$D22+I26*$D25)/$D13)</f>
        <v/>
      </c>
      <c r="J14" s="37">
        <f>IF($D13=0,0,(J17*$D16+J20*$D19+J23*$D22+J26*$D25)/$D13)</f>
        <v/>
      </c>
      <c r="K14" s="37">
        <f>IF($D13=0,0,(K17*$D16+K20*$D19+K23*$D22+K26*$D25)/$D13)</f>
        <v/>
      </c>
      <c r="L14" s="37">
        <f>IF($D13=0,0,(L17*$D16+L20*$D19+L23*$D22+L26*$D25)/$D13)</f>
        <v/>
      </c>
      <c r="M14" s="37">
        <f>IF($D13=0,0,(M17*$D16+M20*$D19+M23*$D22+M26*$D25)/$D13)</f>
        <v/>
      </c>
      <c r="N14" s="37">
        <f>IF($D13=0,0,(N17*$D16+N20*$D19+N23*$D22+N26*$D25)/$D13)</f>
        <v/>
      </c>
      <c r="O14" s="37">
        <f>IF($D13=0,0,(O17*$D16+O20*$D19+O23*$D22+O26*$D25)/$D13)</f>
        <v/>
      </c>
      <c r="P14" s="37">
        <f>IF($D13=0,0,(P17*$D16+P20*$D19+P23*$D22+P26*$D25)/$D13)</f>
        <v/>
      </c>
      <c r="Q14" s="37">
        <f>IF($D13=0,0,(Q17*$D16+Q20*$D19+Q23*$D22+Q26*$D25)/$D13)</f>
        <v/>
      </c>
      <c r="R14" s="37">
        <f>IF($D13=0,0,(R17*$D16+R20*$D19+R23*$D22+R26*$D25)/$D13)</f>
        <v/>
      </c>
      <c r="S14" s="37">
        <f>IF($D13=0,0,(S17*$D16+S20*$D19+S23*$D22+S26*$D25)/$D13)</f>
        <v/>
      </c>
      <c r="T14" s="37">
        <f>IF($D13=0,0,(T17*$D16+T20*$D19+T23*$D22+T26*$D25)/$D13)</f>
        <v/>
      </c>
      <c r="U14" s="37">
        <f>IF($D13=0,0,(U17*$D16+U20*$D19+U23*$D22+U26*$D25)/$D13)</f>
        <v/>
      </c>
      <c r="V14" s="37">
        <f>IF($D13=0,0,(V17*$D16+V20*$D19+V23*$D22+V26*$D25)/$D13)</f>
        <v/>
      </c>
      <c r="W14" s="37">
        <f>IF($D13=0,0,(W17*$D16+W20*$D19+W23*$D22+W26*$D25)/$D13)</f>
        <v/>
      </c>
      <c r="X14" s="37">
        <f>IF($D13=0,0,(X17*$D16+X20*$D19+X23*$D22+X26*$D25)/$D13)</f>
        <v/>
      </c>
      <c r="Y14" s="37">
        <f>IF($D13=0,0,(Y17*$D16+Y20*$D19+Y23*$D22+Y26*$D25)/$D13)</f>
        <v/>
      </c>
      <c r="Z14" s="37">
        <f>IF($D13=0,0,(Z17*$D16+Z20*$D19+Z23*$D22+Z26*$D25)/$D13)</f>
        <v/>
      </c>
      <c r="AA14" s="37">
        <f>IF($D13=0,0,(AA17*$D16+AA20*$D19+AA23*$D22+AA26*$D25)/$D13)</f>
        <v/>
      </c>
      <c r="AB14" s="37">
        <f>IF($D13=0,0,(AB17*$D16+AB20*$D19+AB23*$D22+AB26*$D25)/$D13)</f>
        <v/>
      </c>
      <c r="AC14" s="37">
        <f>IF($D13=0,0,(AC17*$D16+AC20*$D19+AC23*$D22+AC26*$D25)/$D13)</f>
        <v/>
      </c>
    </row>
    <row r="15">
      <c r="A15" s="45" t="n"/>
      <c r="B15" s="46" t="n"/>
      <c r="C15" s="47" t="inlineStr">
        <is>
          <t>累計出来高率</t>
        </is>
      </c>
      <c r="D15" s="52" t="n"/>
      <c r="E15" s="45" t="n"/>
      <c r="F15" s="49" t="n"/>
      <c r="G15" s="50" t="n"/>
      <c r="H15" s="37">
        <f>H14</f>
        <v/>
      </c>
      <c r="I15" s="37">
        <f>H15+I14</f>
        <v/>
      </c>
      <c r="J15" s="37">
        <f>I15+J14</f>
        <v/>
      </c>
      <c r="K15" s="37">
        <f>J15+K14</f>
        <v/>
      </c>
      <c r="L15" s="37">
        <f>K15+L14</f>
        <v/>
      </c>
      <c r="M15" s="37">
        <f>L15+M14</f>
        <v/>
      </c>
      <c r="N15" s="37">
        <f>M15+N14</f>
        <v/>
      </c>
      <c r="O15" s="37">
        <f>N15+O14</f>
        <v/>
      </c>
      <c r="P15" s="37">
        <f>O15+P14</f>
        <v/>
      </c>
      <c r="Q15" s="37">
        <f>P15+Q14</f>
        <v/>
      </c>
      <c r="R15" s="37">
        <f>Q15+R14</f>
        <v/>
      </c>
      <c r="S15" s="37">
        <f>R15+S14</f>
        <v/>
      </c>
      <c r="T15" s="37">
        <f>S15+T14</f>
        <v/>
      </c>
      <c r="U15" s="37">
        <f>T15+U14</f>
        <v/>
      </c>
      <c r="V15" s="37">
        <f>U15+V14</f>
        <v/>
      </c>
      <c r="W15" s="37">
        <f>V15+W14</f>
        <v/>
      </c>
      <c r="X15" s="37">
        <f>W15+X14</f>
        <v/>
      </c>
      <c r="Y15" s="37">
        <f>X15+Y14</f>
        <v/>
      </c>
      <c r="Z15" s="37">
        <f>Y15+Z14</f>
        <v/>
      </c>
      <c r="AA15" s="37">
        <f>Z15+AA14</f>
        <v/>
      </c>
      <c r="AB15" s="37">
        <f>AA15+AB14</f>
        <v/>
      </c>
      <c r="AC15" s="37">
        <f>AB15+AC14</f>
        <v/>
      </c>
    </row>
    <row r="16">
      <c r="A16" s="53" t="inlineStr">
        <is>
          <t>b)-1</t>
        </is>
      </c>
      <c r="B16" s="54" t="inlineStr">
        <is>
          <t>建築工事</t>
        </is>
      </c>
      <c r="C16" s="55" t="inlineStr">
        <is>
          <t>工程</t>
        </is>
      </c>
      <c r="D16" s="56">
        <f>'金額リスト'!C8</f>
        <v/>
      </c>
      <c r="E16" s="53">
        <f>SUMPRODUCT((H16:AC16&lt;&gt;"")*(H$6:AC$6=1))</f>
        <v/>
      </c>
      <c r="F16" s="57">
        <f>SUM(H17:AC17)</f>
        <v/>
      </c>
      <c r="G16" s="58">
        <f>IF(AND(ABS(F16-1)&lt;0.0001,ABS(AC18-1)&lt;0.0001),"OK",IF(E16=0,"工程未設定","NG"))</f>
        <v/>
      </c>
      <c r="H16" s="59" t="n"/>
      <c r="I16" s="59" t="n">
        <v>1</v>
      </c>
      <c r="J16" s="59" t="n">
        <v>1</v>
      </c>
      <c r="K16" s="59" t="n">
        <v>1</v>
      </c>
      <c r="L16" s="59" t="n"/>
      <c r="M16" s="59" t="n">
        <v>1</v>
      </c>
      <c r="N16" s="59" t="n"/>
      <c r="O16" s="59" t="n">
        <v>1</v>
      </c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  <c r="Z16" s="59" t="n"/>
      <c r="AA16" s="59" t="n"/>
      <c r="AB16" s="59" t="n"/>
      <c r="AC16" s="59" t="n"/>
    </row>
    <row r="17">
      <c r="A17" s="60" t="n"/>
      <c r="B17" s="61" t="n"/>
      <c r="C17" s="62" t="inlineStr">
        <is>
          <t>今週出来高率</t>
        </is>
      </c>
      <c r="D17" s="63" t="n"/>
      <c r="E17" s="60" t="n"/>
      <c r="F17" s="64" t="n"/>
      <c r="G17" s="65" t="n"/>
      <c r="H17" s="66">
        <f>IF(OR($E16=0,H16="",H$6&lt;&gt;1),0,1/$E16)</f>
        <v/>
      </c>
      <c r="I17" s="66">
        <f>IF(OR($E16=0,I16="",I$6&lt;&gt;1),0,1/$E16)</f>
        <v/>
      </c>
      <c r="J17" s="66">
        <f>IF(OR($E16=0,J16="",J$6&lt;&gt;1),0,1/$E16)</f>
        <v/>
      </c>
      <c r="K17" s="66">
        <f>IF(OR($E16=0,K16="",K$6&lt;&gt;1),0,1/$E16)</f>
        <v/>
      </c>
      <c r="L17" s="66">
        <f>IF(OR($E16=0,L16="",L$6&lt;&gt;1),0,1/$E16)</f>
        <v/>
      </c>
      <c r="M17" s="66">
        <f>IF(OR($E16=0,M16="",M$6&lt;&gt;1),0,1/$E16)</f>
        <v/>
      </c>
      <c r="N17" s="66">
        <f>IF(OR($E16=0,N16="",N$6&lt;&gt;1),0,1/$E16)</f>
        <v/>
      </c>
      <c r="O17" s="66">
        <f>IF(OR($E16=0,O16="",O$6&lt;&gt;1),0,1/$E16)</f>
        <v/>
      </c>
      <c r="P17" s="66">
        <f>IF(OR($E16=0,P16="",P$6&lt;&gt;1),0,1/$E16)</f>
        <v/>
      </c>
      <c r="Q17" s="66">
        <f>IF(OR($E16=0,Q16="",Q$6&lt;&gt;1),0,1/$E16)</f>
        <v/>
      </c>
      <c r="R17" s="66">
        <f>IF(OR($E16=0,R16="",R$6&lt;&gt;1),0,1/$E16)</f>
        <v/>
      </c>
      <c r="S17" s="66">
        <f>IF(OR($E16=0,S16="",S$6&lt;&gt;1),0,1/$E16)</f>
        <v/>
      </c>
      <c r="T17" s="66">
        <f>IF(OR($E16=0,T16="",T$6&lt;&gt;1),0,1/$E16)</f>
        <v/>
      </c>
      <c r="U17" s="66">
        <f>IF(OR($E16=0,U16="",U$6&lt;&gt;1),0,1/$E16)</f>
        <v/>
      </c>
      <c r="V17" s="66">
        <f>IF(OR($E16=0,V16="",V$6&lt;&gt;1),0,1/$E16)</f>
        <v/>
      </c>
      <c r="W17" s="66">
        <f>IF(OR($E16=0,W16="",W$6&lt;&gt;1),0,1/$E16)</f>
        <v/>
      </c>
      <c r="X17" s="66">
        <f>IF(OR($E16=0,X16="",X$6&lt;&gt;1),0,1/$E16)</f>
        <v/>
      </c>
      <c r="Y17" s="66">
        <f>IF(OR($E16=0,Y16="",Y$6&lt;&gt;1),0,1/$E16)</f>
        <v/>
      </c>
      <c r="Z17" s="66">
        <f>IF(OR($E16=0,Z16="",Z$6&lt;&gt;1),0,1/$E16)</f>
        <v/>
      </c>
      <c r="AA17" s="66">
        <f>IF(OR($E16=0,AA16="",AA$6&lt;&gt;1),0,1/$E16)</f>
        <v/>
      </c>
      <c r="AB17" s="66">
        <f>IF(OR($E16=0,AB16="",AB$6&lt;&gt;1),0,1/$E16)</f>
        <v/>
      </c>
      <c r="AC17" s="66">
        <f>IF(OR($E16=0,AC16="",AC$6&lt;&gt;1),0,1/$E16)</f>
        <v/>
      </c>
    </row>
    <row r="18">
      <c r="A18" s="60" t="n"/>
      <c r="B18" s="61" t="n"/>
      <c r="C18" s="62" t="inlineStr">
        <is>
          <t>累計出来高率</t>
        </is>
      </c>
      <c r="D18" s="63" t="n"/>
      <c r="E18" s="60" t="n"/>
      <c r="F18" s="64" t="n"/>
      <c r="G18" s="65" t="n"/>
      <c r="H18" s="66">
        <f>H17</f>
        <v/>
      </c>
      <c r="I18" s="66">
        <f>H18+I17</f>
        <v/>
      </c>
      <c r="J18" s="66">
        <f>I18+J17</f>
        <v/>
      </c>
      <c r="K18" s="66">
        <f>J18+K17</f>
        <v/>
      </c>
      <c r="L18" s="66">
        <f>K18+L17</f>
        <v/>
      </c>
      <c r="M18" s="66">
        <f>L18+M17</f>
        <v/>
      </c>
      <c r="N18" s="66">
        <f>M18+N17</f>
        <v/>
      </c>
      <c r="O18" s="66">
        <f>N18+O17</f>
        <v/>
      </c>
      <c r="P18" s="66">
        <f>O18+P17</f>
        <v/>
      </c>
      <c r="Q18" s="66">
        <f>P18+Q17</f>
        <v/>
      </c>
      <c r="R18" s="66">
        <f>Q18+R17</f>
        <v/>
      </c>
      <c r="S18" s="66">
        <f>R18+S17</f>
        <v/>
      </c>
      <c r="T18" s="66">
        <f>S18+T17</f>
        <v/>
      </c>
      <c r="U18" s="66">
        <f>T18+U17</f>
        <v/>
      </c>
      <c r="V18" s="66">
        <f>U18+V17</f>
        <v/>
      </c>
      <c r="W18" s="66">
        <f>V18+W17</f>
        <v/>
      </c>
      <c r="X18" s="66">
        <f>W18+X17</f>
        <v/>
      </c>
      <c r="Y18" s="66">
        <f>X18+Y17</f>
        <v/>
      </c>
      <c r="Z18" s="66">
        <f>Y18+Z17</f>
        <v/>
      </c>
      <c r="AA18" s="66">
        <f>Z18+AA17</f>
        <v/>
      </c>
      <c r="AB18" s="66">
        <f>AA18+AB17</f>
        <v/>
      </c>
      <c r="AC18" s="66">
        <f>AB18+AC17</f>
        <v/>
      </c>
    </row>
    <row r="19">
      <c r="A19" s="53" t="inlineStr"/>
      <c r="B19" s="54" t="inlineStr">
        <is>
          <t>電気設備工事</t>
        </is>
      </c>
      <c r="C19" s="55" t="inlineStr">
        <is>
          <t>工程</t>
        </is>
      </c>
      <c r="D19" s="56">
        <f>'金額リスト'!C10</f>
        <v/>
      </c>
      <c r="E19" s="53">
        <f>SUMPRODUCT((H19:AC19&lt;&gt;"")*(H$6:AC$6=1))</f>
        <v/>
      </c>
      <c r="F19" s="57">
        <f>SUM(H20:AC20)</f>
        <v/>
      </c>
      <c r="G19" s="58">
        <f>IF(AND(ABS(F19-1)&lt;0.0001,ABS(AC21-1)&lt;0.0001),"OK",IF(E19=0,"工程未設定","NG"))</f>
        <v/>
      </c>
      <c r="H19" s="59" t="n"/>
      <c r="I19" s="59" t="n">
        <v>1</v>
      </c>
      <c r="J19" s="59" t="n"/>
      <c r="K19" s="59" t="n"/>
      <c r="L19" s="59" t="n">
        <v>1</v>
      </c>
      <c r="M19" s="59" t="n">
        <v>1</v>
      </c>
      <c r="N19" s="59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  <c r="Z19" s="59" t="n"/>
      <c r="AA19" s="59" t="n"/>
      <c r="AB19" s="59" t="n"/>
      <c r="AC19" s="59" t="n"/>
    </row>
    <row r="20">
      <c r="A20" s="60" t="n"/>
      <c r="B20" s="61" t="n"/>
      <c r="C20" s="62" t="inlineStr">
        <is>
          <t>今週出来高率</t>
        </is>
      </c>
      <c r="D20" s="63" t="n"/>
      <c r="E20" s="60" t="n"/>
      <c r="F20" s="64" t="n"/>
      <c r="G20" s="65" t="n"/>
      <c r="H20" s="66">
        <f>IF(OR($E19=0,H19="",H$6&lt;&gt;1),0,1/$E19)</f>
        <v/>
      </c>
      <c r="I20" s="66">
        <f>IF(OR($E19=0,I19="",I$6&lt;&gt;1),0,1/$E19)</f>
        <v/>
      </c>
      <c r="J20" s="66">
        <f>IF(OR($E19=0,J19="",J$6&lt;&gt;1),0,1/$E19)</f>
        <v/>
      </c>
      <c r="K20" s="66">
        <f>IF(OR($E19=0,K19="",K$6&lt;&gt;1),0,1/$E19)</f>
        <v/>
      </c>
      <c r="L20" s="66">
        <f>IF(OR($E19=0,L19="",L$6&lt;&gt;1),0,1/$E19)</f>
        <v/>
      </c>
      <c r="M20" s="66">
        <f>IF(OR($E19=0,M19="",M$6&lt;&gt;1),0,1/$E19)</f>
        <v/>
      </c>
      <c r="N20" s="66">
        <f>IF(OR($E19=0,N19="",N$6&lt;&gt;1),0,1/$E19)</f>
        <v/>
      </c>
      <c r="O20" s="66">
        <f>IF(OR($E19=0,O19="",O$6&lt;&gt;1),0,1/$E19)</f>
        <v/>
      </c>
      <c r="P20" s="66">
        <f>IF(OR($E19=0,P19="",P$6&lt;&gt;1),0,1/$E19)</f>
        <v/>
      </c>
      <c r="Q20" s="66">
        <f>IF(OR($E19=0,Q19="",Q$6&lt;&gt;1),0,1/$E19)</f>
        <v/>
      </c>
      <c r="R20" s="66">
        <f>IF(OR($E19=0,R19="",R$6&lt;&gt;1),0,1/$E19)</f>
        <v/>
      </c>
      <c r="S20" s="66">
        <f>IF(OR($E19=0,S19="",S$6&lt;&gt;1),0,1/$E19)</f>
        <v/>
      </c>
      <c r="T20" s="66">
        <f>IF(OR($E19=0,T19="",T$6&lt;&gt;1),0,1/$E19)</f>
        <v/>
      </c>
      <c r="U20" s="66">
        <f>IF(OR($E19=0,U19="",U$6&lt;&gt;1),0,1/$E19)</f>
        <v/>
      </c>
      <c r="V20" s="66">
        <f>IF(OR($E19=0,V19="",V$6&lt;&gt;1),0,1/$E19)</f>
        <v/>
      </c>
      <c r="W20" s="66">
        <f>IF(OR($E19=0,W19="",W$6&lt;&gt;1),0,1/$E19)</f>
        <v/>
      </c>
      <c r="X20" s="66">
        <f>IF(OR($E19=0,X19="",X$6&lt;&gt;1),0,1/$E19)</f>
        <v/>
      </c>
      <c r="Y20" s="66">
        <f>IF(OR($E19=0,Y19="",Y$6&lt;&gt;1),0,1/$E19)</f>
        <v/>
      </c>
      <c r="Z20" s="66">
        <f>IF(OR($E19=0,Z19="",Z$6&lt;&gt;1),0,1/$E19)</f>
        <v/>
      </c>
      <c r="AA20" s="66">
        <f>IF(OR($E19=0,AA19="",AA$6&lt;&gt;1),0,1/$E19)</f>
        <v/>
      </c>
      <c r="AB20" s="66">
        <f>IF(OR($E19=0,AB19="",AB$6&lt;&gt;1),0,1/$E19)</f>
        <v/>
      </c>
      <c r="AC20" s="66">
        <f>IF(OR($E19=0,AC19="",AC$6&lt;&gt;1),0,1/$E19)</f>
        <v/>
      </c>
    </row>
    <row r="21">
      <c r="A21" s="60" t="n"/>
      <c r="B21" s="61" t="n"/>
      <c r="C21" s="62" t="inlineStr">
        <is>
          <t>累計出来高率</t>
        </is>
      </c>
      <c r="D21" s="63" t="n"/>
      <c r="E21" s="60" t="n"/>
      <c r="F21" s="64" t="n"/>
      <c r="G21" s="65" t="n"/>
      <c r="H21" s="66">
        <f>H20</f>
        <v/>
      </c>
      <c r="I21" s="66">
        <f>H21+I20</f>
        <v/>
      </c>
      <c r="J21" s="66">
        <f>I21+J20</f>
        <v/>
      </c>
      <c r="K21" s="66">
        <f>J21+K20</f>
        <v/>
      </c>
      <c r="L21" s="66">
        <f>K21+L20</f>
        <v/>
      </c>
      <c r="M21" s="66">
        <f>L21+M20</f>
        <v/>
      </c>
      <c r="N21" s="66">
        <f>M21+N20</f>
        <v/>
      </c>
      <c r="O21" s="66">
        <f>N21+O20</f>
        <v/>
      </c>
      <c r="P21" s="66">
        <f>O21+P20</f>
        <v/>
      </c>
      <c r="Q21" s="66">
        <f>P21+Q20</f>
        <v/>
      </c>
      <c r="R21" s="66">
        <f>Q21+R20</f>
        <v/>
      </c>
      <c r="S21" s="66">
        <f>R21+S20</f>
        <v/>
      </c>
      <c r="T21" s="66">
        <f>S21+T20</f>
        <v/>
      </c>
      <c r="U21" s="66">
        <f>T21+U20</f>
        <v/>
      </c>
      <c r="V21" s="66">
        <f>U21+V20</f>
        <v/>
      </c>
      <c r="W21" s="66">
        <f>V21+W20</f>
        <v/>
      </c>
      <c r="X21" s="66">
        <f>W21+X20</f>
        <v/>
      </c>
      <c r="Y21" s="66">
        <f>X21+Y20</f>
        <v/>
      </c>
      <c r="Z21" s="66">
        <f>Y21+Z20</f>
        <v/>
      </c>
      <c r="AA21" s="66">
        <f>Z21+AA20</f>
        <v/>
      </c>
      <c r="AB21" s="66">
        <f>AA21+AB20</f>
        <v/>
      </c>
      <c r="AC21" s="66">
        <f>AB21+AC20</f>
        <v/>
      </c>
    </row>
    <row r="22">
      <c r="A22" s="53" t="inlineStr"/>
      <c r="B22" s="54" t="inlineStr">
        <is>
          <t>空気調和設備工事</t>
        </is>
      </c>
      <c r="C22" s="55" t="inlineStr">
        <is>
          <t>工程</t>
        </is>
      </c>
      <c r="D22" s="56">
        <f>'金額リスト'!C11</f>
        <v/>
      </c>
      <c r="E22" s="53">
        <f>SUMPRODUCT((H22:AC22&lt;&gt;"")*(H$6:AC$6=1))</f>
        <v/>
      </c>
      <c r="F22" s="57">
        <f>SUM(H23:AC23)</f>
        <v/>
      </c>
      <c r="G22" s="58">
        <f>IF(AND(ABS(F22-1)&lt;0.0001,ABS(AC24-1)&lt;0.0001),"OK",IF(E22=0,"工程未設定","NG"))</f>
        <v/>
      </c>
      <c r="H22" s="59" t="n"/>
      <c r="I22" s="59" t="n">
        <v>1</v>
      </c>
      <c r="J22" s="59" t="n"/>
      <c r="K22" s="59" t="n"/>
      <c r="L22" s="59" t="n">
        <v>1</v>
      </c>
      <c r="M22" s="59" t="n">
        <v>1</v>
      </c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  <c r="Z22" s="59" t="n"/>
      <c r="AA22" s="59" t="n"/>
      <c r="AB22" s="59" t="n"/>
      <c r="AC22" s="59" t="n"/>
    </row>
    <row r="23">
      <c r="A23" s="60" t="n"/>
      <c r="B23" s="61" t="n"/>
      <c r="C23" s="62" t="inlineStr">
        <is>
          <t>今週出来高率</t>
        </is>
      </c>
      <c r="D23" s="63" t="n"/>
      <c r="E23" s="60" t="n"/>
      <c r="F23" s="64" t="n"/>
      <c r="G23" s="65" t="n"/>
      <c r="H23" s="66">
        <f>IF(OR($E22=0,H22="",H$6&lt;&gt;1),0,1/$E22)</f>
        <v/>
      </c>
      <c r="I23" s="66">
        <f>IF(OR($E22=0,I22="",I$6&lt;&gt;1),0,1/$E22)</f>
        <v/>
      </c>
      <c r="J23" s="66">
        <f>IF(OR($E22=0,J22="",J$6&lt;&gt;1),0,1/$E22)</f>
        <v/>
      </c>
      <c r="K23" s="66">
        <f>IF(OR($E22=0,K22="",K$6&lt;&gt;1),0,1/$E22)</f>
        <v/>
      </c>
      <c r="L23" s="66">
        <f>IF(OR($E22=0,L22="",L$6&lt;&gt;1),0,1/$E22)</f>
        <v/>
      </c>
      <c r="M23" s="66">
        <f>IF(OR($E22=0,M22="",M$6&lt;&gt;1),0,1/$E22)</f>
        <v/>
      </c>
      <c r="N23" s="66">
        <f>IF(OR($E22=0,N22="",N$6&lt;&gt;1),0,1/$E22)</f>
        <v/>
      </c>
      <c r="O23" s="66">
        <f>IF(OR($E22=0,O22="",O$6&lt;&gt;1),0,1/$E22)</f>
        <v/>
      </c>
      <c r="P23" s="66">
        <f>IF(OR($E22=0,P22="",P$6&lt;&gt;1),0,1/$E22)</f>
        <v/>
      </c>
      <c r="Q23" s="66">
        <f>IF(OR($E22=0,Q22="",Q$6&lt;&gt;1),0,1/$E22)</f>
        <v/>
      </c>
      <c r="R23" s="66">
        <f>IF(OR($E22=0,R22="",R$6&lt;&gt;1),0,1/$E22)</f>
        <v/>
      </c>
      <c r="S23" s="66">
        <f>IF(OR($E22=0,S22="",S$6&lt;&gt;1),0,1/$E22)</f>
        <v/>
      </c>
      <c r="T23" s="66">
        <f>IF(OR($E22=0,T22="",T$6&lt;&gt;1),0,1/$E22)</f>
        <v/>
      </c>
      <c r="U23" s="66">
        <f>IF(OR($E22=0,U22="",U$6&lt;&gt;1),0,1/$E22)</f>
        <v/>
      </c>
      <c r="V23" s="66">
        <f>IF(OR($E22=0,V22="",V$6&lt;&gt;1),0,1/$E22)</f>
        <v/>
      </c>
      <c r="W23" s="66">
        <f>IF(OR($E22=0,W22="",W$6&lt;&gt;1),0,1/$E22)</f>
        <v/>
      </c>
      <c r="X23" s="66">
        <f>IF(OR($E22=0,X22="",X$6&lt;&gt;1),0,1/$E22)</f>
        <v/>
      </c>
      <c r="Y23" s="66">
        <f>IF(OR($E22=0,Y22="",Y$6&lt;&gt;1),0,1/$E22)</f>
        <v/>
      </c>
      <c r="Z23" s="66">
        <f>IF(OR($E22=0,Z22="",Z$6&lt;&gt;1),0,1/$E22)</f>
        <v/>
      </c>
      <c r="AA23" s="66">
        <f>IF(OR($E22=0,AA22="",AA$6&lt;&gt;1),0,1/$E22)</f>
        <v/>
      </c>
      <c r="AB23" s="66">
        <f>IF(OR($E22=0,AB22="",AB$6&lt;&gt;1),0,1/$E22)</f>
        <v/>
      </c>
      <c r="AC23" s="66">
        <f>IF(OR($E22=0,AC22="",AC$6&lt;&gt;1),0,1/$E22)</f>
        <v/>
      </c>
    </row>
    <row r="24">
      <c r="A24" s="60" t="n"/>
      <c r="B24" s="61" t="n"/>
      <c r="C24" s="62" t="inlineStr">
        <is>
          <t>累計出来高率</t>
        </is>
      </c>
      <c r="D24" s="63" t="n"/>
      <c r="E24" s="60" t="n"/>
      <c r="F24" s="64" t="n"/>
      <c r="G24" s="65" t="n"/>
      <c r="H24" s="66">
        <f>H23</f>
        <v/>
      </c>
      <c r="I24" s="66">
        <f>H24+I23</f>
        <v/>
      </c>
      <c r="J24" s="66">
        <f>I24+J23</f>
        <v/>
      </c>
      <c r="K24" s="66">
        <f>J24+K23</f>
        <v/>
      </c>
      <c r="L24" s="66">
        <f>K24+L23</f>
        <v/>
      </c>
      <c r="M24" s="66">
        <f>L24+M23</f>
        <v/>
      </c>
      <c r="N24" s="66">
        <f>M24+N23</f>
        <v/>
      </c>
      <c r="O24" s="66">
        <f>N24+O23</f>
        <v/>
      </c>
      <c r="P24" s="66">
        <f>O24+P23</f>
        <v/>
      </c>
      <c r="Q24" s="66">
        <f>P24+Q23</f>
        <v/>
      </c>
      <c r="R24" s="66">
        <f>Q24+R23</f>
        <v/>
      </c>
      <c r="S24" s="66">
        <f>R24+S23</f>
        <v/>
      </c>
      <c r="T24" s="66">
        <f>S24+T23</f>
        <v/>
      </c>
      <c r="U24" s="66">
        <f>T24+U23</f>
        <v/>
      </c>
      <c r="V24" s="66">
        <f>U24+V23</f>
        <v/>
      </c>
      <c r="W24" s="66">
        <f>V24+W23</f>
        <v/>
      </c>
      <c r="X24" s="66">
        <f>W24+X23</f>
        <v/>
      </c>
      <c r="Y24" s="66">
        <f>X24+Y23</f>
        <v/>
      </c>
      <c r="Z24" s="66">
        <f>Y24+Z23</f>
        <v/>
      </c>
      <c r="AA24" s="66">
        <f>Z24+AA23</f>
        <v/>
      </c>
      <c r="AB24" s="66">
        <f>AA24+AB23</f>
        <v/>
      </c>
      <c r="AC24" s="66">
        <f>AB24+AC23</f>
        <v/>
      </c>
    </row>
    <row r="25">
      <c r="A25" s="53" t="inlineStr"/>
      <c r="B25" s="54" t="inlineStr">
        <is>
          <t>衛生設備工事</t>
        </is>
      </c>
      <c r="C25" s="55" t="inlineStr">
        <is>
          <t>工程</t>
        </is>
      </c>
      <c r="D25" s="56">
        <f>'金額リスト'!C12</f>
        <v/>
      </c>
      <c r="E25" s="53">
        <f>SUMPRODUCT((H25:AC25&lt;&gt;"")*(H$6:AC$6=1))</f>
        <v/>
      </c>
      <c r="F25" s="57">
        <f>SUM(H26:AC26)</f>
        <v/>
      </c>
      <c r="G25" s="58">
        <f>IF(AND(ABS(F25-1)&lt;0.0001,ABS(AC27-1)&lt;0.0001),"OK",IF(E25=0,"工程未設定","NG"))</f>
        <v/>
      </c>
      <c r="H25" s="59" t="n"/>
      <c r="I25" s="59" t="n">
        <v>1</v>
      </c>
      <c r="J25" s="59" t="n"/>
      <c r="K25" s="59" t="n"/>
      <c r="L25" s="59" t="n">
        <v>1</v>
      </c>
      <c r="M25" s="59" t="n">
        <v>1</v>
      </c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  <c r="Z25" s="59" t="n"/>
      <c r="AA25" s="59" t="n"/>
      <c r="AB25" s="59" t="n"/>
      <c r="AC25" s="59" t="n"/>
    </row>
    <row r="26">
      <c r="A26" s="60" t="n"/>
      <c r="B26" s="61" t="n"/>
      <c r="C26" s="62" t="inlineStr">
        <is>
          <t>今週出来高率</t>
        </is>
      </c>
      <c r="D26" s="63" t="n"/>
      <c r="E26" s="60" t="n"/>
      <c r="F26" s="64" t="n"/>
      <c r="G26" s="65" t="n"/>
      <c r="H26" s="66">
        <f>IF(OR($E25=0,H25="",H$6&lt;&gt;1),0,1/$E25)</f>
        <v/>
      </c>
      <c r="I26" s="66">
        <f>IF(OR($E25=0,I25="",I$6&lt;&gt;1),0,1/$E25)</f>
        <v/>
      </c>
      <c r="J26" s="66">
        <f>IF(OR($E25=0,J25="",J$6&lt;&gt;1),0,1/$E25)</f>
        <v/>
      </c>
      <c r="K26" s="66">
        <f>IF(OR($E25=0,K25="",K$6&lt;&gt;1),0,1/$E25)</f>
        <v/>
      </c>
      <c r="L26" s="66">
        <f>IF(OR($E25=0,L25="",L$6&lt;&gt;1),0,1/$E25)</f>
        <v/>
      </c>
      <c r="M26" s="66">
        <f>IF(OR($E25=0,M25="",M$6&lt;&gt;1),0,1/$E25)</f>
        <v/>
      </c>
      <c r="N26" s="66">
        <f>IF(OR($E25=0,N25="",N$6&lt;&gt;1),0,1/$E25)</f>
        <v/>
      </c>
      <c r="O26" s="66">
        <f>IF(OR($E25=0,O25="",O$6&lt;&gt;1),0,1/$E25)</f>
        <v/>
      </c>
      <c r="P26" s="66">
        <f>IF(OR($E25=0,P25="",P$6&lt;&gt;1),0,1/$E25)</f>
        <v/>
      </c>
      <c r="Q26" s="66">
        <f>IF(OR($E25=0,Q25="",Q$6&lt;&gt;1),0,1/$E25)</f>
        <v/>
      </c>
      <c r="R26" s="66">
        <f>IF(OR($E25=0,R25="",R$6&lt;&gt;1),0,1/$E25)</f>
        <v/>
      </c>
      <c r="S26" s="66">
        <f>IF(OR($E25=0,S25="",S$6&lt;&gt;1),0,1/$E25)</f>
        <v/>
      </c>
      <c r="T26" s="66">
        <f>IF(OR($E25=0,T25="",T$6&lt;&gt;1),0,1/$E25)</f>
        <v/>
      </c>
      <c r="U26" s="66">
        <f>IF(OR($E25=0,U25="",U$6&lt;&gt;1),0,1/$E25)</f>
        <v/>
      </c>
      <c r="V26" s="66">
        <f>IF(OR($E25=0,V25="",V$6&lt;&gt;1),0,1/$E25)</f>
        <v/>
      </c>
      <c r="W26" s="66">
        <f>IF(OR($E25=0,W25="",W$6&lt;&gt;1),0,1/$E25)</f>
        <v/>
      </c>
      <c r="X26" s="66">
        <f>IF(OR($E25=0,X25="",X$6&lt;&gt;1),0,1/$E25)</f>
        <v/>
      </c>
      <c r="Y26" s="66">
        <f>IF(OR($E25=0,Y25="",Y$6&lt;&gt;1),0,1/$E25)</f>
        <v/>
      </c>
      <c r="Z26" s="66">
        <f>IF(OR($E25=0,Z25="",Z$6&lt;&gt;1),0,1/$E25)</f>
        <v/>
      </c>
      <c r="AA26" s="66">
        <f>IF(OR($E25=0,AA25="",AA$6&lt;&gt;1),0,1/$E25)</f>
        <v/>
      </c>
      <c r="AB26" s="66">
        <f>IF(OR($E25=0,AB25="",AB$6&lt;&gt;1),0,1/$E25)</f>
        <v/>
      </c>
      <c r="AC26" s="66">
        <f>IF(OR($E25=0,AC25="",AC$6&lt;&gt;1),0,1/$E25)</f>
        <v/>
      </c>
    </row>
    <row r="27">
      <c r="A27" s="60" t="n"/>
      <c r="B27" s="61" t="n"/>
      <c r="C27" s="62" t="inlineStr">
        <is>
          <t>累計出来高率</t>
        </is>
      </c>
      <c r="D27" s="63" t="n"/>
      <c r="E27" s="60" t="n"/>
      <c r="F27" s="64" t="n"/>
      <c r="G27" s="65" t="n"/>
      <c r="H27" s="66">
        <f>H26</f>
        <v/>
      </c>
      <c r="I27" s="66">
        <f>H27+I26</f>
        <v/>
      </c>
      <c r="J27" s="66">
        <f>I27+J26</f>
        <v/>
      </c>
      <c r="K27" s="66">
        <f>J27+K26</f>
        <v/>
      </c>
      <c r="L27" s="66">
        <f>K27+L26</f>
        <v/>
      </c>
      <c r="M27" s="66">
        <f>L27+M26</f>
        <v/>
      </c>
      <c r="N27" s="66">
        <f>M27+N26</f>
        <v/>
      </c>
      <c r="O27" s="66">
        <f>N27+O26</f>
        <v/>
      </c>
      <c r="P27" s="66">
        <f>O27+P26</f>
        <v/>
      </c>
      <c r="Q27" s="66">
        <f>P27+Q26</f>
        <v/>
      </c>
      <c r="R27" s="66">
        <f>Q27+R26</f>
        <v/>
      </c>
      <c r="S27" s="66">
        <f>R27+S26</f>
        <v/>
      </c>
      <c r="T27" s="66">
        <f>S27+T26</f>
        <v/>
      </c>
      <c r="U27" s="66">
        <f>T27+U26</f>
        <v/>
      </c>
      <c r="V27" s="66">
        <f>U27+V26</f>
        <v/>
      </c>
      <c r="W27" s="66">
        <f>V27+W26</f>
        <v/>
      </c>
      <c r="X27" s="66">
        <f>W27+X26</f>
        <v/>
      </c>
      <c r="Y27" s="66">
        <f>X27+Y26</f>
        <v/>
      </c>
      <c r="Z27" s="66">
        <f>Y27+Z26</f>
        <v/>
      </c>
      <c r="AA27" s="66">
        <f>Z27+AA26</f>
        <v/>
      </c>
      <c r="AB27" s="66">
        <f>AA27+AB26</f>
        <v/>
      </c>
      <c r="AC27" s="66">
        <f>AB27+AC26</f>
        <v/>
      </c>
    </row>
    <row r="28">
      <c r="A28" s="38" t="inlineStr">
        <is>
          <t>c)</t>
        </is>
      </c>
      <c r="B28" s="39" t="inlineStr">
        <is>
          <t>改修工事</t>
        </is>
      </c>
      <c r="C28" s="40" t="inlineStr">
        <is>
          <t>工程</t>
        </is>
      </c>
      <c r="D28" s="51">
        <f>D31+D70+D73+D76</f>
        <v/>
      </c>
      <c r="E28" s="38">
        <f>COUNTIF(H29:AC29,"&gt;0")</f>
        <v/>
      </c>
      <c r="F28" s="42">
        <f>SUM(H29:AC29)</f>
        <v/>
      </c>
      <c r="G28" s="43">
        <f>IF(AND(ABS(F28-1)&lt;0.0001,ABS(AC30-1)&lt;0.0001),"OK",IF(E28=0,"工程未設定","NG"))</f>
        <v/>
      </c>
      <c r="H28" s="31">
        <f>IF(H29&gt;0,"■","")</f>
        <v/>
      </c>
      <c r="I28" s="31">
        <f>IF(I29&gt;0,"■","")</f>
        <v/>
      </c>
      <c r="J28" s="31">
        <f>IF(J29&gt;0,"■","")</f>
        <v/>
      </c>
      <c r="K28" s="31">
        <f>IF(K29&gt;0,"■","")</f>
        <v/>
      </c>
      <c r="L28" s="31">
        <f>IF(L29&gt;0,"■","")</f>
        <v/>
      </c>
      <c r="M28" s="31">
        <f>IF(M29&gt;0,"■","")</f>
        <v/>
      </c>
      <c r="N28" s="31">
        <f>IF(N29&gt;0,"■","")</f>
        <v/>
      </c>
      <c r="O28" s="31">
        <f>IF(O29&gt;0,"■","")</f>
        <v/>
      </c>
      <c r="P28" s="31">
        <f>IF(P29&gt;0,"■","")</f>
        <v/>
      </c>
      <c r="Q28" s="31">
        <f>IF(Q29&gt;0,"■","")</f>
        <v/>
      </c>
      <c r="R28" s="31">
        <f>IF(R29&gt;0,"■","")</f>
        <v/>
      </c>
      <c r="S28" s="31">
        <f>IF(S29&gt;0,"■","")</f>
        <v/>
      </c>
      <c r="T28" s="31">
        <f>IF(T29&gt;0,"■","")</f>
        <v/>
      </c>
      <c r="U28" s="31">
        <f>IF(U29&gt;0,"■","")</f>
        <v/>
      </c>
      <c r="V28" s="31">
        <f>IF(V29&gt;0,"■","")</f>
        <v/>
      </c>
      <c r="W28" s="31">
        <f>IF(W29&gt;0,"■","")</f>
        <v/>
      </c>
      <c r="X28" s="31">
        <f>IF(X29&gt;0,"■","")</f>
        <v/>
      </c>
      <c r="Y28" s="31">
        <f>IF(Y29&gt;0,"■","")</f>
        <v/>
      </c>
      <c r="Z28" s="31">
        <f>IF(Z29&gt;0,"■","")</f>
        <v/>
      </c>
      <c r="AA28" s="31">
        <f>IF(AA29&gt;0,"■","")</f>
        <v/>
      </c>
      <c r="AB28" s="31">
        <f>IF(AB29&gt;0,"■","")</f>
        <v/>
      </c>
      <c r="AC28" s="31">
        <f>IF(AC29&gt;0,"■","")</f>
        <v/>
      </c>
    </row>
    <row r="29">
      <c r="A29" s="45" t="n"/>
      <c r="B29" s="46" t="n"/>
      <c r="C29" s="47" t="inlineStr">
        <is>
          <t>今週出来高率</t>
        </is>
      </c>
      <c r="D29" s="52" t="n"/>
      <c r="E29" s="45" t="n"/>
      <c r="F29" s="49" t="n"/>
      <c r="G29" s="50" t="n"/>
      <c r="H29" s="37">
        <f>IF($D28=0,0,(H32*$D31+H71*$D70+H74*$D73+H77*$D76)/$D28)</f>
        <v/>
      </c>
      <c r="I29" s="37">
        <f>IF($D28=0,0,(I32*$D31+I71*$D70+I74*$D73+I77*$D76)/$D28)</f>
        <v/>
      </c>
      <c r="J29" s="37">
        <f>IF($D28=0,0,(J32*$D31+J71*$D70+J74*$D73+J77*$D76)/$D28)</f>
        <v/>
      </c>
      <c r="K29" s="37">
        <f>IF($D28=0,0,(K32*$D31+K71*$D70+K74*$D73+K77*$D76)/$D28)</f>
        <v/>
      </c>
      <c r="L29" s="37">
        <f>IF($D28=0,0,(L32*$D31+L71*$D70+L74*$D73+L77*$D76)/$D28)</f>
        <v/>
      </c>
      <c r="M29" s="37">
        <f>IF($D28=0,0,(M32*$D31+M71*$D70+M74*$D73+M77*$D76)/$D28)</f>
        <v/>
      </c>
      <c r="N29" s="37">
        <f>IF($D28=0,0,(N32*$D31+N71*$D70+N74*$D73+N77*$D76)/$D28)</f>
        <v/>
      </c>
      <c r="O29" s="37">
        <f>IF($D28=0,0,(O32*$D31+O71*$D70+O74*$D73+O77*$D76)/$D28)</f>
        <v/>
      </c>
      <c r="P29" s="37">
        <f>IF($D28=0,0,(P32*$D31+P71*$D70+P74*$D73+P77*$D76)/$D28)</f>
        <v/>
      </c>
      <c r="Q29" s="37">
        <f>IF($D28=0,0,(Q32*$D31+Q71*$D70+Q74*$D73+Q77*$D76)/$D28)</f>
        <v/>
      </c>
      <c r="R29" s="37">
        <f>IF($D28=0,0,(R32*$D31+R71*$D70+R74*$D73+R77*$D76)/$D28)</f>
        <v/>
      </c>
      <c r="S29" s="37">
        <f>IF($D28=0,0,(S32*$D31+S71*$D70+S74*$D73+S77*$D76)/$D28)</f>
        <v/>
      </c>
      <c r="T29" s="37">
        <f>IF($D28=0,0,(T32*$D31+T71*$D70+T74*$D73+T77*$D76)/$D28)</f>
        <v/>
      </c>
      <c r="U29" s="37">
        <f>IF($D28=0,0,(U32*$D31+U71*$D70+U74*$D73+U77*$D76)/$D28)</f>
        <v/>
      </c>
      <c r="V29" s="37">
        <f>IF($D28=0,0,(V32*$D31+V71*$D70+V74*$D73+V77*$D76)/$D28)</f>
        <v/>
      </c>
      <c r="W29" s="37">
        <f>IF($D28=0,0,(W32*$D31+W71*$D70+W74*$D73+W77*$D76)/$D28)</f>
        <v/>
      </c>
      <c r="X29" s="37">
        <f>IF($D28=0,0,(X32*$D31+X71*$D70+X74*$D73+X77*$D76)/$D28)</f>
        <v/>
      </c>
      <c r="Y29" s="37">
        <f>IF($D28=0,0,(Y32*$D31+Y71*$D70+Y74*$D73+Y77*$D76)/$D28)</f>
        <v/>
      </c>
      <c r="Z29" s="37">
        <f>IF($D28=0,0,(Z32*$D31+Z71*$D70+Z74*$D73+Z77*$D76)/$D28)</f>
        <v/>
      </c>
      <c r="AA29" s="37">
        <f>IF($D28=0,0,(AA32*$D31+AA71*$D70+AA74*$D73+AA77*$D76)/$D28)</f>
        <v/>
      </c>
      <c r="AB29" s="37">
        <f>IF($D28=0,0,(AB32*$D31+AB71*$D70+AB74*$D73+AB77*$D76)/$D28)</f>
        <v/>
      </c>
      <c r="AC29" s="37">
        <f>IF($D28=0,0,(AC32*$D31+AC71*$D70+AC74*$D73+AC77*$D76)/$D28)</f>
        <v/>
      </c>
    </row>
    <row r="30">
      <c r="A30" s="45" t="n"/>
      <c r="B30" s="46" t="n"/>
      <c r="C30" s="47" t="inlineStr">
        <is>
          <t>累計出来高率</t>
        </is>
      </c>
      <c r="D30" s="52" t="n"/>
      <c r="E30" s="45" t="n"/>
      <c r="F30" s="49" t="n"/>
      <c r="G30" s="50" t="n"/>
      <c r="H30" s="37">
        <f>H29</f>
        <v/>
      </c>
      <c r="I30" s="37">
        <f>H30+I29</f>
        <v/>
      </c>
      <c r="J30" s="37">
        <f>I30+J29</f>
        <v/>
      </c>
      <c r="K30" s="37">
        <f>J30+K29</f>
        <v/>
      </c>
      <c r="L30" s="37">
        <f>K30+L29</f>
        <v/>
      </c>
      <c r="M30" s="37">
        <f>L30+M29</f>
        <v/>
      </c>
      <c r="N30" s="37">
        <f>M30+N29</f>
        <v/>
      </c>
      <c r="O30" s="37">
        <f>N30+O29</f>
        <v/>
      </c>
      <c r="P30" s="37">
        <f>O30+P29</f>
        <v/>
      </c>
      <c r="Q30" s="37">
        <f>P30+Q29</f>
        <v/>
      </c>
      <c r="R30" s="37">
        <f>Q30+R29</f>
        <v/>
      </c>
      <c r="S30" s="37">
        <f>R30+S29</f>
        <v/>
      </c>
      <c r="T30" s="37">
        <f>S30+T29</f>
        <v/>
      </c>
      <c r="U30" s="37">
        <f>T30+U29</f>
        <v/>
      </c>
      <c r="V30" s="37">
        <f>U30+V29</f>
        <v/>
      </c>
      <c r="W30" s="37">
        <f>V30+W29</f>
        <v/>
      </c>
      <c r="X30" s="37">
        <f>W30+X29</f>
        <v/>
      </c>
      <c r="Y30" s="37">
        <f>X30+Y29</f>
        <v/>
      </c>
      <c r="Z30" s="37">
        <f>Y30+Z29</f>
        <v/>
      </c>
      <c r="AA30" s="37">
        <f>Z30+AA29</f>
        <v/>
      </c>
      <c r="AB30" s="37">
        <f>AA30+AB29</f>
        <v/>
      </c>
      <c r="AC30" s="37">
        <f>AB30+AC29</f>
        <v/>
      </c>
    </row>
    <row r="31">
      <c r="A31" s="53" t="inlineStr">
        <is>
          <t>c)-1</t>
        </is>
      </c>
      <c r="B31" s="54" t="inlineStr">
        <is>
          <t>建築工事</t>
        </is>
      </c>
      <c r="C31" s="55" t="inlineStr">
        <is>
          <t>工程</t>
        </is>
      </c>
      <c r="D31" s="67">
        <f>D34+D37+D40+D43+D46+D49+D52+D55+D58+D61+D64+D67</f>
        <v/>
      </c>
      <c r="E31" s="53">
        <f>COUNTIF(H32:AC32,"&gt;0")</f>
        <v/>
      </c>
      <c r="F31" s="57">
        <f>SUM(H32:AC32)</f>
        <v/>
      </c>
      <c r="G31" s="58">
        <f>IF(AND(ABS(F31-1)&lt;0.0001,ABS(AC33-1)&lt;0.0001),"OK",IF(E31=0,"工程未設定","NG"))</f>
        <v/>
      </c>
      <c r="H31" s="68">
        <f>IF(H32&gt;0,"■","")</f>
        <v/>
      </c>
      <c r="I31" s="68">
        <f>IF(I32&gt;0,"■","")</f>
        <v/>
      </c>
      <c r="J31" s="68">
        <f>IF(J32&gt;0,"■","")</f>
        <v/>
      </c>
      <c r="K31" s="68">
        <f>IF(K32&gt;0,"■","")</f>
        <v/>
      </c>
      <c r="L31" s="68">
        <f>IF(L32&gt;0,"■","")</f>
        <v/>
      </c>
      <c r="M31" s="68">
        <f>IF(M32&gt;0,"■","")</f>
        <v/>
      </c>
      <c r="N31" s="68">
        <f>IF(N32&gt;0,"■","")</f>
        <v/>
      </c>
      <c r="O31" s="68">
        <f>IF(O32&gt;0,"■","")</f>
        <v/>
      </c>
      <c r="P31" s="68">
        <f>IF(P32&gt;0,"■","")</f>
        <v/>
      </c>
      <c r="Q31" s="68">
        <f>IF(Q32&gt;0,"■","")</f>
        <v/>
      </c>
      <c r="R31" s="68">
        <f>IF(R32&gt;0,"■","")</f>
        <v/>
      </c>
      <c r="S31" s="68">
        <f>IF(S32&gt;0,"■","")</f>
        <v/>
      </c>
      <c r="T31" s="68">
        <f>IF(T32&gt;0,"■","")</f>
        <v/>
      </c>
      <c r="U31" s="68">
        <f>IF(U32&gt;0,"■","")</f>
        <v/>
      </c>
      <c r="V31" s="68">
        <f>IF(V32&gt;0,"■","")</f>
        <v/>
      </c>
      <c r="W31" s="68">
        <f>IF(W32&gt;0,"■","")</f>
        <v/>
      </c>
      <c r="X31" s="68">
        <f>IF(X32&gt;0,"■","")</f>
        <v/>
      </c>
      <c r="Y31" s="68">
        <f>IF(Y32&gt;0,"■","")</f>
        <v/>
      </c>
      <c r="Z31" s="68">
        <f>IF(Z32&gt;0,"■","")</f>
        <v/>
      </c>
      <c r="AA31" s="68">
        <f>IF(AA32&gt;0,"■","")</f>
        <v/>
      </c>
      <c r="AB31" s="68">
        <f>IF(AB32&gt;0,"■","")</f>
        <v/>
      </c>
      <c r="AC31" s="68">
        <f>IF(AC32&gt;0,"■","")</f>
        <v/>
      </c>
    </row>
    <row r="32">
      <c r="A32" s="60" t="n"/>
      <c r="B32" s="61" t="n"/>
      <c r="C32" s="62" t="inlineStr">
        <is>
          <t>今週出来高率</t>
        </is>
      </c>
      <c r="D32" s="69" t="n"/>
      <c r="E32" s="60" t="n"/>
      <c r="F32" s="64" t="n"/>
      <c r="G32" s="65" t="n"/>
      <c r="H32" s="66">
        <f>IF($D31=0,0,(H35*$D34+H38*$D37+H41*$D40+H44*$D43+H47*$D46+H50*$D49+H53*$D52+H56*$D55+H59*$D58+H62*$D61+H65*$D64+H68*$D67)/$D31)</f>
        <v/>
      </c>
      <c r="I32" s="66">
        <f>IF($D31=0,0,(I35*$D34+I38*$D37+I41*$D40+I44*$D43+I47*$D46+I50*$D49+I53*$D52+I56*$D55+I59*$D58+I62*$D61+I65*$D64+I68*$D67)/$D31)</f>
        <v/>
      </c>
      <c r="J32" s="66">
        <f>IF($D31=0,0,(J35*$D34+J38*$D37+J41*$D40+J44*$D43+J47*$D46+J50*$D49+J53*$D52+J56*$D55+J59*$D58+J62*$D61+J65*$D64+J68*$D67)/$D31)</f>
        <v/>
      </c>
      <c r="K32" s="66">
        <f>IF($D31=0,0,(K35*$D34+K38*$D37+K41*$D40+K44*$D43+K47*$D46+K50*$D49+K53*$D52+K56*$D55+K59*$D58+K62*$D61+K65*$D64+K68*$D67)/$D31)</f>
        <v/>
      </c>
      <c r="L32" s="66">
        <f>IF($D31=0,0,(L35*$D34+L38*$D37+L41*$D40+L44*$D43+L47*$D46+L50*$D49+L53*$D52+L56*$D55+L59*$D58+L62*$D61+L65*$D64+L68*$D67)/$D31)</f>
        <v/>
      </c>
      <c r="M32" s="66">
        <f>IF($D31=0,0,(M35*$D34+M38*$D37+M41*$D40+M44*$D43+M47*$D46+M50*$D49+M53*$D52+M56*$D55+M59*$D58+M62*$D61+M65*$D64+M68*$D67)/$D31)</f>
        <v/>
      </c>
      <c r="N32" s="66">
        <f>IF($D31=0,0,(N35*$D34+N38*$D37+N41*$D40+N44*$D43+N47*$D46+N50*$D49+N53*$D52+N56*$D55+N59*$D58+N62*$D61+N65*$D64+N68*$D67)/$D31)</f>
        <v/>
      </c>
      <c r="O32" s="66">
        <f>IF($D31=0,0,(O35*$D34+O38*$D37+O41*$D40+O44*$D43+O47*$D46+O50*$D49+O53*$D52+O56*$D55+O59*$D58+O62*$D61+O65*$D64+O68*$D67)/$D31)</f>
        <v/>
      </c>
      <c r="P32" s="66">
        <f>IF($D31=0,0,(P35*$D34+P38*$D37+P41*$D40+P44*$D43+P47*$D46+P50*$D49+P53*$D52+P56*$D55+P59*$D58+P62*$D61+P65*$D64+P68*$D67)/$D31)</f>
        <v/>
      </c>
      <c r="Q32" s="66">
        <f>IF($D31=0,0,(Q35*$D34+Q38*$D37+Q41*$D40+Q44*$D43+Q47*$D46+Q50*$D49+Q53*$D52+Q56*$D55+Q59*$D58+Q62*$D61+Q65*$D64+Q68*$D67)/$D31)</f>
        <v/>
      </c>
      <c r="R32" s="66">
        <f>IF($D31=0,0,(R35*$D34+R38*$D37+R41*$D40+R44*$D43+R47*$D46+R50*$D49+R53*$D52+R56*$D55+R59*$D58+R62*$D61+R65*$D64+R68*$D67)/$D31)</f>
        <v/>
      </c>
      <c r="S32" s="66">
        <f>IF($D31=0,0,(S35*$D34+S38*$D37+S41*$D40+S44*$D43+S47*$D46+S50*$D49+S53*$D52+S56*$D55+S59*$D58+S62*$D61+S65*$D64+S68*$D67)/$D31)</f>
        <v/>
      </c>
      <c r="T32" s="66">
        <f>IF($D31=0,0,(T35*$D34+T38*$D37+T41*$D40+T44*$D43+T47*$D46+T50*$D49+T53*$D52+T56*$D55+T59*$D58+T62*$D61+T65*$D64+T68*$D67)/$D31)</f>
        <v/>
      </c>
      <c r="U32" s="66">
        <f>IF($D31=0,0,(U35*$D34+U38*$D37+U41*$D40+U44*$D43+U47*$D46+U50*$D49+U53*$D52+U56*$D55+U59*$D58+U62*$D61+U65*$D64+U68*$D67)/$D31)</f>
        <v/>
      </c>
      <c r="V32" s="66">
        <f>IF($D31=0,0,(V35*$D34+V38*$D37+V41*$D40+V44*$D43+V47*$D46+V50*$D49+V53*$D52+V56*$D55+V59*$D58+V62*$D61+V65*$D64+V68*$D67)/$D31)</f>
        <v/>
      </c>
      <c r="W32" s="66">
        <f>IF($D31=0,0,(W35*$D34+W38*$D37+W41*$D40+W44*$D43+W47*$D46+W50*$D49+W53*$D52+W56*$D55+W59*$D58+W62*$D61+W65*$D64+W68*$D67)/$D31)</f>
        <v/>
      </c>
      <c r="X32" s="66">
        <f>IF($D31=0,0,(X35*$D34+X38*$D37+X41*$D40+X44*$D43+X47*$D46+X50*$D49+X53*$D52+X56*$D55+X59*$D58+X62*$D61+X65*$D64+X68*$D67)/$D31)</f>
        <v/>
      </c>
      <c r="Y32" s="66">
        <f>IF($D31=0,0,(Y35*$D34+Y38*$D37+Y41*$D40+Y44*$D43+Y47*$D46+Y50*$D49+Y53*$D52+Y56*$D55+Y59*$D58+Y62*$D61+Y65*$D64+Y68*$D67)/$D31)</f>
        <v/>
      </c>
      <c r="Z32" s="66">
        <f>IF($D31=0,0,(Z35*$D34+Z38*$D37+Z41*$D40+Z44*$D43+Z47*$D46+Z50*$D49+Z53*$D52+Z56*$D55+Z59*$D58+Z62*$D61+Z65*$D64+Z68*$D67)/$D31)</f>
        <v/>
      </c>
      <c r="AA32" s="66">
        <f>IF($D31=0,0,(AA35*$D34+AA38*$D37+AA41*$D40+AA44*$D43+AA47*$D46+AA50*$D49+AA53*$D52+AA56*$D55+AA59*$D58+AA62*$D61+AA65*$D64+AA68*$D67)/$D31)</f>
        <v/>
      </c>
      <c r="AB32" s="66">
        <f>IF($D31=0,0,(AB35*$D34+AB38*$D37+AB41*$D40+AB44*$D43+AB47*$D46+AB50*$D49+AB53*$D52+AB56*$D55+AB59*$D58+AB62*$D61+AB65*$D64+AB68*$D67)/$D31)</f>
        <v/>
      </c>
      <c r="AC32" s="66">
        <f>IF($D31=0,0,(AC35*$D34+AC38*$D37+AC41*$D40+AC44*$D43+AC47*$D46+AC50*$D49+AC53*$D52+AC56*$D55+AC59*$D58+AC62*$D61+AC65*$D64+AC68*$D67)/$D31)</f>
        <v/>
      </c>
    </row>
    <row r="33">
      <c r="A33" s="60" t="n"/>
      <c r="B33" s="61" t="n"/>
      <c r="C33" s="62" t="inlineStr">
        <is>
          <t>累計出来高率</t>
        </is>
      </c>
      <c r="D33" s="69" t="n"/>
      <c r="E33" s="60" t="n"/>
      <c r="F33" s="64" t="n"/>
      <c r="G33" s="65" t="n"/>
      <c r="H33" s="66">
        <f>H32</f>
        <v/>
      </c>
      <c r="I33" s="66">
        <f>H33+I32</f>
        <v/>
      </c>
      <c r="J33" s="66">
        <f>I33+J32</f>
        <v/>
      </c>
      <c r="K33" s="66">
        <f>J33+K32</f>
        <v/>
      </c>
      <c r="L33" s="66">
        <f>K33+L32</f>
        <v/>
      </c>
      <c r="M33" s="66">
        <f>L33+M32</f>
        <v/>
      </c>
      <c r="N33" s="66">
        <f>M33+N32</f>
        <v/>
      </c>
      <c r="O33" s="66">
        <f>N33+O32</f>
        <v/>
      </c>
      <c r="P33" s="66">
        <f>O33+P32</f>
        <v/>
      </c>
      <c r="Q33" s="66">
        <f>P33+Q32</f>
        <v/>
      </c>
      <c r="R33" s="66">
        <f>Q33+R32</f>
        <v/>
      </c>
      <c r="S33" s="66">
        <f>R33+S32</f>
        <v/>
      </c>
      <c r="T33" s="66">
        <f>S33+T32</f>
        <v/>
      </c>
      <c r="U33" s="66">
        <f>T33+U32</f>
        <v/>
      </c>
      <c r="V33" s="66">
        <f>U33+V32</f>
        <v/>
      </c>
      <c r="W33" s="66">
        <f>V33+W32</f>
        <v/>
      </c>
      <c r="X33" s="66">
        <f>W33+X32</f>
        <v/>
      </c>
      <c r="Y33" s="66">
        <f>X33+Y32</f>
        <v/>
      </c>
      <c r="Z33" s="66">
        <f>Y33+Z32</f>
        <v/>
      </c>
      <c r="AA33" s="66">
        <f>Z33+AA32</f>
        <v/>
      </c>
      <c r="AB33" s="66">
        <f>AA33+AB32</f>
        <v/>
      </c>
      <c r="AC33" s="66">
        <f>AB33+AC32</f>
        <v/>
      </c>
    </row>
    <row r="34">
      <c r="A34" s="70" t="inlineStr">
        <is>
          <t>1</t>
        </is>
      </c>
      <c r="B34" s="71" t="inlineStr">
        <is>
          <t>直接仮設工事</t>
        </is>
      </c>
      <c r="C34" s="72" t="inlineStr">
        <is>
          <t>工程</t>
        </is>
      </c>
      <c r="D34" s="73">
        <f>'金額リスト'!C15</f>
        <v/>
      </c>
      <c r="E34" s="70">
        <f>SUMPRODUCT((H34:AC34&lt;&gt;"")*(H$6:AC$6=1))</f>
        <v/>
      </c>
      <c r="F34" s="74">
        <f>SUM(H35:AC35)</f>
        <v/>
      </c>
      <c r="G34" s="75">
        <f>IF(AND(ABS(F34-1)&lt;0.0001,ABS(AC36-1)&lt;0.0001),"OK",IF(E34=0,"工程未設定","NG"))</f>
        <v/>
      </c>
      <c r="H34" s="59" t="n"/>
      <c r="I34" s="59" t="n">
        <v>1</v>
      </c>
      <c r="J34" s="59" t="n"/>
      <c r="K34" s="59" t="n"/>
      <c r="L34" s="59" t="n">
        <v>1</v>
      </c>
      <c r="M34" s="59" t="n"/>
      <c r="N34" s="59" t="n">
        <v>1</v>
      </c>
      <c r="O34" s="59" t="n"/>
      <c r="P34" s="59" t="n"/>
      <c r="Q34" s="59" t="n">
        <v>1</v>
      </c>
      <c r="R34" s="59" t="n"/>
      <c r="S34" s="59" t="n"/>
      <c r="T34" s="59" t="n"/>
      <c r="U34" s="59" t="n"/>
      <c r="V34" s="59" t="n"/>
      <c r="W34" s="59" t="n"/>
      <c r="X34" s="59" t="n">
        <v>1</v>
      </c>
      <c r="Y34" s="59" t="n"/>
      <c r="Z34" s="59" t="n"/>
      <c r="AA34" s="59" t="n">
        <v>1</v>
      </c>
      <c r="AB34" s="59" t="n"/>
      <c r="AC34" s="59" t="n"/>
    </row>
    <row r="35">
      <c r="A35" s="76" t="n"/>
      <c r="B35" s="77" t="n"/>
      <c r="C35" s="78" t="inlineStr">
        <is>
          <t>今週出来高率</t>
        </is>
      </c>
      <c r="D35" s="79" t="n"/>
      <c r="E35" s="76" t="n"/>
      <c r="F35" s="80" t="n"/>
      <c r="G35" s="81" t="n"/>
      <c r="H35" s="66">
        <f>IF(OR($E34=0,H34="",H$6&lt;&gt;1),0,1/$E34)</f>
        <v/>
      </c>
      <c r="I35" s="66">
        <f>IF(OR($E34=0,I34="",I$6&lt;&gt;1),0,1/$E34)</f>
        <v/>
      </c>
      <c r="J35" s="66">
        <f>IF(OR($E34=0,J34="",J$6&lt;&gt;1),0,1/$E34)</f>
        <v/>
      </c>
      <c r="K35" s="66">
        <f>IF(OR($E34=0,K34="",K$6&lt;&gt;1),0,1/$E34)</f>
        <v/>
      </c>
      <c r="L35" s="66">
        <f>IF(OR($E34=0,L34="",L$6&lt;&gt;1),0,1/$E34)</f>
        <v/>
      </c>
      <c r="M35" s="66">
        <f>IF(OR($E34=0,M34="",M$6&lt;&gt;1),0,1/$E34)</f>
        <v/>
      </c>
      <c r="N35" s="66">
        <f>IF(OR($E34=0,N34="",N$6&lt;&gt;1),0,1/$E34)</f>
        <v/>
      </c>
      <c r="O35" s="66">
        <f>IF(OR($E34=0,O34="",O$6&lt;&gt;1),0,1/$E34)</f>
        <v/>
      </c>
      <c r="P35" s="66">
        <f>IF(OR($E34=0,P34="",P$6&lt;&gt;1),0,1/$E34)</f>
        <v/>
      </c>
      <c r="Q35" s="66">
        <f>IF(OR($E34=0,Q34="",Q$6&lt;&gt;1),0,1/$E34)</f>
        <v/>
      </c>
      <c r="R35" s="66">
        <f>IF(OR($E34=0,R34="",R$6&lt;&gt;1),0,1/$E34)</f>
        <v/>
      </c>
      <c r="S35" s="66">
        <f>IF(OR($E34=0,S34="",S$6&lt;&gt;1),0,1/$E34)</f>
        <v/>
      </c>
      <c r="T35" s="66">
        <f>IF(OR($E34=0,T34="",T$6&lt;&gt;1),0,1/$E34)</f>
        <v/>
      </c>
      <c r="U35" s="66">
        <f>IF(OR($E34=0,U34="",U$6&lt;&gt;1),0,1/$E34)</f>
        <v/>
      </c>
      <c r="V35" s="66">
        <f>IF(OR($E34=0,V34="",V$6&lt;&gt;1),0,1/$E34)</f>
        <v/>
      </c>
      <c r="W35" s="66">
        <f>IF(OR($E34=0,W34="",W$6&lt;&gt;1),0,1/$E34)</f>
        <v/>
      </c>
      <c r="X35" s="66">
        <f>IF(OR($E34=0,X34="",X$6&lt;&gt;1),0,1/$E34)</f>
        <v/>
      </c>
      <c r="Y35" s="66">
        <f>IF(OR($E34=0,Y34="",Y$6&lt;&gt;1),0,1/$E34)</f>
        <v/>
      </c>
      <c r="Z35" s="66">
        <f>IF(OR($E34=0,Z34="",Z$6&lt;&gt;1),0,1/$E34)</f>
        <v/>
      </c>
      <c r="AA35" s="66">
        <f>IF(OR($E34=0,AA34="",AA$6&lt;&gt;1),0,1/$E34)</f>
        <v/>
      </c>
      <c r="AB35" s="66">
        <f>IF(OR($E34=0,AB34="",AB$6&lt;&gt;1),0,1/$E34)</f>
        <v/>
      </c>
      <c r="AC35" s="66">
        <f>IF(OR($E34=0,AC34="",AC$6&lt;&gt;1),0,1/$E34)</f>
        <v/>
      </c>
    </row>
    <row r="36">
      <c r="A36" s="76" t="n"/>
      <c r="B36" s="77" t="n"/>
      <c r="C36" s="78" t="inlineStr">
        <is>
          <t>累計出来高率</t>
        </is>
      </c>
      <c r="D36" s="79" t="n"/>
      <c r="E36" s="76" t="n"/>
      <c r="F36" s="80" t="n"/>
      <c r="G36" s="81" t="n"/>
      <c r="H36" s="66">
        <f>H35</f>
        <v/>
      </c>
      <c r="I36" s="66">
        <f>H36+I35</f>
        <v/>
      </c>
      <c r="J36" s="66">
        <f>I36+J35</f>
        <v/>
      </c>
      <c r="K36" s="66">
        <f>J36+K35</f>
        <v/>
      </c>
      <c r="L36" s="66">
        <f>K36+L35</f>
        <v/>
      </c>
      <c r="M36" s="66">
        <f>L36+M35</f>
        <v/>
      </c>
      <c r="N36" s="66">
        <f>M36+N35</f>
        <v/>
      </c>
      <c r="O36" s="66">
        <f>N36+O35</f>
        <v/>
      </c>
      <c r="P36" s="66">
        <f>O36+P35</f>
        <v/>
      </c>
      <c r="Q36" s="66">
        <f>P36+Q35</f>
        <v/>
      </c>
      <c r="R36" s="66">
        <f>Q36+R35</f>
        <v/>
      </c>
      <c r="S36" s="66">
        <f>R36+S35</f>
        <v/>
      </c>
      <c r="T36" s="66">
        <f>S36+T35</f>
        <v/>
      </c>
      <c r="U36" s="66">
        <f>T36+U35</f>
        <v/>
      </c>
      <c r="V36" s="66">
        <f>U36+V35</f>
        <v/>
      </c>
      <c r="W36" s="66">
        <f>V36+W35</f>
        <v/>
      </c>
      <c r="X36" s="66">
        <f>W36+X35</f>
        <v/>
      </c>
      <c r="Y36" s="66">
        <f>X36+Y35</f>
        <v/>
      </c>
      <c r="Z36" s="66">
        <f>Y36+Z35</f>
        <v/>
      </c>
      <c r="AA36" s="66">
        <f>Z36+AA35</f>
        <v/>
      </c>
      <c r="AB36" s="66">
        <f>AA36+AB35</f>
        <v/>
      </c>
      <c r="AC36" s="66">
        <f>AB36+AC35</f>
        <v/>
      </c>
    </row>
    <row r="37">
      <c r="A37" s="70" t="inlineStr">
        <is>
          <t>2</t>
        </is>
      </c>
      <c r="B37" s="71" t="inlineStr">
        <is>
          <t>躯体工事</t>
        </is>
      </c>
      <c r="C37" s="72" t="inlineStr">
        <is>
          <t>工程</t>
        </is>
      </c>
      <c r="D37" s="73">
        <f>'金額リスト'!C16</f>
        <v/>
      </c>
      <c r="E37" s="70">
        <f>SUMPRODUCT((H37:AC37&lt;&gt;"")*(H$6:AC$6=1))</f>
        <v/>
      </c>
      <c r="F37" s="74">
        <f>SUM(H38:AC38)</f>
        <v/>
      </c>
      <c r="G37" s="75">
        <f>IF(AND(ABS(F37-1)&lt;0.0001,ABS(AC39-1)&lt;0.0001),"OK",IF(E37=0,"工程未設定","NG"))</f>
        <v/>
      </c>
      <c r="H37" s="59" t="n"/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  <c r="AC37" s="59" t="n"/>
    </row>
    <row r="38">
      <c r="A38" s="76" t="n"/>
      <c r="B38" s="77" t="n"/>
      <c r="C38" s="78" t="inlineStr">
        <is>
          <t>今週出来高率</t>
        </is>
      </c>
      <c r="D38" s="79" t="n"/>
      <c r="E38" s="76" t="n"/>
      <c r="F38" s="80" t="n"/>
      <c r="G38" s="81" t="n"/>
      <c r="H38" s="66">
        <f>IF(OR($E37=0,H37="",H$6&lt;&gt;1),0,1/$E37)</f>
        <v/>
      </c>
      <c r="I38" s="66">
        <f>IF(OR($E37=0,I37="",I$6&lt;&gt;1),0,1/$E37)</f>
        <v/>
      </c>
      <c r="J38" s="66">
        <f>IF(OR($E37=0,J37="",J$6&lt;&gt;1),0,1/$E37)</f>
        <v/>
      </c>
      <c r="K38" s="66">
        <f>IF(OR($E37=0,K37="",K$6&lt;&gt;1),0,1/$E37)</f>
        <v/>
      </c>
      <c r="L38" s="66">
        <f>IF(OR($E37=0,L37="",L$6&lt;&gt;1),0,1/$E37)</f>
        <v/>
      </c>
      <c r="M38" s="66">
        <f>IF(OR($E37=0,M37="",M$6&lt;&gt;1),0,1/$E37)</f>
        <v/>
      </c>
      <c r="N38" s="66">
        <f>IF(OR($E37=0,N37="",N$6&lt;&gt;1),0,1/$E37)</f>
        <v/>
      </c>
      <c r="O38" s="66">
        <f>IF(OR($E37=0,O37="",O$6&lt;&gt;1),0,1/$E37)</f>
        <v/>
      </c>
      <c r="P38" s="66">
        <f>IF(OR($E37=0,P37="",P$6&lt;&gt;1),0,1/$E37)</f>
        <v/>
      </c>
      <c r="Q38" s="66">
        <f>IF(OR($E37=0,Q37="",Q$6&lt;&gt;1),0,1/$E37)</f>
        <v/>
      </c>
      <c r="R38" s="66">
        <f>IF(OR($E37=0,R37="",R$6&lt;&gt;1),0,1/$E37)</f>
        <v/>
      </c>
      <c r="S38" s="66">
        <f>IF(OR($E37=0,S37="",S$6&lt;&gt;1),0,1/$E37)</f>
        <v/>
      </c>
      <c r="T38" s="66">
        <f>IF(OR($E37=0,T37="",T$6&lt;&gt;1),0,1/$E37)</f>
        <v/>
      </c>
      <c r="U38" s="66">
        <f>IF(OR($E37=0,U37="",U$6&lt;&gt;1),0,1/$E37)</f>
        <v/>
      </c>
      <c r="V38" s="66">
        <f>IF(OR($E37=0,V37="",V$6&lt;&gt;1),0,1/$E37)</f>
        <v/>
      </c>
      <c r="W38" s="66">
        <f>IF(OR($E37=0,W37="",W$6&lt;&gt;1),0,1/$E37)</f>
        <v/>
      </c>
      <c r="X38" s="66">
        <f>IF(OR($E37=0,X37="",X$6&lt;&gt;1),0,1/$E37)</f>
        <v/>
      </c>
      <c r="Y38" s="66">
        <f>IF(OR($E37=0,Y37="",Y$6&lt;&gt;1),0,1/$E37)</f>
        <v/>
      </c>
      <c r="Z38" s="66">
        <f>IF(OR($E37=0,Z37="",Z$6&lt;&gt;1),0,1/$E37)</f>
        <v/>
      </c>
      <c r="AA38" s="66">
        <f>IF(OR($E37=0,AA37="",AA$6&lt;&gt;1),0,1/$E37)</f>
        <v/>
      </c>
      <c r="AB38" s="66">
        <f>IF(OR($E37=0,AB37="",AB$6&lt;&gt;1),0,1/$E37)</f>
        <v/>
      </c>
      <c r="AC38" s="66">
        <f>IF(OR($E37=0,AC37="",AC$6&lt;&gt;1),0,1/$E37)</f>
        <v/>
      </c>
    </row>
    <row r="39">
      <c r="A39" s="76" t="n"/>
      <c r="B39" s="77" t="n"/>
      <c r="C39" s="78" t="inlineStr">
        <is>
          <t>累計出来高率</t>
        </is>
      </c>
      <c r="D39" s="79" t="n"/>
      <c r="E39" s="76" t="n"/>
      <c r="F39" s="80" t="n"/>
      <c r="G39" s="81" t="n"/>
      <c r="H39" s="66">
        <f>H38</f>
        <v/>
      </c>
      <c r="I39" s="66">
        <f>H39+I38</f>
        <v/>
      </c>
      <c r="J39" s="66">
        <f>I39+J38</f>
        <v/>
      </c>
      <c r="K39" s="66">
        <f>J39+K38</f>
        <v/>
      </c>
      <c r="L39" s="66">
        <f>K39+L38</f>
        <v/>
      </c>
      <c r="M39" s="66">
        <f>L39+M38</f>
        <v/>
      </c>
      <c r="N39" s="66">
        <f>M39+N38</f>
        <v/>
      </c>
      <c r="O39" s="66">
        <f>N39+O38</f>
        <v/>
      </c>
      <c r="P39" s="66">
        <f>O39+P38</f>
        <v/>
      </c>
      <c r="Q39" s="66">
        <f>P39+Q38</f>
        <v/>
      </c>
      <c r="R39" s="66">
        <f>Q39+R38</f>
        <v/>
      </c>
      <c r="S39" s="66">
        <f>R39+S38</f>
        <v/>
      </c>
      <c r="T39" s="66">
        <f>S39+T38</f>
        <v/>
      </c>
      <c r="U39" s="66">
        <f>T39+U38</f>
        <v/>
      </c>
      <c r="V39" s="66">
        <f>U39+V38</f>
        <v/>
      </c>
      <c r="W39" s="66">
        <f>V39+W38</f>
        <v/>
      </c>
      <c r="X39" s="66">
        <f>W39+X38</f>
        <v/>
      </c>
      <c r="Y39" s="66">
        <f>X39+Y38</f>
        <v/>
      </c>
      <c r="Z39" s="66">
        <f>Y39+Z38</f>
        <v/>
      </c>
      <c r="AA39" s="66">
        <f>Z39+AA38</f>
        <v/>
      </c>
      <c r="AB39" s="66">
        <f>AA39+AB38</f>
        <v/>
      </c>
      <c r="AC39" s="66">
        <f>AB39+AC38</f>
        <v/>
      </c>
    </row>
    <row r="40">
      <c r="A40" s="70" t="inlineStr">
        <is>
          <t>3</t>
        </is>
      </c>
      <c r="B40" s="71" t="inlineStr">
        <is>
          <t>防水工事</t>
        </is>
      </c>
      <c r="C40" s="72" t="inlineStr">
        <is>
          <t>工程</t>
        </is>
      </c>
      <c r="D40" s="73">
        <f>'金額リスト'!C17</f>
        <v/>
      </c>
      <c r="E40" s="70">
        <f>SUMPRODUCT((H40:AC40&lt;&gt;"")*(H$6:AC$6=1))</f>
        <v/>
      </c>
      <c r="F40" s="74">
        <f>SUM(H41:AC41)</f>
        <v/>
      </c>
      <c r="G40" s="75">
        <f>IF(AND(ABS(F40-1)&lt;0.0001,ABS(AC42-1)&lt;0.0001),"OK",IF(E40=0,"工程未設定","NG"))</f>
        <v/>
      </c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</row>
    <row r="41">
      <c r="A41" s="76" t="n"/>
      <c r="B41" s="77" t="n"/>
      <c r="C41" s="78" t="inlineStr">
        <is>
          <t>今週出来高率</t>
        </is>
      </c>
      <c r="D41" s="79" t="n"/>
      <c r="E41" s="76" t="n"/>
      <c r="F41" s="80" t="n"/>
      <c r="G41" s="81" t="n"/>
      <c r="H41" s="66">
        <f>IF(OR($E40=0,H40="",H$6&lt;&gt;1),0,1/$E40)</f>
        <v/>
      </c>
      <c r="I41" s="66">
        <f>IF(OR($E40=0,I40="",I$6&lt;&gt;1),0,1/$E40)</f>
        <v/>
      </c>
      <c r="J41" s="66">
        <f>IF(OR($E40=0,J40="",J$6&lt;&gt;1),0,1/$E40)</f>
        <v/>
      </c>
      <c r="K41" s="66">
        <f>IF(OR($E40=0,K40="",K$6&lt;&gt;1),0,1/$E40)</f>
        <v/>
      </c>
      <c r="L41" s="66">
        <f>IF(OR($E40=0,L40="",L$6&lt;&gt;1),0,1/$E40)</f>
        <v/>
      </c>
      <c r="M41" s="66">
        <f>IF(OR($E40=0,M40="",M$6&lt;&gt;1),0,1/$E40)</f>
        <v/>
      </c>
      <c r="N41" s="66">
        <f>IF(OR($E40=0,N40="",N$6&lt;&gt;1),0,1/$E40)</f>
        <v/>
      </c>
      <c r="O41" s="66">
        <f>IF(OR($E40=0,O40="",O$6&lt;&gt;1),0,1/$E40)</f>
        <v/>
      </c>
      <c r="P41" s="66">
        <f>IF(OR($E40=0,P40="",P$6&lt;&gt;1),0,1/$E40)</f>
        <v/>
      </c>
      <c r="Q41" s="66">
        <f>IF(OR($E40=0,Q40="",Q$6&lt;&gt;1),0,1/$E40)</f>
        <v/>
      </c>
      <c r="R41" s="66">
        <f>IF(OR($E40=0,R40="",R$6&lt;&gt;1),0,1/$E40)</f>
        <v/>
      </c>
      <c r="S41" s="66">
        <f>IF(OR($E40=0,S40="",S$6&lt;&gt;1),0,1/$E40)</f>
        <v/>
      </c>
      <c r="T41" s="66">
        <f>IF(OR($E40=0,T40="",T$6&lt;&gt;1),0,1/$E40)</f>
        <v/>
      </c>
      <c r="U41" s="66">
        <f>IF(OR($E40=0,U40="",U$6&lt;&gt;1),0,1/$E40)</f>
        <v/>
      </c>
      <c r="V41" s="66">
        <f>IF(OR($E40=0,V40="",V$6&lt;&gt;1),0,1/$E40)</f>
        <v/>
      </c>
      <c r="W41" s="66">
        <f>IF(OR($E40=0,W40="",W$6&lt;&gt;1),0,1/$E40)</f>
        <v/>
      </c>
      <c r="X41" s="66">
        <f>IF(OR($E40=0,X40="",X$6&lt;&gt;1),0,1/$E40)</f>
        <v/>
      </c>
      <c r="Y41" s="66">
        <f>IF(OR($E40=0,Y40="",Y$6&lt;&gt;1),0,1/$E40)</f>
        <v/>
      </c>
      <c r="Z41" s="66">
        <f>IF(OR($E40=0,Z40="",Z$6&lt;&gt;1),0,1/$E40)</f>
        <v/>
      </c>
      <c r="AA41" s="66">
        <f>IF(OR($E40=0,AA40="",AA$6&lt;&gt;1),0,1/$E40)</f>
        <v/>
      </c>
      <c r="AB41" s="66">
        <f>IF(OR($E40=0,AB40="",AB$6&lt;&gt;1),0,1/$E40)</f>
        <v/>
      </c>
      <c r="AC41" s="66">
        <f>IF(OR($E40=0,AC40="",AC$6&lt;&gt;1),0,1/$E40)</f>
        <v/>
      </c>
    </row>
    <row r="42">
      <c r="A42" s="76" t="n"/>
      <c r="B42" s="77" t="n"/>
      <c r="C42" s="78" t="inlineStr">
        <is>
          <t>累計出来高率</t>
        </is>
      </c>
      <c r="D42" s="79" t="n"/>
      <c r="E42" s="76" t="n"/>
      <c r="F42" s="80" t="n"/>
      <c r="G42" s="81" t="n"/>
      <c r="H42" s="66">
        <f>H41</f>
        <v/>
      </c>
      <c r="I42" s="66">
        <f>H42+I41</f>
        <v/>
      </c>
      <c r="J42" s="66">
        <f>I42+J41</f>
        <v/>
      </c>
      <c r="K42" s="66">
        <f>J42+K41</f>
        <v/>
      </c>
      <c r="L42" s="66">
        <f>K42+L41</f>
        <v/>
      </c>
      <c r="M42" s="66">
        <f>L42+M41</f>
        <v/>
      </c>
      <c r="N42" s="66">
        <f>M42+N41</f>
        <v/>
      </c>
      <c r="O42" s="66">
        <f>N42+O41</f>
        <v/>
      </c>
      <c r="P42" s="66">
        <f>O42+P41</f>
        <v/>
      </c>
      <c r="Q42" s="66">
        <f>P42+Q41</f>
        <v/>
      </c>
      <c r="R42" s="66">
        <f>Q42+R41</f>
        <v/>
      </c>
      <c r="S42" s="66">
        <f>R42+S41</f>
        <v/>
      </c>
      <c r="T42" s="66">
        <f>S42+T41</f>
        <v/>
      </c>
      <c r="U42" s="66">
        <f>T42+U41</f>
        <v/>
      </c>
      <c r="V42" s="66">
        <f>U42+V41</f>
        <v/>
      </c>
      <c r="W42" s="66">
        <f>V42+W41</f>
        <v/>
      </c>
      <c r="X42" s="66">
        <f>W42+X41</f>
        <v/>
      </c>
      <c r="Y42" s="66">
        <f>X42+Y41</f>
        <v/>
      </c>
      <c r="Z42" s="66">
        <f>Y42+Z41</f>
        <v/>
      </c>
      <c r="AA42" s="66">
        <f>Z42+AA41</f>
        <v/>
      </c>
      <c r="AB42" s="66">
        <f>AA42+AB41</f>
        <v/>
      </c>
      <c r="AC42" s="66">
        <f>AB42+AC41</f>
        <v/>
      </c>
    </row>
    <row r="43">
      <c r="A43" s="70" t="inlineStr">
        <is>
          <t>4</t>
        </is>
      </c>
      <c r="B43" s="71" t="inlineStr">
        <is>
          <t>タイル工事</t>
        </is>
      </c>
      <c r="C43" s="72" t="inlineStr">
        <is>
          <t>工程</t>
        </is>
      </c>
      <c r="D43" s="73">
        <f>'金額リスト'!C18</f>
        <v/>
      </c>
      <c r="E43" s="70">
        <f>SUMPRODUCT((H43:AC43&lt;&gt;"")*(H$6:AC$6=1))</f>
        <v/>
      </c>
      <c r="F43" s="74">
        <f>SUM(H44:AC44)</f>
        <v/>
      </c>
      <c r="G43" s="75">
        <f>IF(AND(ABS(F43-1)&lt;0.0001,ABS(AC45-1)&lt;0.0001),"OK",IF(E43=0,"工程未設定","NG"))</f>
        <v/>
      </c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>
        <v>1</v>
      </c>
      <c r="V43" s="59" t="n">
        <v>1</v>
      </c>
      <c r="W43" s="59" t="n">
        <v>1</v>
      </c>
      <c r="X43" s="59" t="n"/>
      <c r="Y43" s="59" t="n">
        <v>1</v>
      </c>
      <c r="Z43" s="59" t="n">
        <v>1</v>
      </c>
      <c r="AA43" s="59" t="n">
        <v>1</v>
      </c>
      <c r="AB43" s="59" t="n"/>
      <c r="AC43" s="59" t="n"/>
    </row>
    <row r="44">
      <c r="A44" s="76" t="n"/>
      <c r="B44" s="77" t="n"/>
      <c r="C44" s="78" t="inlineStr">
        <is>
          <t>今週出来高率</t>
        </is>
      </c>
      <c r="D44" s="79" t="n"/>
      <c r="E44" s="76" t="n"/>
      <c r="F44" s="80" t="n"/>
      <c r="G44" s="81" t="n"/>
      <c r="H44" s="66">
        <f>IF(OR($E43=0,H43="",H$6&lt;&gt;1),0,1/$E43)</f>
        <v/>
      </c>
      <c r="I44" s="66">
        <f>IF(OR($E43=0,I43="",I$6&lt;&gt;1),0,1/$E43)</f>
        <v/>
      </c>
      <c r="J44" s="66">
        <f>IF(OR($E43=0,J43="",J$6&lt;&gt;1),0,1/$E43)</f>
        <v/>
      </c>
      <c r="K44" s="66">
        <f>IF(OR($E43=0,K43="",K$6&lt;&gt;1),0,1/$E43)</f>
        <v/>
      </c>
      <c r="L44" s="66">
        <f>IF(OR($E43=0,L43="",L$6&lt;&gt;1),0,1/$E43)</f>
        <v/>
      </c>
      <c r="M44" s="66">
        <f>IF(OR($E43=0,M43="",M$6&lt;&gt;1),0,1/$E43)</f>
        <v/>
      </c>
      <c r="N44" s="66">
        <f>IF(OR($E43=0,N43="",N$6&lt;&gt;1),0,1/$E43)</f>
        <v/>
      </c>
      <c r="O44" s="66">
        <f>IF(OR($E43=0,O43="",O$6&lt;&gt;1),0,1/$E43)</f>
        <v/>
      </c>
      <c r="P44" s="66">
        <f>IF(OR($E43=0,P43="",P$6&lt;&gt;1),0,1/$E43)</f>
        <v/>
      </c>
      <c r="Q44" s="66">
        <f>IF(OR($E43=0,Q43="",Q$6&lt;&gt;1),0,1/$E43)</f>
        <v/>
      </c>
      <c r="R44" s="66">
        <f>IF(OR($E43=0,R43="",R$6&lt;&gt;1),0,1/$E43)</f>
        <v/>
      </c>
      <c r="S44" s="66">
        <f>IF(OR($E43=0,S43="",S$6&lt;&gt;1),0,1/$E43)</f>
        <v/>
      </c>
      <c r="T44" s="66">
        <f>IF(OR($E43=0,T43="",T$6&lt;&gt;1),0,1/$E43)</f>
        <v/>
      </c>
      <c r="U44" s="66">
        <f>IF(OR($E43=0,U43="",U$6&lt;&gt;1),0,1/$E43)</f>
        <v/>
      </c>
      <c r="V44" s="66">
        <f>IF(OR($E43=0,V43="",V$6&lt;&gt;1),0,1/$E43)</f>
        <v/>
      </c>
      <c r="W44" s="66">
        <f>IF(OR($E43=0,W43="",W$6&lt;&gt;1),0,1/$E43)</f>
        <v/>
      </c>
      <c r="X44" s="66">
        <f>IF(OR($E43=0,X43="",X$6&lt;&gt;1),0,1/$E43)</f>
        <v/>
      </c>
      <c r="Y44" s="66">
        <f>IF(OR($E43=0,Y43="",Y$6&lt;&gt;1),0,1/$E43)</f>
        <v/>
      </c>
      <c r="Z44" s="66">
        <f>IF(OR($E43=0,Z43="",Z$6&lt;&gt;1),0,1/$E43)</f>
        <v/>
      </c>
      <c r="AA44" s="66">
        <f>IF(OR($E43=0,AA43="",AA$6&lt;&gt;1),0,1/$E43)</f>
        <v/>
      </c>
      <c r="AB44" s="66">
        <f>IF(OR($E43=0,AB43="",AB$6&lt;&gt;1),0,1/$E43)</f>
        <v/>
      </c>
      <c r="AC44" s="66">
        <f>IF(OR($E43=0,AC43="",AC$6&lt;&gt;1),0,1/$E43)</f>
        <v/>
      </c>
    </row>
    <row r="45">
      <c r="A45" s="76" t="n"/>
      <c r="B45" s="77" t="n"/>
      <c r="C45" s="78" t="inlineStr">
        <is>
          <t>累計出来高率</t>
        </is>
      </c>
      <c r="D45" s="79" t="n"/>
      <c r="E45" s="76" t="n"/>
      <c r="F45" s="80" t="n"/>
      <c r="G45" s="81" t="n"/>
      <c r="H45" s="66">
        <f>H44</f>
        <v/>
      </c>
      <c r="I45" s="66">
        <f>H45+I44</f>
        <v/>
      </c>
      <c r="J45" s="66">
        <f>I45+J44</f>
        <v/>
      </c>
      <c r="K45" s="66">
        <f>J45+K44</f>
        <v/>
      </c>
      <c r="L45" s="66">
        <f>K45+L44</f>
        <v/>
      </c>
      <c r="M45" s="66">
        <f>L45+M44</f>
        <v/>
      </c>
      <c r="N45" s="66">
        <f>M45+N44</f>
        <v/>
      </c>
      <c r="O45" s="66">
        <f>N45+O44</f>
        <v/>
      </c>
      <c r="P45" s="66">
        <f>O45+P44</f>
        <v/>
      </c>
      <c r="Q45" s="66">
        <f>P45+Q44</f>
        <v/>
      </c>
      <c r="R45" s="66">
        <f>Q45+R44</f>
        <v/>
      </c>
      <c r="S45" s="66">
        <f>R45+S44</f>
        <v/>
      </c>
      <c r="T45" s="66">
        <f>S45+T44</f>
        <v/>
      </c>
      <c r="U45" s="66">
        <f>T45+U44</f>
        <v/>
      </c>
      <c r="V45" s="66">
        <f>U45+V44</f>
        <v/>
      </c>
      <c r="W45" s="66">
        <f>V45+W44</f>
        <v/>
      </c>
      <c r="X45" s="66">
        <f>W45+X44</f>
        <v/>
      </c>
      <c r="Y45" s="66">
        <f>X45+Y44</f>
        <v/>
      </c>
      <c r="Z45" s="66">
        <f>Y45+Z44</f>
        <v/>
      </c>
      <c r="AA45" s="66">
        <f>Z45+AA44</f>
        <v/>
      </c>
      <c r="AB45" s="66">
        <f>AA45+AB44</f>
        <v/>
      </c>
      <c r="AC45" s="66">
        <f>AB45+AC44</f>
        <v/>
      </c>
    </row>
    <row r="46">
      <c r="A46" s="70" t="inlineStr">
        <is>
          <t>5</t>
        </is>
      </c>
      <c r="B46" s="71" t="inlineStr">
        <is>
          <t>金属工事</t>
        </is>
      </c>
      <c r="C46" s="72" t="inlineStr">
        <is>
          <t>工程</t>
        </is>
      </c>
      <c r="D46" s="73">
        <f>'金額リスト'!C19</f>
        <v/>
      </c>
      <c r="E46" s="70">
        <f>SUMPRODUCT((H46:AC46&lt;&gt;"")*(H$6:AC$6=1))</f>
        <v/>
      </c>
      <c r="F46" s="74">
        <f>SUM(H47:AC47)</f>
        <v/>
      </c>
      <c r="G46" s="75">
        <f>IF(AND(ABS(F46-1)&lt;0.0001,ABS(AC48-1)&lt;0.0001),"OK",IF(E46=0,"工程未設定","NG"))</f>
        <v/>
      </c>
      <c r="H46" s="59" t="n"/>
      <c r="I46" s="59" t="n"/>
      <c r="J46" s="59" t="n"/>
      <c r="K46" s="59" t="n"/>
      <c r="L46" s="59" t="n"/>
      <c r="M46" s="59" t="n">
        <v>1</v>
      </c>
      <c r="N46" s="59" t="n">
        <v>1</v>
      </c>
      <c r="O46" s="59" t="n">
        <v>1</v>
      </c>
      <c r="P46" s="59" t="n"/>
      <c r="Q46" s="59" t="n"/>
      <c r="R46" s="59" t="n"/>
      <c r="S46" s="59" t="n"/>
      <c r="T46" s="59" t="n"/>
      <c r="U46" s="59" t="n"/>
      <c r="V46" s="59" t="n">
        <v>1</v>
      </c>
      <c r="W46" s="59" t="n"/>
      <c r="X46" s="59" t="n">
        <v>1</v>
      </c>
      <c r="Y46" s="59" t="n"/>
      <c r="Z46" s="59" t="n"/>
      <c r="AA46" s="59" t="n"/>
      <c r="AB46" s="59" t="n"/>
      <c r="AC46" s="59" t="n"/>
    </row>
    <row r="47">
      <c r="A47" s="76" t="n"/>
      <c r="B47" s="77" t="n"/>
      <c r="C47" s="78" t="inlineStr">
        <is>
          <t>今週出来高率</t>
        </is>
      </c>
      <c r="D47" s="79" t="n"/>
      <c r="E47" s="76" t="n"/>
      <c r="F47" s="80" t="n"/>
      <c r="G47" s="81" t="n"/>
      <c r="H47" s="66">
        <f>IF(OR($E46=0,H46="",H$6&lt;&gt;1),0,1/$E46)</f>
        <v/>
      </c>
      <c r="I47" s="66">
        <f>IF(OR($E46=0,I46="",I$6&lt;&gt;1),0,1/$E46)</f>
        <v/>
      </c>
      <c r="J47" s="66">
        <f>IF(OR($E46=0,J46="",J$6&lt;&gt;1),0,1/$E46)</f>
        <v/>
      </c>
      <c r="K47" s="66">
        <f>IF(OR($E46=0,K46="",K$6&lt;&gt;1),0,1/$E46)</f>
        <v/>
      </c>
      <c r="L47" s="66">
        <f>IF(OR($E46=0,L46="",L$6&lt;&gt;1),0,1/$E46)</f>
        <v/>
      </c>
      <c r="M47" s="66">
        <f>IF(OR($E46=0,M46="",M$6&lt;&gt;1),0,1/$E46)</f>
        <v/>
      </c>
      <c r="N47" s="66">
        <f>IF(OR($E46=0,N46="",N$6&lt;&gt;1),0,1/$E46)</f>
        <v/>
      </c>
      <c r="O47" s="66">
        <f>IF(OR($E46=0,O46="",O$6&lt;&gt;1),0,1/$E46)</f>
        <v/>
      </c>
      <c r="P47" s="66">
        <f>IF(OR($E46=0,P46="",P$6&lt;&gt;1),0,1/$E46)</f>
        <v/>
      </c>
      <c r="Q47" s="66">
        <f>IF(OR($E46=0,Q46="",Q$6&lt;&gt;1),0,1/$E46)</f>
        <v/>
      </c>
      <c r="R47" s="66">
        <f>IF(OR($E46=0,R46="",R$6&lt;&gt;1),0,1/$E46)</f>
        <v/>
      </c>
      <c r="S47" s="66">
        <f>IF(OR($E46=0,S46="",S$6&lt;&gt;1),0,1/$E46)</f>
        <v/>
      </c>
      <c r="T47" s="66">
        <f>IF(OR($E46=0,T46="",T$6&lt;&gt;1),0,1/$E46)</f>
        <v/>
      </c>
      <c r="U47" s="66">
        <f>IF(OR($E46=0,U46="",U$6&lt;&gt;1),0,1/$E46)</f>
        <v/>
      </c>
      <c r="V47" s="66">
        <f>IF(OR($E46=0,V46="",V$6&lt;&gt;1),0,1/$E46)</f>
        <v/>
      </c>
      <c r="W47" s="66">
        <f>IF(OR($E46=0,W46="",W$6&lt;&gt;1),0,1/$E46)</f>
        <v/>
      </c>
      <c r="X47" s="66">
        <f>IF(OR($E46=0,X46="",X$6&lt;&gt;1),0,1/$E46)</f>
        <v/>
      </c>
      <c r="Y47" s="66">
        <f>IF(OR($E46=0,Y46="",Y$6&lt;&gt;1),0,1/$E46)</f>
        <v/>
      </c>
      <c r="Z47" s="66">
        <f>IF(OR($E46=0,Z46="",Z$6&lt;&gt;1),0,1/$E46)</f>
        <v/>
      </c>
      <c r="AA47" s="66">
        <f>IF(OR($E46=0,AA46="",AA$6&lt;&gt;1),0,1/$E46)</f>
        <v/>
      </c>
      <c r="AB47" s="66">
        <f>IF(OR($E46=0,AB46="",AB$6&lt;&gt;1),0,1/$E46)</f>
        <v/>
      </c>
      <c r="AC47" s="66">
        <f>IF(OR($E46=0,AC46="",AC$6&lt;&gt;1),0,1/$E46)</f>
        <v/>
      </c>
    </row>
    <row r="48">
      <c r="A48" s="76" t="n"/>
      <c r="B48" s="77" t="n"/>
      <c r="C48" s="78" t="inlineStr">
        <is>
          <t>累計出来高率</t>
        </is>
      </c>
      <c r="D48" s="79" t="n"/>
      <c r="E48" s="76" t="n"/>
      <c r="F48" s="80" t="n"/>
      <c r="G48" s="81" t="n"/>
      <c r="H48" s="66">
        <f>H47</f>
        <v/>
      </c>
      <c r="I48" s="66">
        <f>H48+I47</f>
        <v/>
      </c>
      <c r="J48" s="66">
        <f>I48+J47</f>
        <v/>
      </c>
      <c r="K48" s="66">
        <f>J48+K47</f>
        <v/>
      </c>
      <c r="L48" s="66">
        <f>K48+L47</f>
        <v/>
      </c>
      <c r="M48" s="66">
        <f>L48+M47</f>
        <v/>
      </c>
      <c r="N48" s="66">
        <f>M48+N47</f>
        <v/>
      </c>
      <c r="O48" s="66">
        <f>N48+O47</f>
        <v/>
      </c>
      <c r="P48" s="66">
        <f>O48+P47</f>
        <v/>
      </c>
      <c r="Q48" s="66">
        <f>P48+Q47</f>
        <v/>
      </c>
      <c r="R48" s="66">
        <f>Q48+R47</f>
        <v/>
      </c>
      <c r="S48" s="66">
        <f>R48+S47</f>
        <v/>
      </c>
      <c r="T48" s="66">
        <f>S48+T47</f>
        <v/>
      </c>
      <c r="U48" s="66">
        <f>T48+U47</f>
        <v/>
      </c>
      <c r="V48" s="66">
        <f>U48+V47</f>
        <v/>
      </c>
      <c r="W48" s="66">
        <f>V48+W47</f>
        <v/>
      </c>
      <c r="X48" s="66">
        <f>W48+X47</f>
        <v/>
      </c>
      <c r="Y48" s="66">
        <f>X48+Y47</f>
        <v/>
      </c>
      <c r="Z48" s="66">
        <f>Y48+Z47</f>
        <v/>
      </c>
      <c r="AA48" s="66">
        <f>Z48+AA47</f>
        <v/>
      </c>
      <c r="AB48" s="66">
        <f>AA48+AB47</f>
        <v/>
      </c>
      <c r="AC48" s="66">
        <f>AB48+AC47</f>
        <v/>
      </c>
    </row>
    <row r="49">
      <c r="A49" s="70" t="inlineStr">
        <is>
          <t>6</t>
        </is>
      </c>
      <c r="B49" s="71" t="inlineStr">
        <is>
          <t>金属製建具工事</t>
        </is>
      </c>
      <c r="C49" s="72" t="inlineStr">
        <is>
          <t>工程</t>
        </is>
      </c>
      <c r="D49" s="73">
        <f>'金額リスト'!C20</f>
        <v/>
      </c>
      <c r="E49" s="70">
        <f>SUMPRODUCT((H49:AC49&lt;&gt;"")*(H$6:AC$6=1))</f>
        <v/>
      </c>
      <c r="F49" s="74">
        <f>SUM(H50:AC50)</f>
        <v/>
      </c>
      <c r="G49" s="75">
        <f>IF(AND(ABS(F49-1)&lt;0.0001,ABS(AC51-1)&lt;0.0001),"OK",IF(E49=0,"工程未設定","NG"))</f>
        <v/>
      </c>
      <c r="H49" s="59" t="n"/>
      <c r="I49" s="59" t="n"/>
      <c r="J49" s="59" t="n"/>
      <c r="K49" s="59" t="n"/>
      <c r="L49" s="59" t="n"/>
      <c r="M49" s="59" t="n"/>
      <c r="N49" s="59" t="n"/>
      <c r="O49" s="59" t="n">
        <v>1</v>
      </c>
      <c r="P49" s="59" t="n"/>
      <c r="Q49" s="59" t="n">
        <v>1</v>
      </c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  <c r="AA49" s="59" t="n"/>
      <c r="AB49" s="59" t="n"/>
      <c r="AC49" s="59" t="n"/>
    </row>
    <row r="50">
      <c r="A50" s="76" t="n"/>
      <c r="B50" s="77" t="n"/>
      <c r="C50" s="78" t="inlineStr">
        <is>
          <t>今週出来高率</t>
        </is>
      </c>
      <c r="D50" s="79" t="n"/>
      <c r="E50" s="76" t="n"/>
      <c r="F50" s="80" t="n"/>
      <c r="G50" s="81" t="n"/>
      <c r="H50" s="66">
        <f>IF(OR($E49=0,H49="",H$6&lt;&gt;1),0,1/$E49)</f>
        <v/>
      </c>
      <c r="I50" s="66">
        <f>IF(OR($E49=0,I49="",I$6&lt;&gt;1),0,1/$E49)</f>
        <v/>
      </c>
      <c r="J50" s="66">
        <f>IF(OR($E49=0,J49="",J$6&lt;&gt;1),0,1/$E49)</f>
        <v/>
      </c>
      <c r="K50" s="66">
        <f>IF(OR($E49=0,K49="",K$6&lt;&gt;1),0,1/$E49)</f>
        <v/>
      </c>
      <c r="L50" s="66">
        <f>IF(OR($E49=0,L49="",L$6&lt;&gt;1),0,1/$E49)</f>
        <v/>
      </c>
      <c r="M50" s="66">
        <f>IF(OR($E49=0,M49="",M$6&lt;&gt;1),0,1/$E49)</f>
        <v/>
      </c>
      <c r="N50" s="66">
        <f>IF(OR($E49=0,N49="",N$6&lt;&gt;1),0,1/$E49)</f>
        <v/>
      </c>
      <c r="O50" s="66">
        <f>IF(OR($E49=0,O49="",O$6&lt;&gt;1),0,1/$E49)</f>
        <v/>
      </c>
      <c r="P50" s="66">
        <f>IF(OR($E49=0,P49="",P$6&lt;&gt;1),0,1/$E49)</f>
        <v/>
      </c>
      <c r="Q50" s="66">
        <f>IF(OR($E49=0,Q49="",Q$6&lt;&gt;1),0,1/$E49)</f>
        <v/>
      </c>
      <c r="R50" s="66">
        <f>IF(OR($E49=0,R49="",R$6&lt;&gt;1),0,1/$E49)</f>
        <v/>
      </c>
      <c r="S50" s="66">
        <f>IF(OR($E49=0,S49="",S$6&lt;&gt;1),0,1/$E49)</f>
        <v/>
      </c>
      <c r="T50" s="66">
        <f>IF(OR($E49=0,T49="",T$6&lt;&gt;1),0,1/$E49)</f>
        <v/>
      </c>
      <c r="U50" s="66">
        <f>IF(OR($E49=0,U49="",U$6&lt;&gt;1),0,1/$E49)</f>
        <v/>
      </c>
      <c r="V50" s="66">
        <f>IF(OR($E49=0,V49="",V$6&lt;&gt;1),0,1/$E49)</f>
        <v/>
      </c>
      <c r="W50" s="66">
        <f>IF(OR($E49=0,W49="",W$6&lt;&gt;1),0,1/$E49)</f>
        <v/>
      </c>
      <c r="X50" s="66">
        <f>IF(OR($E49=0,X49="",X$6&lt;&gt;1),0,1/$E49)</f>
        <v/>
      </c>
      <c r="Y50" s="66">
        <f>IF(OR($E49=0,Y49="",Y$6&lt;&gt;1),0,1/$E49)</f>
        <v/>
      </c>
      <c r="Z50" s="66">
        <f>IF(OR($E49=0,Z49="",Z$6&lt;&gt;1),0,1/$E49)</f>
        <v/>
      </c>
      <c r="AA50" s="66">
        <f>IF(OR($E49=0,AA49="",AA$6&lt;&gt;1),0,1/$E49)</f>
        <v/>
      </c>
      <c r="AB50" s="66">
        <f>IF(OR($E49=0,AB49="",AB$6&lt;&gt;1),0,1/$E49)</f>
        <v/>
      </c>
      <c r="AC50" s="66">
        <f>IF(OR($E49=0,AC49="",AC$6&lt;&gt;1),0,1/$E49)</f>
        <v/>
      </c>
    </row>
    <row r="51">
      <c r="A51" s="76" t="n"/>
      <c r="B51" s="77" t="n"/>
      <c r="C51" s="78" t="inlineStr">
        <is>
          <t>累計出来高率</t>
        </is>
      </c>
      <c r="D51" s="79" t="n"/>
      <c r="E51" s="76" t="n"/>
      <c r="F51" s="80" t="n"/>
      <c r="G51" s="81" t="n"/>
      <c r="H51" s="66">
        <f>H50</f>
        <v/>
      </c>
      <c r="I51" s="66">
        <f>H51+I50</f>
        <v/>
      </c>
      <c r="J51" s="66">
        <f>I51+J50</f>
        <v/>
      </c>
      <c r="K51" s="66">
        <f>J51+K50</f>
        <v/>
      </c>
      <c r="L51" s="66">
        <f>K51+L50</f>
        <v/>
      </c>
      <c r="M51" s="66">
        <f>L51+M50</f>
        <v/>
      </c>
      <c r="N51" s="66">
        <f>M51+N50</f>
        <v/>
      </c>
      <c r="O51" s="66">
        <f>N51+O50</f>
        <v/>
      </c>
      <c r="P51" s="66">
        <f>O51+P50</f>
        <v/>
      </c>
      <c r="Q51" s="66">
        <f>P51+Q50</f>
        <v/>
      </c>
      <c r="R51" s="66">
        <f>Q51+R50</f>
        <v/>
      </c>
      <c r="S51" s="66">
        <f>R51+S50</f>
        <v/>
      </c>
      <c r="T51" s="66">
        <f>S51+T50</f>
        <v/>
      </c>
      <c r="U51" s="66">
        <f>T51+U50</f>
        <v/>
      </c>
      <c r="V51" s="66">
        <f>U51+V50</f>
        <v/>
      </c>
      <c r="W51" s="66">
        <f>V51+W50</f>
        <v/>
      </c>
      <c r="X51" s="66">
        <f>W51+X50</f>
        <v/>
      </c>
      <c r="Y51" s="66">
        <f>X51+Y50</f>
        <v/>
      </c>
      <c r="Z51" s="66">
        <f>Y51+Z50</f>
        <v/>
      </c>
      <c r="AA51" s="66">
        <f>Z51+AA50</f>
        <v/>
      </c>
      <c r="AB51" s="66">
        <f>AA51+AB50</f>
        <v/>
      </c>
      <c r="AC51" s="66">
        <f>AB51+AC50</f>
        <v/>
      </c>
    </row>
    <row r="52">
      <c r="A52" s="70" t="inlineStr">
        <is>
          <t>7</t>
        </is>
      </c>
      <c r="B52" s="71" t="inlineStr">
        <is>
          <t>ガラス工事</t>
        </is>
      </c>
      <c r="C52" s="72" t="inlineStr">
        <is>
          <t>工程</t>
        </is>
      </c>
      <c r="D52" s="73">
        <f>'金額リスト'!C21</f>
        <v/>
      </c>
      <c r="E52" s="70">
        <f>SUMPRODUCT((H52:AC52&lt;&gt;"")*(H$6:AC$6=1))</f>
        <v/>
      </c>
      <c r="F52" s="74">
        <f>SUM(H53:AC53)</f>
        <v/>
      </c>
      <c r="G52" s="75">
        <f>IF(AND(ABS(F52-1)&lt;0.0001,ABS(AC54-1)&lt;0.0001),"OK",IF(E52=0,"工程未設定","NG"))</f>
        <v/>
      </c>
      <c r="H52" s="59" t="n"/>
      <c r="I52" s="59" t="n"/>
      <c r="J52" s="59" t="n"/>
      <c r="K52" s="59" t="n"/>
      <c r="L52" s="59" t="n"/>
      <c r="M52" s="59" t="n"/>
      <c r="N52" s="59" t="n"/>
      <c r="O52" s="59" t="n">
        <v>1</v>
      </c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</row>
    <row r="53">
      <c r="A53" s="76" t="n"/>
      <c r="B53" s="77" t="n"/>
      <c r="C53" s="78" t="inlineStr">
        <is>
          <t>今週出来高率</t>
        </is>
      </c>
      <c r="D53" s="79" t="n"/>
      <c r="E53" s="76" t="n"/>
      <c r="F53" s="80" t="n"/>
      <c r="G53" s="81" t="n"/>
      <c r="H53" s="66">
        <f>IF(OR($E52=0,H52="",H$6&lt;&gt;1),0,1/$E52)</f>
        <v/>
      </c>
      <c r="I53" s="66">
        <f>IF(OR($E52=0,I52="",I$6&lt;&gt;1),0,1/$E52)</f>
        <v/>
      </c>
      <c r="J53" s="66">
        <f>IF(OR($E52=0,J52="",J$6&lt;&gt;1),0,1/$E52)</f>
        <v/>
      </c>
      <c r="K53" s="66">
        <f>IF(OR($E52=0,K52="",K$6&lt;&gt;1),0,1/$E52)</f>
        <v/>
      </c>
      <c r="L53" s="66">
        <f>IF(OR($E52=0,L52="",L$6&lt;&gt;1),0,1/$E52)</f>
        <v/>
      </c>
      <c r="M53" s="66">
        <f>IF(OR($E52=0,M52="",M$6&lt;&gt;1),0,1/$E52)</f>
        <v/>
      </c>
      <c r="N53" s="66">
        <f>IF(OR($E52=0,N52="",N$6&lt;&gt;1),0,1/$E52)</f>
        <v/>
      </c>
      <c r="O53" s="66">
        <f>IF(OR($E52=0,O52="",O$6&lt;&gt;1),0,1/$E52)</f>
        <v/>
      </c>
      <c r="P53" s="66">
        <f>IF(OR($E52=0,P52="",P$6&lt;&gt;1),0,1/$E52)</f>
        <v/>
      </c>
      <c r="Q53" s="66">
        <f>IF(OR($E52=0,Q52="",Q$6&lt;&gt;1),0,1/$E52)</f>
        <v/>
      </c>
      <c r="R53" s="66">
        <f>IF(OR($E52=0,R52="",R$6&lt;&gt;1),0,1/$E52)</f>
        <v/>
      </c>
      <c r="S53" s="66">
        <f>IF(OR($E52=0,S52="",S$6&lt;&gt;1),0,1/$E52)</f>
        <v/>
      </c>
      <c r="T53" s="66">
        <f>IF(OR($E52=0,T52="",T$6&lt;&gt;1),0,1/$E52)</f>
        <v/>
      </c>
      <c r="U53" s="66">
        <f>IF(OR($E52=0,U52="",U$6&lt;&gt;1),0,1/$E52)</f>
        <v/>
      </c>
      <c r="V53" s="66">
        <f>IF(OR($E52=0,V52="",V$6&lt;&gt;1),0,1/$E52)</f>
        <v/>
      </c>
      <c r="W53" s="66">
        <f>IF(OR($E52=0,W52="",W$6&lt;&gt;1),0,1/$E52)</f>
        <v/>
      </c>
      <c r="X53" s="66">
        <f>IF(OR($E52=0,X52="",X$6&lt;&gt;1),0,1/$E52)</f>
        <v/>
      </c>
      <c r="Y53" s="66">
        <f>IF(OR($E52=0,Y52="",Y$6&lt;&gt;1),0,1/$E52)</f>
        <v/>
      </c>
      <c r="Z53" s="66">
        <f>IF(OR($E52=0,Z52="",Z$6&lt;&gt;1),0,1/$E52)</f>
        <v/>
      </c>
      <c r="AA53" s="66">
        <f>IF(OR($E52=0,AA52="",AA$6&lt;&gt;1),0,1/$E52)</f>
        <v/>
      </c>
      <c r="AB53" s="66">
        <f>IF(OR($E52=0,AB52="",AB$6&lt;&gt;1),0,1/$E52)</f>
        <v/>
      </c>
      <c r="AC53" s="66">
        <f>IF(OR($E52=0,AC52="",AC$6&lt;&gt;1),0,1/$E52)</f>
        <v/>
      </c>
    </row>
    <row r="54">
      <c r="A54" s="76" t="n"/>
      <c r="B54" s="77" t="n"/>
      <c r="C54" s="78" t="inlineStr">
        <is>
          <t>累計出来高率</t>
        </is>
      </c>
      <c r="D54" s="79" t="n"/>
      <c r="E54" s="76" t="n"/>
      <c r="F54" s="80" t="n"/>
      <c r="G54" s="81" t="n"/>
      <c r="H54" s="66">
        <f>H53</f>
        <v/>
      </c>
      <c r="I54" s="66">
        <f>H54+I53</f>
        <v/>
      </c>
      <c r="J54" s="66">
        <f>I54+J53</f>
        <v/>
      </c>
      <c r="K54" s="66">
        <f>J54+K53</f>
        <v/>
      </c>
      <c r="L54" s="66">
        <f>K54+L53</f>
        <v/>
      </c>
      <c r="M54" s="66">
        <f>L54+M53</f>
        <v/>
      </c>
      <c r="N54" s="66">
        <f>M54+N53</f>
        <v/>
      </c>
      <c r="O54" s="66">
        <f>N54+O53</f>
        <v/>
      </c>
      <c r="P54" s="66">
        <f>O54+P53</f>
        <v/>
      </c>
      <c r="Q54" s="66">
        <f>P54+Q53</f>
        <v/>
      </c>
      <c r="R54" s="66">
        <f>Q54+R53</f>
        <v/>
      </c>
      <c r="S54" s="66">
        <f>R54+S53</f>
        <v/>
      </c>
      <c r="T54" s="66">
        <f>S54+T53</f>
        <v/>
      </c>
      <c r="U54" s="66">
        <f>T54+U53</f>
        <v/>
      </c>
      <c r="V54" s="66">
        <f>U54+V53</f>
        <v/>
      </c>
      <c r="W54" s="66">
        <f>V54+W53</f>
        <v/>
      </c>
      <c r="X54" s="66">
        <f>W54+X53</f>
        <v/>
      </c>
      <c r="Y54" s="66">
        <f>X54+Y53</f>
        <v/>
      </c>
      <c r="Z54" s="66">
        <f>Y54+Z53</f>
        <v/>
      </c>
      <c r="AA54" s="66">
        <f>Z54+AA53</f>
        <v/>
      </c>
      <c r="AB54" s="66">
        <f>AA54+AB53</f>
        <v/>
      </c>
      <c r="AC54" s="66">
        <f>AB54+AC53</f>
        <v/>
      </c>
    </row>
    <row r="55">
      <c r="A55" s="70" t="inlineStr">
        <is>
          <t>8</t>
        </is>
      </c>
      <c r="B55" s="71" t="inlineStr">
        <is>
          <t>木工事</t>
        </is>
      </c>
      <c r="C55" s="72" t="inlineStr">
        <is>
          <t>工程</t>
        </is>
      </c>
      <c r="D55" s="73">
        <f>'金額リスト'!C22</f>
        <v/>
      </c>
      <c r="E55" s="70">
        <f>SUMPRODUCT((H55:AC55&lt;&gt;"")*(H$6:AC$6=1))</f>
        <v/>
      </c>
      <c r="F55" s="74">
        <f>SUM(H56:AC56)</f>
        <v/>
      </c>
      <c r="G55" s="75">
        <f>IF(AND(ABS(F55-1)&lt;0.0001,ABS(AC57-1)&lt;0.0001),"OK",IF(E55=0,"工程未設定","NG"))</f>
        <v/>
      </c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>
        <v>1</v>
      </c>
      <c r="S55" s="59" t="n">
        <v>1</v>
      </c>
      <c r="T55" s="59" t="n">
        <v>1</v>
      </c>
      <c r="U55" s="59" t="n"/>
      <c r="V55" s="59" t="n">
        <v>1</v>
      </c>
      <c r="W55" s="59" t="n">
        <v>1</v>
      </c>
      <c r="X55" s="59" t="n">
        <v>1</v>
      </c>
      <c r="Y55" s="59" t="n">
        <v>1</v>
      </c>
      <c r="Z55" s="59" t="n"/>
      <c r="AA55" s="59" t="n">
        <v>1</v>
      </c>
      <c r="AB55" s="59" t="n"/>
      <c r="AC55" s="59" t="n"/>
    </row>
    <row r="56">
      <c r="A56" s="76" t="n"/>
      <c r="B56" s="77" t="n"/>
      <c r="C56" s="78" t="inlineStr">
        <is>
          <t>今週出来高率</t>
        </is>
      </c>
      <c r="D56" s="79" t="n"/>
      <c r="E56" s="76" t="n"/>
      <c r="F56" s="80" t="n"/>
      <c r="G56" s="81" t="n"/>
      <c r="H56" s="66">
        <f>IF(OR($E55=0,H55="",H$6&lt;&gt;1),0,1/$E55)</f>
        <v/>
      </c>
      <c r="I56" s="66">
        <f>IF(OR($E55=0,I55="",I$6&lt;&gt;1),0,1/$E55)</f>
        <v/>
      </c>
      <c r="J56" s="66">
        <f>IF(OR($E55=0,J55="",J$6&lt;&gt;1),0,1/$E55)</f>
        <v/>
      </c>
      <c r="K56" s="66">
        <f>IF(OR($E55=0,K55="",K$6&lt;&gt;1),0,1/$E55)</f>
        <v/>
      </c>
      <c r="L56" s="66">
        <f>IF(OR($E55=0,L55="",L$6&lt;&gt;1),0,1/$E55)</f>
        <v/>
      </c>
      <c r="M56" s="66">
        <f>IF(OR($E55=0,M55="",M$6&lt;&gt;1),0,1/$E55)</f>
        <v/>
      </c>
      <c r="N56" s="66">
        <f>IF(OR($E55=0,N55="",N$6&lt;&gt;1),0,1/$E55)</f>
        <v/>
      </c>
      <c r="O56" s="66">
        <f>IF(OR($E55=0,O55="",O$6&lt;&gt;1),0,1/$E55)</f>
        <v/>
      </c>
      <c r="P56" s="66">
        <f>IF(OR($E55=0,P55="",P$6&lt;&gt;1),0,1/$E55)</f>
        <v/>
      </c>
      <c r="Q56" s="66">
        <f>IF(OR($E55=0,Q55="",Q$6&lt;&gt;1),0,1/$E55)</f>
        <v/>
      </c>
      <c r="R56" s="66">
        <f>IF(OR($E55=0,R55="",R$6&lt;&gt;1),0,1/$E55)</f>
        <v/>
      </c>
      <c r="S56" s="66">
        <f>IF(OR($E55=0,S55="",S$6&lt;&gt;1),0,1/$E55)</f>
        <v/>
      </c>
      <c r="T56" s="66">
        <f>IF(OR($E55=0,T55="",T$6&lt;&gt;1),0,1/$E55)</f>
        <v/>
      </c>
      <c r="U56" s="66">
        <f>IF(OR($E55=0,U55="",U$6&lt;&gt;1),0,1/$E55)</f>
        <v/>
      </c>
      <c r="V56" s="66">
        <f>IF(OR($E55=0,V55="",V$6&lt;&gt;1),0,1/$E55)</f>
        <v/>
      </c>
      <c r="W56" s="66">
        <f>IF(OR($E55=0,W55="",W$6&lt;&gt;1),0,1/$E55)</f>
        <v/>
      </c>
      <c r="X56" s="66">
        <f>IF(OR($E55=0,X55="",X$6&lt;&gt;1),0,1/$E55)</f>
        <v/>
      </c>
      <c r="Y56" s="66">
        <f>IF(OR($E55=0,Y55="",Y$6&lt;&gt;1),0,1/$E55)</f>
        <v/>
      </c>
      <c r="Z56" s="66">
        <f>IF(OR($E55=0,Z55="",Z$6&lt;&gt;1),0,1/$E55)</f>
        <v/>
      </c>
      <c r="AA56" s="66">
        <f>IF(OR($E55=0,AA55="",AA$6&lt;&gt;1),0,1/$E55)</f>
        <v/>
      </c>
      <c r="AB56" s="66">
        <f>IF(OR($E55=0,AB55="",AB$6&lt;&gt;1),0,1/$E55)</f>
        <v/>
      </c>
      <c r="AC56" s="66">
        <f>IF(OR($E55=0,AC55="",AC$6&lt;&gt;1),0,1/$E55)</f>
        <v/>
      </c>
    </row>
    <row r="57">
      <c r="A57" s="76" t="n"/>
      <c r="B57" s="77" t="n"/>
      <c r="C57" s="78" t="inlineStr">
        <is>
          <t>累計出来高率</t>
        </is>
      </c>
      <c r="D57" s="79" t="n"/>
      <c r="E57" s="76" t="n"/>
      <c r="F57" s="80" t="n"/>
      <c r="G57" s="81" t="n"/>
      <c r="H57" s="66">
        <f>H56</f>
        <v/>
      </c>
      <c r="I57" s="66">
        <f>H57+I56</f>
        <v/>
      </c>
      <c r="J57" s="66">
        <f>I57+J56</f>
        <v/>
      </c>
      <c r="K57" s="66">
        <f>J57+K56</f>
        <v/>
      </c>
      <c r="L57" s="66">
        <f>K57+L56</f>
        <v/>
      </c>
      <c r="M57" s="66">
        <f>L57+M56</f>
        <v/>
      </c>
      <c r="N57" s="66">
        <f>M57+N56</f>
        <v/>
      </c>
      <c r="O57" s="66">
        <f>N57+O56</f>
        <v/>
      </c>
      <c r="P57" s="66">
        <f>O57+P56</f>
        <v/>
      </c>
      <c r="Q57" s="66">
        <f>P57+Q56</f>
        <v/>
      </c>
      <c r="R57" s="66">
        <f>Q57+R56</f>
        <v/>
      </c>
      <c r="S57" s="66">
        <f>R57+S56</f>
        <v/>
      </c>
      <c r="T57" s="66">
        <f>S57+T56</f>
        <v/>
      </c>
      <c r="U57" s="66">
        <f>T57+U56</f>
        <v/>
      </c>
      <c r="V57" s="66">
        <f>U57+V56</f>
        <v/>
      </c>
      <c r="W57" s="66">
        <f>V57+W56</f>
        <v/>
      </c>
      <c r="X57" s="66">
        <f>W57+X56</f>
        <v/>
      </c>
      <c r="Y57" s="66">
        <f>X57+Y56</f>
        <v/>
      </c>
      <c r="Z57" s="66">
        <f>Y57+Z56</f>
        <v/>
      </c>
      <c r="AA57" s="66">
        <f>Z57+AA56</f>
        <v/>
      </c>
      <c r="AB57" s="66">
        <f>AA57+AB56</f>
        <v/>
      </c>
      <c r="AC57" s="66">
        <f>AB57+AC56</f>
        <v/>
      </c>
    </row>
    <row r="58">
      <c r="A58" s="70" t="inlineStr">
        <is>
          <t>9</t>
        </is>
      </c>
      <c r="B58" s="71" t="inlineStr">
        <is>
          <t>左官工事</t>
        </is>
      </c>
      <c r="C58" s="72" t="inlineStr">
        <is>
          <t>工程</t>
        </is>
      </c>
      <c r="D58" s="73">
        <f>'金額リスト'!C23</f>
        <v/>
      </c>
      <c r="E58" s="70">
        <f>SUMPRODUCT((H58:AC58&lt;&gt;"")*(H$6:AC$6=1))</f>
        <v/>
      </c>
      <c r="F58" s="74">
        <f>SUM(H59:AC59)</f>
        <v/>
      </c>
      <c r="G58" s="75">
        <f>IF(AND(ABS(F58-1)&lt;0.0001,ABS(AC60-1)&lt;0.0001),"OK",IF(E58=0,"工程未設定","NG"))</f>
        <v/>
      </c>
      <c r="H58" s="59" t="n"/>
      <c r="I58" s="59" t="n"/>
      <c r="J58" s="59" t="n"/>
      <c r="K58" s="59" t="n"/>
      <c r="L58" s="59" t="n"/>
      <c r="M58" s="59" t="n"/>
      <c r="N58" s="59" t="n">
        <v>1</v>
      </c>
      <c r="O58" s="59" t="n">
        <v>1</v>
      </c>
      <c r="P58" s="59" t="n"/>
      <c r="Q58" s="59" t="n">
        <v>1</v>
      </c>
      <c r="R58" s="59" t="n">
        <v>1</v>
      </c>
      <c r="S58" s="59" t="n">
        <v>1</v>
      </c>
      <c r="T58" s="59" t="n">
        <v>1</v>
      </c>
      <c r="U58" s="59" t="n"/>
      <c r="V58" s="59" t="n">
        <v>1</v>
      </c>
      <c r="W58" s="59" t="n">
        <v>1</v>
      </c>
      <c r="X58" s="59" t="n">
        <v>1</v>
      </c>
      <c r="Y58" s="59" t="n">
        <v>1</v>
      </c>
      <c r="Z58" s="59" t="n">
        <v>1</v>
      </c>
      <c r="AA58" s="59" t="n"/>
      <c r="AB58" s="59" t="n"/>
      <c r="AC58" s="59" t="n"/>
    </row>
    <row r="59">
      <c r="A59" s="76" t="n"/>
      <c r="B59" s="77" t="n"/>
      <c r="C59" s="78" t="inlineStr">
        <is>
          <t>今週出来高率</t>
        </is>
      </c>
      <c r="D59" s="79" t="n"/>
      <c r="E59" s="76" t="n"/>
      <c r="F59" s="80" t="n"/>
      <c r="G59" s="81" t="n"/>
      <c r="H59" s="66">
        <f>IF(OR($E58=0,H58="",H$6&lt;&gt;1),0,1/$E58)</f>
        <v/>
      </c>
      <c r="I59" s="66">
        <f>IF(OR($E58=0,I58="",I$6&lt;&gt;1),0,1/$E58)</f>
        <v/>
      </c>
      <c r="J59" s="66">
        <f>IF(OR($E58=0,J58="",J$6&lt;&gt;1),0,1/$E58)</f>
        <v/>
      </c>
      <c r="K59" s="66">
        <f>IF(OR($E58=0,K58="",K$6&lt;&gt;1),0,1/$E58)</f>
        <v/>
      </c>
      <c r="L59" s="66">
        <f>IF(OR($E58=0,L58="",L$6&lt;&gt;1),0,1/$E58)</f>
        <v/>
      </c>
      <c r="M59" s="66">
        <f>IF(OR($E58=0,M58="",M$6&lt;&gt;1),0,1/$E58)</f>
        <v/>
      </c>
      <c r="N59" s="66">
        <f>IF(OR($E58=0,N58="",N$6&lt;&gt;1),0,1/$E58)</f>
        <v/>
      </c>
      <c r="O59" s="66">
        <f>IF(OR($E58=0,O58="",O$6&lt;&gt;1),0,1/$E58)</f>
        <v/>
      </c>
      <c r="P59" s="66">
        <f>IF(OR($E58=0,P58="",P$6&lt;&gt;1),0,1/$E58)</f>
        <v/>
      </c>
      <c r="Q59" s="66">
        <f>IF(OR($E58=0,Q58="",Q$6&lt;&gt;1),0,1/$E58)</f>
        <v/>
      </c>
      <c r="R59" s="66">
        <f>IF(OR($E58=0,R58="",R$6&lt;&gt;1),0,1/$E58)</f>
        <v/>
      </c>
      <c r="S59" s="66">
        <f>IF(OR($E58=0,S58="",S$6&lt;&gt;1),0,1/$E58)</f>
        <v/>
      </c>
      <c r="T59" s="66">
        <f>IF(OR($E58=0,T58="",T$6&lt;&gt;1),0,1/$E58)</f>
        <v/>
      </c>
      <c r="U59" s="66">
        <f>IF(OR($E58=0,U58="",U$6&lt;&gt;1),0,1/$E58)</f>
        <v/>
      </c>
      <c r="V59" s="66">
        <f>IF(OR($E58=0,V58="",V$6&lt;&gt;1),0,1/$E58)</f>
        <v/>
      </c>
      <c r="W59" s="66">
        <f>IF(OR($E58=0,W58="",W$6&lt;&gt;1),0,1/$E58)</f>
        <v/>
      </c>
      <c r="X59" s="66">
        <f>IF(OR($E58=0,X58="",X$6&lt;&gt;1),0,1/$E58)</f>
        <v/>
      </c>
      <c r="Y59" s="66">
        <f>IF(OR($E58=0,Y58="",Y$6&lt;&gt;1),0,1/$E58)</f>
        <v/>
      </c>
      <c r="Z59" s="66">
        <f>IF(OR($E58=0,Z58="",Z$6&lt;&gt;1),0,1/$E58)</f>
        <v/>
      </c>
      <c r="AA59" s="66">
        <f>IF(OR($E58=0,AA58="",AA$6&lt;&gt;1),0,1/$E58)</f>
        <v/>
      </c>
      <c r="AB59" s="66">
        <f>IF(OR($E58=0,AB58="",AB$6&lt;&gt;1),0,1/$E58)</f>
        <v/>
      </c>
      <c r="AC59" s="66">
        <f>IF(OR($E58=0,AC58="",AC$6&lt;&gt;1),0,1/$E58)</f>
        <v/>
      </c>
    </row>
    <row r="60">
      <c r="A60" s="76" t="n"/>
      <c r="B60" s="77" t="n"/>
      <c r="C60" s="78" t="inlineStr">
        <is>
          <t>累計出来高率</t>
        </is>
      </c>
      <c r="D60" s="79" t="n"/>
      <c r="E60" s="76" t="n"/>
      <c r="F60" s="80" t="n"/>
      <c r="G60" s="81" t="n"/>
      <c r="H60" s="66">
        <f>H59</f>
        <v/>
      </c>
      <c r="I60" s="66">
        <f>H60+I59</f>
        <v/>
      </c>
      <c r="J60" s="66">
        <f>I60+J59</f>
        <v/>
      </c>
      <c r="K60" s="66">
        <f>J60+K59</f>
        <v/>
      </c>
      <c r="L60" s="66">
        <f>K60+L59</f>
        <v/>
      </c>
      <c r="M60" s="66">
        <f>L60+M59</f>
        <v/>
      </c>
      <c r="N60" s="66">
        <f>M60+N59</f>
        <v/>
      </c>
      <c r="O60" s="66">
        <f>N60+O59</f>
        <v/>
      </c>
      <c r="P60" s="66">
        <f>O60+P59</f>
        <v/>
      </c>
      <c r="Q60" s="66">
        <f>P60+Q59</f>
        <v/>
      </c>
      <c r="R60" s="66">
        <f>Q60+R59</f>
        <v/>
      </c>
      <c r="S60" s="66">
        <f>R60+S59</f>
        <v/>
      </c>
      <c r="T60" s="66">
        <f>S60+T59</f>
        <v/>
      </c>
      <c r="U60" s="66">
        <f>T60+U59</f>
        <v/>
      </c>
      <c r="V60" s="66">
        <f>U60+V59</f>
        <v/>
      </c>
      <c r="W60" s="66">
        <f>V60+W59</f>
        <v/>
      </c>
      <c r="X60" s="66">
        <f>W60+X59</f>
        <v/>
      </c>
      <c r="Y60" s="66">
        <f>X60+Y59</f>
        <v/>
      </c>
      <c r="Z60" s="66">
        <f>Y60+Z59</f>
        <v/>
      </c>
      <c r="AA60" s="66">
        <f>Z60+AA59</f>
        <v/>
      </c>
      <c r="AB60" s="66">
        <f>AA60+AB59</f>
        <v/>
      </c>
      <c r="AC60" s="66">
        <f>AB60+AC59</f>
        <v/>
      </c>
    </row>
    <row r="61">
      <c r="A61" s="70" t="inlineStr">
        <is>
          <t>10</t>
        </is>
      </c>
      <c r="B61" s="71" t="inlineStr">
        <is>
          <t>塗装工事</t>
        </is>
      </c>
      <c r="C61" s="72" t="inlineStr">
        <is>
          <t>工程</t>
        </is>
      </c>
      <c r="D61" s="73">
        <f>'金額リスト'!C24</f>
        <v/>
      </c>
      <c r="E61" s="70">
        <f>SUMPRODUCT((H61:AC61&lt;&gt;"")*(H$6:AC$6=1))</f>
        <v/>
      </c>
      <c r="F61" s="74">
        <f>SUM(H62:AC62)</f>
        <v/>
      </c>
      <c r="G61" s="75">
        <f>IF(AND(ABS(F61-1)&lt;0.0001,ABS(AC63-1)&lt;0.0001),"OK",IF(E61=0,"工程未設定","NG"))</f>
        <v/>
      </c>
      <c r="H61" s="59" t="n"/>
      <c r="I61" s="59" t="n"/>
      <c r="J61" s="59" t="n"/>
      <c r="K61" s="59" t="n"/>
      <c r="L61" s="59" t="n"/>
      <c r="M61" s="59" t="n"/>
      <c r="N61" s="59" t="n">
        <v>1</v>
      </c>
      <c r="O61" s="59" t="n">
        <v>1</v>
      </c>
      <c r="P61" s="59" t="n"/>
      <c r="Q61" s="59" t="n">
        <v>1</v>
      </c>
      <c r="R61" s="59" t="n"/>
      <c r="S61" s="59" t="n"/>
      <c r="T61" s="59" t="n"/>
      <c r="U61" s="59" t="n">
        <v>1</v>
      </c>
      <c r="V61" s="59" t="n">
        <v>1</v>
      </c>
      <c r="W61" s="59" t="n"/>
      <c r="X61" s="59" t="n"/>
      <c r="Y61" s="59" t="n"/>
      <c r="Z61" s="59" t="n"/>
      <c r="AA61" s="59" t="n"/>
      <c r="AB61" s="59" t="n"/>
      <c r="AC61" s="59" t="n"/>
    </row>
    <row r="62">
      <c r="A62" s="76" t="n"/>
      <c r="B62" s="77" t="n"/>
      <c r="C62" s="78" t="inlineStr">
        <is>
          <t>今週出来高率</t>
        </is>
      </c>
      <c r="D62" s="79" t="n"/>
      <c r="E62" s="76" t="n"/>
      <c r="F62" s="80" t="n"/>
      <c r="G62" s="81" t="n"/>
      <c r="H62" s="66">
        <f>IF(OR($E61=0,H61="",H$6&lt;&gt;1),0,1/$E61)</f>
        <v/>
      </c>
      <c r="I62" s="66">
        <f>IF(OR($E61=0,I61="",I$6&lt;&gt;1),0,1/$E61)</f>
        <v/>
      </c>
      <c r="J62" s="66">
        <f>IF(OR($E61=0,J61="",J$6&lt;&gt;1),0,1/$E61)</f>
        <v/>
      </c>
      <c r="K62" s="66">
        <f>IF(OR($E61=0,K61="",K$6&lt;&gt;1),0,1/$E61)</f>
        <v/>
      </c>
      <c r="L62" s="66">
        <f>IF(OR($E61=0,L61="",L$6&lt;&gt;1),0,1/$E61)</f>
        <v/>
      </c>
      <c r="M62" s="66">
        <f>IF(OR($E61=0,M61="",M$6&lt;&gt;1),0,1/$E61)</f>
        <v/>
      </c>
      <c r="N62" s="66">
        <f>IF(OR($E61=0,N61="",N$6&lt;&gt;1),0,1/$E61)</f>
        <v/>
      </c>
      <c r="O62" s="66">
        <f>IF(OR($E61=0,O61="",O$6&lt;&gt;1),0,1/$E61)</f>
        <v/>
      </c>
      <c r="P62" s="66">
        <f>IF(OR($E61=0,P61="",P$6&lt;&gt;1),0,1/$E61)</f>
        <v/>
      </c>
      <c r="Q62" s="66">
        <f>IF(OR($E61=0,Q61="",Q$6&lt;&gt;1),0,1/$E61)</f>
        <v/>
      </c>
      <c r="R62" s="66">
        <f>IF(OR($E61=0,R61="",R$6&lt;&gt;1),0,1/$E61)</f>
        <v/>
      </c>
      <c r="S62" s="66">
        <f>IF(OR($E61=0,S61="",S$6&lt;&gt;1),0,1/$E61)</f>
        <v/>
      </c>
      <c r="T62" s="66">
        <f>IF(OR($E61=0,T61="",T$6&lt;&gt;1),0,1/$E61)</f>
        <v/>
      </c>
      <c r="U62" s="66">
        <f>IF(OR($E61=0,U61="",U$6&lt;&gt;1),0,1/$E61)</f>
        <v/>
      </c>
      <c r="V62" s="66">
        <f>IF(OR($E61=0,V61="",V$6&lt;&gt;1),0,1/$E61)</f>
        <v/>
      </c>
      <c r="W62" s="66">
        <f>IF(OR($E61=0,W61="",W$6&lt;&gt;1),0,1/$E61)</f>
        <v/>
      </c>
      <c r="X62" s="66">
        <f>IF(OR($E61=0,X61="",X$6&lt;&gt;1),0,1/$E61)</f>
        <v/>
      </c>
      <c r="Y62" s="66">
        <f>IF(OR($E61=0,Y61="",Y$6&lt;&gt;1),0,1/$E61)</f>
        <v/>
      </c>
      <c r="Z62" s="66">
        <f>IF(OR($E61=0,Z61="",Z$6&lt;&gt;1),0,1/$E61)</f>
        <v/>
      </c>
      <c r="AA62" s="66">
        <f>IF(OR($E61=0,AA61="",AA$6&lt;&gt;1),0,1/$E61)</f>
        <v/>
      </c>
      <c r="AB62" s="66">
        <f>IF(OR($E61=0,AB61="",AB$6&lt;&gt;1),0,1/$E61)</f>
        <v/>
      </c>
      <c r="AC62" s="66">
        <f>IF(OR($E61=0,AC61="",AC$6&lt;&gt;1),0,1/$E61)</f>
        <v/>
      </c>
    </row>
    <row r="63">
      <c r="A63" s="76" t="n"/>
      <c r="B63" s="77" t="n"/>
      <c r="C63" s="78" t="inlineStr">
        <is>
          <t>累計出来高率</t>
        </is>
      </c>
      <c r="D63" s="79" t="n"/>
      <c r="E63" s="76" t="n"/>
      <c r="F63" s="80" t="n"/>
      <c r="G63" s="81" t="n"/>
      <c r="H63" s="66">
        <f>H62</f>
        <v/>
      </c>
      <c r="I63" s="66">
        <f>H63+I62</f>
        <v/>
      </c>
      <c r="J63" s="66">
        <f>I63+J62</f>
        <v/>
      </c>
      <c r="K63" s="66">
        <f>J63+K62</f>
        <v/>
      </c>
      <c r="L63" s="66">
        <f>K63+L62</f>
        <v/>
      </c>
      <c r="M63" s="66">
        <f>L63+M62</f>
        <v/>
      </c>
      <c r="N63" s="66">
        <f>M63+N62</f>
        <v/>
      </c>
      <c r="O63" s="66">
        <f>N63+O62</f>
        <v/>
      </c>
      <c r="P63" s="66">
        <f>O63+P62</f>
        <v/>
      </c>
      <c r="Q63" s="66">
        <f>P63+Q62</f>
        <v/>
      </c>
      <c r="R63" s="66">
        <f>Q63+R62</f>
        <v/>
      </c>
      <c r="S63" s="66">
        <f>R63+S62</f>
        <v/>
      </c>
      <c r="T63" s="66">
        <f>S63+T62</f>
        <v/>
      </c>
      <c r="U63" s="66">
        <f>T63+U62</f>
        <v/>
      </c>
      <c r="V63" s="66">
        <f>U63+V62</f>
        <v/>
      </c>
      <c r="W63" s="66">
        <f>V63+W62</f>
        <v/>
      </c>
      <c r="X63" s="66">
        <f>W63+X62</f>
        <v/>
      </c>
      <c r="Y63" s="66">
        <f>X63+Y62</f>
        <v/>
      </c>
      <c r="Z63" s="66">
        <f>Y63+Z62</f>
        <v/>
      </c>
      <c r="AA63" s="66">
        <f>Z63+AA62</f>
        <v/>
      </c>
      <c r="AB63" s="66">
        <f>AA63+AB62</f>
        <v/>
      </c>
      <c r="AC63" s="66">
        <f>AB63+AC62</f>
        <v/>
      </c>
    </row>
    <row r="64">
      <c r="A64" s="70" t="inlineStr">
        <is>
          <t>11</t>
        </is>
      </c>
      <c r="B64" s="71" t="inlineStr">
        <is>
          <t>内装工事</t>
        </is>
      </c>
      <c r="C64" s="72" t="inlineStr">
        <is>
          <t>工程</t>
        </is>
      </c>
      <c r="D64" s="73">
        <f>'金額リスト'!C25</f>
        <v/>
      </c>
      <c r="E64" s="70">
        <f>SUMPRODUCT((H64:AC64&lt;&gt;"")*(H$6:AC$6=1))</f>
        <v/>
      </c>
      <c r="F64" s="74">
        <f>SUM(H65:AC65)</f>
        <v/>
      </c>
      <c r="G64" s="75">
        <f>IF(AND(ABS(F64-1)&lt;0.0001,ABS(AC66-1)&lt;0.0001),"OK",IF(E64=0,"工程未設定","NG"))</f>
        <v/>
      </c>
      <c r="H64" s="59" t="n"/>
      <c r="I64" s="59" t="n"/>
      <c r="J64" s="59" t="n"/>
      <c r="K64" s="59" t="n"/>
      <c r="L64" s="59" t="n">
        <v>1</v>
      </c>
      <c r="M64" s="59" t="n">
        <v>1</v>
      </c>
      <c r="N64" s="59" t="n">
        <v>1</v>
      </c>
      <c r="O64" s="59" t="n">
        <v>1</v>
      </c>
      <c r="P64" s="59" t="n"/>
      <c r="Q64" s="59" t="n">
        <v>1</v>
      </c>
      <c r="R64" s="59" t="n">
        <v>1</v>
      </c>
      <c r="S64" s="59" t="n">
        <v>1</v>
      </c>
      <c r="T64" s="59" t="n">
        <v>1</v>
      </c>
      <c r="U64" s="59" t="n">
        <v>1</v>
      </c>
      <c r="V64" s="59" t="n"/>
      <c r="W64" s="59" t="n"/>
      <c r="X64" s="59" t="n"/>
      <c r="Y64" s="59" t="n"/>
      <c r="Z64" s="59" t="n"/>
      <c r="AA64" s="59" t="n"/>
      <c r="AB64" s="59" t="n"/>
      <c r="AC64" s="59" t="n"/>
    </row>
    <row r="65">
      <c r="A65" s="76" t="n"/>
      <c r="B65" s="77" t="n"/>
      <c r="C65" s="78" t="inlineStr">
        <is>
          <t>今週出来高率</t>
        </is>
      </c>
      <c r="D65" s="79" t="n"/>
      <c r="E65" s="76" t="n"/>
      <c r="F65" s="80" t="n"/>
      <c r="G65" s="81" t="n"/>
      <c r="H65" s="66">
        <f>IF(OR($E64=0,H64="",H$6&lt;&gt;1),0,1/$E64)</f>
        <v/>
      </c>
      <c r="I65" s="66">
        <f>IF(OR($E64=0,I64="",I$6&lt;&gt;1),0,1/$E64)</f>
        <v/>
      </c>
      <c r="J65" s="66">
        <f>IF(OR($E64=0,J64="",J$6&lt;&gt;1),0,1/$E64)</f>
        <v/>
      </c>
      <c r="K65" s="66">
        <f>IF(OR($E64=0,K64="",K$6&lt;&gt;1),0,1/$E64)</f>
        <v/>
      </c>
      <c r="L65" s="66">
        <f>IF(OR($E64=0,L64="",L$6&lt;&gt;1),0,1/$E64)</f>
        <v/>
      </c>
      <c r="M65" s="66">
        <f>IF(OR($E64=0,M64="",M$6&lt;&gt;1),0,1/$E64)</f>
        <v/>
      </c>
      <c r="N65" s="66">
        <f>IF(OR($E64=0,N64="",N$6&lt;&gt;1),0,1/$E64)</f>
        <v/>
      </c>
      <c r="O65" s="66">
        <f>IF(OR($E64=0,O64="",O$6&lt;&gt;1),0,1/$E64)</f>
        <v/>
      </c>
      <c r="P65" s="66">
        <f>IF(OR($E64=0,P64="",P$6&lt;&gt;1),0,1/$E64)</f>
        <v/>
      </c>
      <c r="Q65" s="66">
        <f>IF(OR($E64=0,Q64="",Q$6&lt;&gt;1),0,1/$E64)</f>
        <v/>
      </c>
      <c r="R65" s="66">
        <f>IF(OR($E64=0,R64="",R$6&lt;&gt;1),0,1/$E64)</f>
        <v/>
      </c>
      <c r="S65" s="66">
        <f>IF(OR($E64=0,S64="",S$6&lt;&gt;1),0,1/$E64)</f>
        <v/>
      </c>
      <c r="T65" s="66">
        <f>IF(OR($E64=0,T64="",T$6&lt;&gt;1),0,1/$E64)</f>
        <v/>
      </c>
      <c r="U65" s="66">
        <f>IF(OR($E64=0,U64="",U$6&lt;&gt;1),0,1/$E64)</f>
        <v/>
      </c>
      <c r="V65" s="66">
        <f>IF(OR($E64=0,V64="",V$6&lt;&gt;1),0,1/$E64)</f>
        <v/>
      </c>
      <c r="W65" s="66">
        <f>IF(OR($E64=0,W64="",W$6&lt;&gt;1),0,1/$E64)</f>
        <v/>
      </c>
      <c r="X65" s="66">
        <f>IF(OR($E64=0,X64="",X$6&lt;&gt;1),0,1/$E64)</f>
        <v/>
      </c>
      <c r="Y65" s="66">
        <f>IF(OR($E64=0,Y64="",Y$6&lt;&gt;1),0,1/$E64)</f>
        <v/>
      </c>
      <c r="Z65" s="66">
        <f>IF(OR($E64=0,Z64="",Z$6&lt;&gt;1),0,1/$E64)</f>
        <v/>
      </c>
      <c r="AA65" s="66">
        <f>IF(OR($E64=0,AA64="",AA$6&lt;&gt;1),0,1/$E64)</f>
        <v/>
      </c>
      <c r="AB65" s="66">
        <f>IF(OR($E64=0,AB64="",AB$6&lt;&gt;1),0,1/$E64)</f>
        <v/>
      </c>
      <c r="AC65" s="66">
        <f>IF(OR($E64=0,AC64="",AC$6&lt;&gt;1),0,1/$E64)</f>
        <v/>
      </c>
    </row>
    <row r="66">
      <c r="A66" s="76" t="n"/>
      <c r="B66" s="77" t="n"/>
      <c r="C66" s="78" t="inlineStr">
        <is>
          <t>累計出来高率</t>
        </is>
      </c>
      <c r="D66" s="79" t="n"/>
      <c r="E66" s="76" t="n"/>
      <c r="F66" s="80" t="n"/>
      <c r="G66" s="81" t="n"/>
      <c r="H66" s="66">
        <f>H65</f>
        <v/>
      </c>
      <c r="I66" s="66">
        <f>H66+I65</f>
        <v/>
      </c>
      <c r="J66" s="66">
        <f>I66+J65</f>
        <v/>
      </c>
      <c r="K66" s="66">
        <f>J66+K65</f>
        <v/>
      </c>
      <c r="L66" s="66">
        <f>K66+L65</f>
        <v/>
      </c>
      <c r="M66" s="66">
        <f>L66+M65</f>
        <v/>
      </c>
      <c r="N66" s="66">
        <f>M66+N65</f>
        <v/>
      </c>
      <c r="O66" s="66">
        <f>N66+O65</f>
        <v/>
      </c>
      <c r="P66" s="66">
        <f>O66+P65</f>
        <v/>
      </c>
      <c r="Q66" s="66">
        <f>P66+Q65</f>
        <v/>
      </c>
      <c r="R66" s="66">
        <f>Q66+R65</f>
        <v/>
      </c>
      <c r="S66" s="66">
        <f>R66+S65</f>
        <v/>
      </c>
      <c r="T66" s="66">
        <f>S66+T65</f>
        <v/>
      </c>
      <c r="U66" s="66">
        <f>T66+U65</f>
        <v/>
      </c>
      <c r="V66" s="66">
        <f>U66+V65</f>
        <v/>
      </c>
      <c r="W66" s="66">
        <f>V66+W65</f>
        <v/>
      </c>
      <c r="X66" s="66">
        <f>W66+X65</f>
        <v/>
      </c>
      <c r="Y66" s="66">
        <f>X66+Y65</f>
        <v/>
      </c>
      <c r="Z66" s="66">
        <f>Y66+Z65</f>
        <v/>
      </c>
      <c r="AA66" s="66">
        <f>Z66+AA65</f>
        <v/>
      </c>
      <c r="AB66" s="66">
        <f>AA66+AB65</f>
        <v/>
      </c>
      <c r="AC66" s="66">
        <f>AB66+AC65</f>
        <v/>
      </c>
    </row>
    <row r="67">
      <c r="A67" s="70" t="inlineStr">
        <is>
          <t>12</t>
        </is>
      </c>
      <c r="B67" s="71" t="inlineStr">
        <is>
          <t>雑工事</t>
        </is>
      </c>
      <c r="C67" s="72" t="inlineStr">
        <is>
          <t>工程</t>
        </is>
      </c>
      <c r="D67" s="73">
        <f>'金額リスト'!C26</f>
        <v/>
      </c>
      <c r="E67" s="70">
        <f>SUMPRODUCT((H67:AC67&lt;&gt;"")*(H$6:AC$6=1))</f>
        <v/>
      </c>
      <c r="F67" s="74">
        <f>SUM(H68:AC68)</f>
        <v/>
      </c>
      <c r="G67" s="75">
        <f>IF(AND(ABS(F67-1)&lt;0.0001,ABS(AC69-1)&lt;0.0001),"OK",IF(E67=0,"工程未設定","NG"))</f>
        <v/>
      </c>
      <c r="H67" s="59" t="n"/>
      <c r="I67" s="59" t="n"/>
      <c r="J67" s="59" t="n"/>
      <c r="K67" s="59" t="n"/>
      <c r="L67" s="59" t="n"/>
      <c r="M67" s="59" t="n"/>
      <c r="N67" s="59" t="n">
        <v>1</v>
      </c>
      <c r="O67" s="59" t="n"/>
      <c r="P67" s="59" t="n"/>
      <c r="Q67" s="59" t="n">
        <v>1</v>
      </c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>
        <v>1</v>
      </c>
      <c r="AB67" s="59" t="n">
        <v>1</v>
      </c>
      <c r="AC67" s="59" t="n">
        <v>1</v>
      </c>
    </row>
    <row r="68">
      <c r="A68" s="76" t="n"/>
      <c r="B68" s="77" t="n"/>
      <c r="C68" s="78" t="inlineStr">
        <is>
          <t>今週出来高率</t>
        </is>
      </c>
      <c r="D68" s="79" t="n"/>
      <c r="E68" s="76" t="n"/>
      <c r="F68" s="80" t="n"/>
      <c r="G68" s="81" t="n"/>
      <c r="H68" s="66">
        <f>IF(OR($E67=0,H67="",H$6&lt;&gt;1),0,1/$E67)</f>
        <v/>
      </c>
      <c r="I68" s="66">
        <f>IF(OR($E67=0,I67="",I$6&lt;&gt;1),0,1/$E67)</f>
        <v/>
      </c>
      <c r="J68" s="66">
        <f>IF(OR($E67=0,J67="",J$6&lt;&gt;1),0,1/$E67)</f>
        <v/>
      </c>
      <c r="K68" s="66">
        <f>IF(OR($E67=0,K67="",K$6&lt;&gt;1),0,1/$E67)</f>
        <v/>
      </c>
      <c r="L68" s="66">
        <f>IF(OR($E67=0,L67="",L$6&lt;&gt;1),0,1/$E67)</f>
        <v/>
      </c>
      <c r="M68" s="66">
        <f>IF(OR($E67=0,M67="",M$6&lt;&gt;1),0,1/$E67)</f>
        <v/>
      </c>
      <c r="N68" s="66">
        <f>IF(OR($E67=0,N67="",N$6&lt;&gt;1),0,1/$E67)</f>
        <v/>
      </c>
      <c r="O68" s="66">
        <f>IF(OR($E67=0,O67="",O$6&lt;&gt;1),0,1/$E67)</f>
        <v/>
      </c>
      <c r="P68" s="66">
        <f>IF(OR($E67=0,P67="",P$6&lt;&gt;1),0,1/$E67)</f>
        <v/>
      </c>
      <c r="Q68" s="66">
        <f>IF(OR($E67=0,Q67="",Q$6&lt;&gt;1),0,1/$E67)</f>
        <v/>
      </c>
      <c r="R68" s="66">
        <f>IF(OR($E67=0,R67="",R$6&lt;&gt;1),0,1/$E67)</f>
        <v/>
      </c>
      <c r="S68" s="66">
        <f>IF(OR($E67=0,S67="",S$6&lt;&gt;1),0,1/$E67)</f>
        <v/>
      </c>
      <c r="T68" s="66">
        <f>IF(OR($E67=0,T67="",T$6&lt;&gt;1),0,1/$E67)</f>
        <v/>
      </c>
      <c r="U68" s="66">
        <f>IF(OR($E67=0,U67="",U$6&lt;&gt;1),0,1/$E67)</f>
        <v/>
      </c>
      <c r="V68" s="66">
        <f>IF(OR($E67=0,V67="",V$6&lt;&gt;1),0,1/$E67)</f>
        <v/>
      </c>
      <c r="W68" s="66">
        <f>IF(OR($E67=0,W67="",W$6&lt;&gt;1),0,1/$E67)</f>
        <v/>
      </c>
      <c r="X68" s="66">
        <f>IF(OR($E67=0,X67="",X$6&lt;&gt;1),0,1/$E67)</f>
        <v/>
      </c>
      <c r="Y68" s="66">
        <f>IF(OR($E67=0,Y67="",Y$6&lt;&gt;1),0,1/$E67)</f>
        <v/>
      </c>
      <c r="Z68" s="66">
        <f>IF(OR($E67=0,Z67="",Z$6&lt;&gt;1),0,1/$E67)</f>
        <v/>
      </c>
      <c r="AA68" s="66">
        <f>IF(OR($E67=0,AA67="",AA$6&lt;&gt;1),0,1/$E67)</f>
        <v/>
      </c>
      <c r="AB68" s="66">
        <f>IF(OR($E67=0,AB67="",AB$6&lt;&gt;1),0,1/$E67)</f>
        <v/>
      </c>
      <c r="AC68" s="66">
        <f>IF(OR($E67=0,AC67="",AC$6&lt;&gt;1),0,1/$E67)</f>
        <v/>
      </c>
    </row>
    <row r="69">
      <c r="A69" s="76" t="n"/>
      <c r="B69" s="77" t="n"/>
      <c r="C69" s="78" t="inlineStr">
        <is>
          <t>累計出来高率</t>
        </is>
      </c>
      <c r="D69" s="79" t="n"/>
      <c r="E69" s="76" t="n"/>
      <c r="F69" s="80" t="n"/>
      <c r="G69" s="81" t="n"/>
      <c r="H69" s="66">
        <f>H68</f>
        <v/>
      </c>
      <c r="I69" s="66">
        <f>H69+I68</f>
        <v/>
      </c>
      <c r="J69" s="66">
        <f>I69+J68</f>
        <v/>
      </c>
      <c r="K69" s="66">
        <f>J69+K68</f>
        <v/>
      </c>
      <c r="L69" s="66">
        <f>K69+L68</f>
        <v/>
      </c>
      <c r="M69" s="66">
        <f>L69+M68</f>
        <v/>
      </c>
      <c r="N69" s="66">
        <f>M69+N68</f>
        <v/>
      </c>
      <c r="O69" s="66">
        <f>N69+O68</f>
        <v/>
      </c>
      <c r="P69" s="66">
        <f>O69+P68</f>
        <v/>
      </c>
      <c r="Q69" s="66">
        <f>P69+Q68</f>
        <v/>
      </c>
      <c r="R69" s="66">
        <f>Q69+R68</f>
        <v/>
      </c>
      <c r="S69" s="66">
        <f>R69+S68</f>
        <v/>
      </c>
      <c r="T69" s="66">
        <f>S69+T68</f>
        <v/>
      </c>
      <c r="U69" s="66">
        <f>T69+U68</f>
        <v/>
      </c>
      <c r="V69" s="66">
        <f>U69+V68</f>
        <v/>
      </c>
      <c r="W69" s="66">
        <f>V69+W68</f>
        <v/>
      </c>
      <c r="X69" s="66">
        <f>W69+X68</f>
        <v/>
      </c>
      <c r="Y69" s="66">
        <f>X69+Y68</f>
        <v/>
      </c>
      <c r="Z69" s="66">
        <f>Y69+Z68</f>
        <v/>
      </c>
      <c r="AA69" s="66">
        <f>Z69+AA68</f>
        <v/>
      </c>
      <c r="AB69" s="66">
        <f>AA69+AB68</f>
        <v/>
      </c>
      <c r="AC69" s="66">
        <f>AB69+AC68</f>
        <v/>
      </c>
    </row>
    <row r="70">
      <c r="A70" s="53" t="inlineStr">
        <is>
          <t>c)-2</t>
        </is>
      </c>
      <c r="B70" s="54" t="inlineStr">
        <is>
          <t>電気設備工事</t>
        </is>
      </c>
      <c r="C70" s="55" t="inlineStr">
        <is>
          <t>工程</t>
        </is>
      </c>
      <c r="D70" s="56">
        <f>'金額リスト'!C28</f>
        <v/>
      </c>
      <c r="E70" s="53">
        <f>SUMPRODUCT((H70:AC70&lt;&gt;"")*(H$6:AC$6=1))</f>
        <v/>
      </c>
      <c r="F70" s="57">
        <f>SUM(H71:AC71)</f>
        <v/>
      </c>
      <c r="G70" s="58">
        <f>IF(AND(ABS(F70-1)&lt;0.0001,ABS(AC72-1)&lt;0.0001),"OK",IF(E70=0,"工程未設定","NG"))</f>
        <v/>
      </c>
      <c r="H70" s="59" t="n"/>
      <c r="I70" s="59" t="n"/>
      <c r="J70" s="59" t="n"/>
      <c r="K70" s="59" t="n">
        <v>1</v>
      </c>
      <c r="L70" s="59" t="n">
        <v>1</v>
      </c>
      <c r="M70" s="59" t="n"/>
      <c r="N70" s="59" t="n">
        <v>1</v>
      </c>
      <c r="O70" s="59" t="n">
        <v>1</v>
      </c>
      <c r="P70" s="59" t="n"/>
      <c r="Q70" s="59" t="n">
        <v>1</v>
      </c>
      <c r="R70" s="59" t="n">
        <v>1</v>
      </c>
      <c r="S70" s="59" t="n"/>
      <c r="T70" s="59" t="n"/>
      <c r="U70" s="59" t="n">
        <v>1</v>
      </c>
      <c r="V70" s="59" t="n">
        <v>1</v>
      </c>
      <c r="W70" s="59" t="n">
        <v>1</v>
      </c>
      <c r="X70" s="59" t="n"/>
      <c r="Y70" s="59" t="n"/>
      <c r="Z70" s="59" t="n"/>
      <c r="AA70" s="59" t="n">
        <v>1</v>
      </c>
      <c r="AB70" s="59" t="n">
        <v>1</v>
      </c>
      <c r="AC70" s="59" t="n">
        <v>1</v>
      </c>
    </row>
    <row r="71">
      <c r="A71" s="60" t="n"/>
      <c r="B71" s="61" t="n"/>
      <c r="C71" s="62" t="inlineStr">
        <is>
          <t>今週出来高率</t>
        </is>
      </c>
      <c r="D71" s="63" t="n"/>
      <c r="E71" s="60" t="n"/>
      <c r="F71" s="64" t="n"/>
      <c r="G71" s="65" t="n"/>
      <c r="H71" s="66">
        <f>IF(OR($E70=0,H70="",H$6&lt;&gt;1),0,1/$E70)</f>
        <v/>
      </c>
      <c r="I71" s="66">
        <f>IF(OR($E70=0,I70="",I$6&lt;&gt;1),0,1/$E70)</f>
        <v/>
      </c>
      <c r="J71" s="66">
        <f>IF(OR($E70=0,J70="",J$6&lt;&gt;1),0,1/$E70)</f>
        <v/>
      </c>
      <c r="K71" s="66">
        <f>IF(OR($E70=0,K70="",K$6&lt;&gt;1),0,1/$E70)</f>
        <v/>
      </c>
      <c r="L71" s="66">
        <f>IF(OR($E70=0,L70="",L$6&lt;&gt;1),0,1/$E70)</f>
        <v/>
      </c>
      <c r="M71" s="66">
        <f>IF(OR($E70=0,M70="",M$6&lt;&gt;1),0,1/$E70)</f>
        <v/>
      </c>
      <c r="N71" s="66">
        <f>IF(OR($E70=0,N70="",N$6&lt;&gt;1),0,1/$E70)</f>
        <v/>
      </c>
      <c r="O71" s="66">
        <f>IF(OR($E70=0,O70="",O$6&lt;&gt;1),0,1/$E70)</f>
        <v/>
      </c>
      <c r="P71" s="66">
        <f>IF(OR($E70=0,P70="",P$6&lt;&gt;1),0,1/$E70)</f>
        <v/>
      </c>
      <c r="Q71" s="66">
        <f>IF(OR($E70=0,Q70="",Q$6&lt;&gt;1),0,1/$E70)</f>
        <v/>
      </c>
      <c r="R71" s="66">
        <f>IF(OR($E70=0,R70="",R$6&lt;&gt;1),0,1/$E70)</f>
        <v/>
      </c>
      <c r="S71" s="66">
        <f>IF(OR($E70=0,S70="",S$6&lt;&gt;1),0,1/$E70)</f>
        <v/>
      </c>
      <c r="T71" s="66">
        <f>IF(OR($E70=0,T70="",T$6&lt;&gt;1),0,1/$E70)</f>
        <v/>
      </c>
      <c r="U71" s="66">
        <f>IF(OR($E70=0,U70="",U$6&lt;&gt;1),0,1/$E70)</f>
        <v/>
      </c>
      <c r="V71" s="66">
        <f>IF(OR($E70=0,V70="",V$6&lt;&gt;1),0,1/$E70)</f>
        <v/>
      </c>
      <c r="W71" s="66">
        <f>IF(OR($E70=0,W70="",W$6&lt;&gt;1),0,1/$E70)</f>
        <v/>
      </c>
      <c r="X71" s="66">
        <f>IF(OR($E70=0,X70="",X$6&lt;&gt;1),0,1/$E70)</f>
        <v/>
      </c>
      <c r="Y71" s="66">
        <f>IF(OR($E70=0,Y70="",Y$6&lt;&gt;1),0,1/$E70)</f>
        <v/>
      </c>
      <c r="Z71" s="66">
        <f>IF(OR($E70=0,Z70="",Z$6&lt;&gt;1),0,1/$E70)</f>
        <v/>
      </c>
      <c r="AA71" s="66">
        <f>IF(OR($E70=0,AA70="",AA$6&lt;&gt;1),0,1/$E70)</f>
        <v/>
      </c>
      <c r="AB71" s="66">
        <f>IF(OR($E70=0,AB70="",AB$6&lt;&gt;1),0,1/$E70)</f>
        <v/>
      </c>
      <c r="AC71" s="66">
        <f>IF(OR($E70=0,AC70="",AC$6&lt;&gt;1),0,1/$E70)</f>
        <v/>
      </c>
    </row>
    <row r="72">
      <c r="A72" s="60" t="n"/>
      <c r="B72" s="61" t="n"/>
      <c r="C72" s="62" t="inlineStr">
        <is>
          <t>累計出来高率</t>
        </is>
      </c>
      <c r="D72" s="63" t="n"/>
      <c r="E72" s="60" t="n"/>
      <c r="F72" s="64" t="n"/>
      <c r="G72" s="65" t="n"/>
      <c r="H72" s="66">
        <f>H71</f>
        <v/>
      </c>
      <c r="I72" s="66">
        <f>H72+I71</f>
        <v/>
      </c>
      <c r="J72" s="66">
        <f>I72+J71</f>
        <v/>
      </c>
      <c r="K72" s="66">
        <f>J72+K71</f>
        <v/>
      </c>
      <c r="L72" s="66">
        <f>K72+L71</f>
        <v/>
      </c>
      <c r="M72" s="66">
        <f>L72+M71</f>
        <v/>
      </c>
      <c r="N72" s="66">
        <f>M72+N71</f>
        <v/>
      </c>
      <c r="O72" s="66">
        <f>N72+O71</f>
        <v/>
      </c>
      <c r="P72" s="66">
        <f>O72+P71</f>
        <v/>
      </c>
      <c r="Q72" s="66">
        <f>P72+Q71</f>
        <v/>
      </c>
      <c r="R72" s="66">
        <f>Q72+R71</f>
        <v/>
      </c>
      <c r="S72" s="66">
        <f>R72+S71</f>
        <v/>
      </c>
      <c r="T72" s="66">
        <f>S72+T71</f>
        <v/>
      </c>
      <c r="U72" s="66">
        <f>T72+U71</f>
        <v/>
      </c>
      <c r="V72" s="66">
        <f>U72+V71</f>
        <v/>
      </c>
      <c r="W72" s="66">
        <f>V72+W71</f>
        <v/>
      </c>
      <c r="X72" s="66">
        <f>W72+X71</f>
        <v/>
      </c>
      <c r="Y72" s="66">
        <f>X72+Y71</f>
        <v/>
      </c>
      <c r="Z72" s="66">
        <f>Y72+Z71</f>
        <v/>
      </c>
      <c r="AA72" s="66">
        <f>Z72+AA71</f>
        <v/>
      </c>
      <c r="AB72" s="66">
        <f>AA72+AB71</f>
        <v/>
      </c>
      <c r="AC72" s="66">
        <f>AB72+AC71</f>
        <v/>
      </c>
    </row>
    <row r="73">
      <c r="A73" s="53" t="inlineStr">
        <is>
          <t>c)-3</t>
        </is>
      </c>
      <c r="B73" s="54" t="inlineStr">
        <is>
          <t>空気調和設備工事</t>
        </is>
      </c>
      <c r="C73" s="55" t="inlineStr">
        <is>
          <t>工程</t>
        </is>
      </c>
      <c r="D73" s="56">
        <f>'金額リスト'!C29</f>
        <v/>
      </c>
      <c r="E73" s="53">
        <f>SUMPRODUCT((H73:AC73&lt;&gt;"")*(H$6:AC$6=1))</f>
        <v/>
      </c>
      <c r="F73" s="57">
        <f>SUM(H74:AC74)</f>
        <v/>
      </c>
      <c r="G73" s="58">
        <f>IF(AND(ABS(F73-1)&lt;0.0001,ABS(AC75-1)&lt;0.0001),"OK",IF(E73=0,"工程未設定","NG"))</f>
        <v/>
      </c>
      <c r="H73" s="59" t="n"/>
      <c r="I73" s="59" t="n"/>
      <c r="J73" s="59" t="n"/>
      <c r="K73" s="59" t="n">
        <v>1</v>
      </c>
      <c r="L73" s="59" t="n">
        <v>1</v>
      </c>
      <c r="M73" s="59" t="n"/>
      <c r="N73" s="59" t="n">
        <v>1</v>
      </c>
      <c r="O73" s="59" t="n">
        <v>1</v>
      </c>
      <c r="P73" s="59" t="n"/>
      <c r="Q73" s="59" t="n">
        <v>1</v>
      </c>
      <c r="R73" s="59" t="n">
        <v>1</v>
      </c>
      <c r="S73" s="59" t="n"/>
      <c r="T73" s="59" t="n"/>
      <c r="U73" s="59" t="n">
        <v>1</v>
      </c>
      <c r="V73" s="59" t="n">
        <v>1</v>
      </c>
      <c r="W73" s="59" t="n">
        <v>1</v>
      </c>
      <c r="X73" s="59" t="n"/>
      <c r="Y73" s="59" t="n"/>
      <c r="Z73" s="59" t="n"/>
      <c r="AA73" s="59" t="n">
        <v>1</v>
      </c>
      <c r="AB73" s="59" t="n">
        <v>1</v>
      </c>
      <c r="AC73" s="59" t="n">
        <v>1</v>
      </c>
    </row>
    <row r="74">
      <c r="A74" s="60" t="n"/>
      <c r="B74" s="61" t="n"/>
      <c r="C74" s="62" t="inlineStr">
        <is>
          <t>今週出来高率</t>
        </is>
      </c>
      <c r="D74" s="63" t="n"/>
      <c r="E74" s="60" t="n"/>
      <c r="F74" s="64" t="n"/>
      <c r="G74" s="65" t="n"/>
      <c r="H74" s="66">
        <f>IF(OR($E73=0,H73="",H$6&lt;&gt;1),0,1/$E73)</f>
        <v/>
      </c>
      <c r="I74" s="66">
        <f>IF(OR($E73=0,I73="",I$6&lt;&gt;1),0,1/$E73)</f>
        <v/>
      </c>
      <c r="J74" s="66">
        <f>IF(OR($E73=0,J73="",J$6&lt;&gt;1),0,1/$E73)</f>
        <v/>
      </c>
      <c r="K74" s="66">
        <f>IF(OR($E73=0,K73="",K$6&lt;&gt;1),0,1/$E73)</f>
        <v/>
      </c>
      <c r="L74" s="66">
        <f>IF(OR($E73=0,L73="",L$6&lt;&gt;1),0,1/$E73)</f>
        <v/>
      </c>
      <c r="M74" s="66">
        <f>IF(OR($E73=0,M73="",M$6&lt;&gt;1),0,1/$E73)</f>
        <v/>
      </c>
      <c r="N74" s="66">
        <f>IF(OR($E73=0,N73="",N$6&lt;&gt;1),0,1/$E73)</f>
        <v/>
      </c>
      <c r="O74" s="66">
        <f>IF(OR($E73=0,O73="",O$6&lt;&gt;1),0,1/$E73)</f>
        <v/>
      </c>
      <c r="P74" s="66">
        <f>IF(OR($E73=0,P73="",P$6&lt;&gt;1),0,1/$E73)</f>
        <v/>
      </c>
      <c r="Q74" s="66">
        <f>IF(OR($E73=0,Q73="",Q$6&lt;&gt;1),0,1/$E73)</f>
        <v/>
      </c>
      <c r="R74" s="66">
        <f>IF(OR($E73=0,R73="",R$6&lt;&gt;1),0,1/$E73)</f>
        <v/>
      </c>
      <c r="S74" s="66">
        <f>IF(OR($E73=0,S73="",S$6&lt;&gt;1),0,1/$E73)</f>
        <v/>
      </c>
      <c r="T74" s="66">
        <f>IF(OR($E73=0,T73="",T$6&lt;&gt;1),0,1/$E73)</f>
        <v/>
      </c>
      <c r="U74" s="66">
        <f>IF(OR($E73=0,U73="",U$6&lt;&gt;1),0,1/$E73)</f>
        <v/>
      </c>
      <c r="V74" s="66">
        <f>IF(OR($E73=0,V73="",V$6&lt;&gt;1),0,1/$E73)</f>
        <v/>
      </c>
      <c r="W74" s="66">
        <f>IF(OR($E73=0,W73="",W$6&lt;&gt;1),0,1/$E73)</f>
        <v/>
      </c>
      <c r="X74" s="66">
        <f>IF(OR($E73=0,X73="",X$6&lt;&gt;1),0,1/$E73)</f>
        <v/>
      </c>
      <c r="Y74" s="66">
        <f>IF(OR($E73=0,Y73="",Y$6&lt;&gt;1),0,1/$E73)</f>
        <v/>
      </c>
      <c r="Z74" s="66">
        <f>IF(OR($E73=0,Z73="",Z$6&lt;&gt;1),0,1/$E73)</f>
        <v/>
      </c>
      <c r="AA74" s="66">
        <f>IF(OR($E73=0,AA73="",AA$6&lt;&gt;1),0,1/$E73)</f>
        <v/>
      </c>
      <c r="AB74" s="66">
        <f>IF(OR($E73=0,AB73="",AB$6&lt;&gt;1),0,1/$E73)</f>
        <v/>
      </c>
      <c r="AC74" s="66">
        <f>IF(OR($E73=0,AC73="",AC$6&lt;&gt;1),0,1/$E73)</f>
        <v/>
      </c>
    </row>
    <row r="75">
      <c r="A75" s="60" t="n"/>
      <c r="B75" s="61" t="n"/>
      <c r="C75" s="62" t="inlineStr">
        <is>
          <t>累計出来高率</t>
        </is>
      </c>
      <c r="D75" s="63" t="n"/>
      <c r="E75" s="60" t="n"/>
      <c r="F75" s="64" t="n"/>
      <c r="G75" s="65" t="n"/>
      <c r="H75" s="66">
        <f>H74</f>
        <v/>
      </c>
      <c r="I75" s="66">
        <f>H75+I74</f>
        <v/>
      </c>
      <c r="J75" s="66">
        <f>I75+J74</f>
        <v/>
      </c>
      <c r="K75" s="66">
        <f>J75+K74</f>
        <v/>
      </c>
      <c r="L75" s="66">
        <f>K75+L74</f>
        <v/>
      </c>
      <c r="M75" s="66">
        <f>L75+M74</f>
        <v/>
      </c>
      <c r="N75" s="66">
        <f>M75+N74</f>
        <v/>
      </c>
      <c r="O75" s="66">
        <f>N75+O74</f>
        <v/>
      </c>
      <c r="P75" s="66">
        <f>O75+P74</f>
        <v/>
      </c>
      <c r="Q75" s="66">
        <f>P75+Q74</f>
        <v/>
      </c>
      <c r="R75" s="66">
        <f>Q75+R74</f>
        <v/>
      </c>
      <c r="S75" s="66">
        <f>R75+S74</f>
        <v/>
      </c>
      <c r="T75" s="66">
        <f>S75+T74</f>
        <v/>
      </c>
      <c r="U75" s="66">
        <f>T75+U74</f>
        <v/>
      </c>
      <c r="V75" s="66">
        <f>U75+V74</f>
        <v/>
      </c>
      <c r="W75" s="66">
        <f>V75+W74</f>
        <v/>
      </c>
      <c r="X75" s="66">
        <f>W75+X74</f>
        <v/>
      </c>
      <c r="Y75" s="66">
        <f>X75+Y74</f>
        <v/>
      </c>
      <c r="Z75" s="66">
        <f>Y75+Z74</f>
        <v/>
      </c>
      <c r="AA75" s="66">
        <f>Z75+AA74</f>
        <v/>
      </c>
      <c r="AB75" s="66">
        <f>AA75+AB74</f>
        <v/>
      </c>
      <c r="AC75" s="66">
        <f>AB75+AC74</f>
        <v/>
      </c>
    </row>
    <row r="76">
      <c r="A76" s="53" t="inlineStr">
        <is>
          <t>c)-4</t>
        </is>
      </c>
      <c r="B76" s="54" t="inlineStr">
        <is>
          <t>衛生設備工事</t>
        </is>
      </c>
      <c r="C76" s="55" t="inlineStr">
        <is>
          <t>工程</t>
        </is>
      </c>
      <c r="D76" s="56">
        <f>'金額リスト'!C30</f>
        <v/>
      </c>
      <c r="E76" s="53">
        <f>SUMPRODUCT((H76:AC76&lt;&gt;"")*(H$6:AC$6=1))</f>
        <v/>
      </c>
      <c r="F76" s="57">
        <f>SUM(H77:AC77)</f>
        <v/>
      </c>
      <c r="G76" s="58">
        <f>IF(AND(ABS(F76-1)&lt;0.0001,ABS(AC78-1)&lt;0.0001),"OK",IF(E76=0,"工程未設定","NG"))</f>
        <v/>
      </c>
      <c r="H76" s="59" t="n"/>
      <c r="I76" s="59" t="n"/>
      <c r="J76" s="59" t="n"/>
      <c r="K76" s="59" t="n">
        <v>1</v>
      </c>
      <c r="L76" s="59" t="n">
        <v>1</v>
      </c>
      <c r="M76" s="59" t="n"/>
      <c r="N76" s="59" t="n">
        <v>1</v>
      </c>
      <c r="O76" s="59" t="n">
        <v>1</v>
      </c>
      <c r="P76" s="59" t="n"/>
      <c r="Q76" s="59" t="n">
        <v>1</v>
      </c>
      <c r="R76" s="59" t="n">
        <v>1</v>
      </c>
      <c r="S76" s="59" t="n"/>
      <c r="T76" s="59" t="n"/>
      <c r="U76" s="59" t="n">
        <v>1</v>
      </c>
      <c r="V76" s="59" t="n">
        <v>1</v>
      </c>
      <c r="W76" s="59" t="n">
        <v>1</v>
      </c>
      <c r="X76" s="59" t="n"/>
      <c r="Y76" s="59" t="n"/>
      <c r="Z76" s="59" t="n"/>
      <c r="AA76" s="59" t="n">
        <v>1</v>
      </c>
      <c r="AB76" s="59" t="n">
        <v>1</v>
      </c>
      <c r="AC76" s="59" t="n">
        <v>1</v>
      </c>
    </row>
    <row r="77">
      <c r="A77" s="60" t="n"/>
      <c r="B77" s="61" t="n"/>
      <c r="C77" s="62" t="inlineStr">
        <is>
          <t>今週出来高率</t>
        </is>
      </c>
      <c r="D77" s="63" t="n"/>
      <c r="E77" s="60" t="n"/>
      <c r="F77" s="64" t="n"/>
      <c r="G77" s="65" t="n"/>
      <c r="H77" s="66">
        <f>IF(OR($E76=0,H76="",H$6&lt;&gt;1),0,1/$E76)</f>
        <v/>
      </c>
      <c r="I77" s="66">
        <f>IF(OR($E76=0,I76="",I$6&lt;&gt;1),0,1/$E76)</f>
        <v/>
      </c>
      <c r="J77" s="66">
        <f>IF(OR($E76=0,J76="",J$6&lt;&gt;1),0,1/$E76)</f>
        <v/>
      </c>
      <c r="K77" s="66">
        <f>IF(OR($E76=0,K76="",K$6&lt;&gt;1),0,1/$E76)</f>
        <v/>
      </c>
      <c r="L77" s="66">
        <f>IF(OR($E76=0,L76="",L$6&lt;&gt;1),0,1/$E76)</f>
        <v/>
      </c>
      <c r="M77" s="66">
        <f>IF(OR($E76=0,M76="",M$6&lt;&gt;1),0,1/$E76)</f>
        <v/>
      </c>
      <c r="N77" s="66">
        <f>IF(OR($E76=0,N76="",N$6&lt;&gt;1),0,1/$E76)</f>
        <v/>
      </c>
      <c r="O77" s="66">
        <f>IF(OR($E76=0,O76="",O$6&lt;&gt;1),0,1/$E76)</f>
        <v/>
      </c>
      <c r="P77" s="66">
        <f>IF(OR($E76=0,P76="",P$6&lt;&gt;1),0,1/$E76)</f>
        <v/>
      </c>
      <c r="Q77" s="66">
        <f>IF(OR($E76=0,Q76="",Q$6&lt;&gt;1),0,1/$E76)</f>
        <v/>
      </c>
      <c r="R77" s="66">
        <f>IF(OR($E76=0,R76="",R$6&lt;&gt;1),0,1/$E76)</f>
        <v/>
      </c>
      <c r="S77" s="66">
        <f>IF(OR($E76=0,S76="",S$6&lt;&gt;1),0,1/$E76)</f>
        <v/>
      </c>
      <c r="T77" s="66">
        <f>IF(OR($E76=0,T76="",T$6&lt;&gt;1),0,1/$E76)</f>
        <v/>
      </c>
      <c r="U77" s="66">
        <f>IF(OR($E76=0,U76="",U$6&lt;&gt;1),0,1/$E76)</f>
        <v/>
      </c>
      <c r="V77" s="66">
        <f>IF(OR($E76=0,V76="",V$6&lt;&gt;1),0,1/$E76)</f>
        <v/>
      </c>
      <c r="W77" s="66">
        <f>IF(OR($E76=0,W76="",W$6&lt;&gt;1),0,1/$E76)</f>
        <v/>
      </c>
      <c r="X77" s="66">
        <f>IF(OR($E76=0,X76="",X$6&lt;&gt;1),0,1/$E76)</f>
        <v/>
      </c>
      <c r="Y77" s="66">
        <f>IF(OR($E76=0,Y76="",Y$6&lt;&gt;1),0,1/$E76)</f>
        <v/>
      </c>
      <c r="Z77" s="66">
        <f>IF(OR($E76=0,Z76="",Z$6&lt;&gt;1),0,1/$E76)</f>
        <v/>
      </c>
      <c r="AA77" s="66">
        <f>IF(OR($E76=0,AA76="",AA$6&lt;&gt;1),0,1/$E76)</f>
        <v/>
      </c>
      <c r="AB77" s="66">
        <f>IF(OR($E76=0,AB76="",AB$6&lt;&gt;1),0,1/$E76)</f>
        <v/>
      </c>
      <c r="AC77" s="66">
        <f>IF(OR($E76=0,AC76="",AC$6&lt;&gt;1),0,1/$E76)</f>
        <v/>
      </c>
    </row>
    <row r="78">
      <c r="A78" s="60" t="n"/>
      <c r="B78" s="61" t="n"/>
      <c r="C78" s="62" t="inlineStr">
        <is>
          <t>累計出来高率</t>
        </is>
      </c>
      <c r="D78" s="63" t="n"/>
      <c r="E78" s="60" t="n"/>
      <c r="F78" s="64" t="n"/>
      <c r="G78" s="65" t="n"/>
      <c r="H78" s="66">
        <f>H77</f>
        <v/>
      </c>
      <c r="I78" s="66">
        <f>H78+I77</f>
        <v/>
      </c>
      <c r="J78" s="66">
        <f>I78+J77</f>
        <v/>
      </c>
      <c r="K78" s="66">
        <f>J78+K77</f>
        <v/>
      </c>
      <c r="L78" s="66">
        <f>K78+L77</f>
        <v/>
      </c>
      <c r="M78" s="66">
        <f>L78+M77</f>
        <v/>
      </c>
      <c r="N78" s="66">
        <f>M78+N77</f>
        <v/>
      </c>
      <c r="O78" s="66">
        <f>N78+O77</f>
        <v/>
      </c>
      <c r="P78" s="66">
        <f>O78+P77</f>
        <v/>
      </c>
      <c r="Q78" s="66">
        <f>P78+Q77</f>
        <v/>
      </c>
      <c r="R78" s="66">
        <f>Q78+R77</f>
        <v/>
      </c>
      <c r="S78" s="66">
        <f>R78+S77</f>
        <v/>
      </c>
      <c r="T78" s="66">
        <f>S78+T77</f>
        <v/>
      </c>
      <c r="U78" s="66">
        <f>T78+U77</f>
        <v/>
      </c>
      <c r="V78" s="66">
        <f>U78+V77</f>
        <v/>
      </c>
      <c r="W78" s="66">
        <f>V78+W77</f>
        <v/>
      </c>
      <c r="X78" s="66">
        <f>W78+X77</f>
        <v/>
      </c>
      <c r="Y78" s="66">
        <f>X78+Y77</f>
        <v/>
      </c>
      <c r="Z78" s="66">
        <f>Y78+Z77</f>
        <v/>
      </c>
      <c r="AA78" s="66">
        <f>Z78+AA77</f>
        <v/>
      </c>
      <c r="AB78" s="66">
        <f>AA78+AB77</f>
        <v/>
      </c>
      <c r="AC78" s="66">
        <f>AB78+AC77</f>
        <v/>
      </c>
    </row>
    <row r="79">
      <c r="A79" s="38" t="inlineStr">
        <is>
          <t>d)</t>
        </is>
      </c>
      <c r="B79" s="39" t="inlineStr">
        <is>
          <t>諸経費</t>
        </is>
      </c>
      <c r="C79" s="40" t="inlineStr">
        <is>
          <t>工程</t>
        </is>
      </c>
      <c r="D79" s="41">
        <f>'金額リスト'!C31</f>
        <v/>
      </c>
      <c r="E79" s="38">
        <f>SUMPRODUCT((H79:AC79&lt;&gt;"")*(H$6:AC$6=1))</f>
        <v/>
      </c>
      <c r="F79" s="42">
        <f>SUM(H80:AC80)</f>
        <v/>
      </c>
      <c r="G79" s="43">
        <f>IF(AND(ABS(F79-1)&lt;0.0001,ABS(AC81-1)&lt;0.0001),"OK",IF(E79=0,"工程未設定","NG"))</f>
        <v/>
      </c>
      <c r="H79" s="44" t="n"/>
      <c r="I79" s="44" t="n">
        <v>1</v>
      </c>
      <c r="J79" s="44" t="n">
        <v>1</v>
      </c>
      <c r="K79" s="44" t="n">
        <v>1</v>
      </c>
      <c r="L79" s="44" t="n">
        <v>1</v>
      </c>
      <c r="M79" s="44" t="n">
        <v>1</v>
      </c>
      <c r="N79" s="44" t="n">
        <v>1</v>
      </c>
      <c r="O79" s="44" t="n">
        <v>1</v>
      </c>
      <c r="P79" s="44" t="n">
        <v>1</v>
      </c>
      <c r="Q79" s="44" t="n">
        <v>1</v>
      </c>
      <c r="R79" s="44" t="n">
        <v>1</v>
      </c>
      <c r="S79" s="44" t="n">
        <v>1</v>
      </c>
      <c r="T79" s="44" t="n">
        <v>1</v>
      </c>
      <c r="U79" s="44" t="n">
        <v>1</v>
      </c>
      <c r="V79" s="44" t="n">
        <v>1</v>
      </c>
      <c r="W79" s="44" t="n">
        <v>1</v>
      </c>
      <c r="X79" s="44" t="n">
        <v>1</v>
      </c>
      <c r="Y79" s="44" t="n">
        <v>1</v>
      </c>
      <c r="Z79" s="44" t="n">
        <v>1</v>
      </c>
      <c r="AA79" s="44" t="n">
        <v>1</v>
      </c>
      <c r="AB79" s="44" t="n">
        <v>1</v>
      </c>
      <c r="AC79" s="44" t="n">
        <v>1</v>
      </c>
    </row>
    <row r="80">
      <c r="A80" s="45" t="n"/>
      <c r="B80" s="46" t="n"/>
      <c r="C80" s="47" t="inlineStr">
        <is>
          <t>今週出来高率</t>
        </is>
      </c>
      <c r="D80" s="48" t="n"/>
      <c r="E80" s="45" t="n"/>
      <c r="F80" s="49" t="n"/>
      <c r="G80" s="50" t="n"/>
      <c r="H80" s="37">
        <f>IF(OR($E79=0,H79="",H$6&lt;&gt;1),0,1/$E79)</f>
        <v/>
      </c>
      <c r="I80" s="37">
        <f>IF(OR($E79=0,I79="",I$6&lt;&gt;1),0,1/$E79)</f>
        <v/>
      </c>
      <c r="J80" s="37">
        <f>IF(OR($E79=0,J79="",J$6&lt;&gt;1),0,1/$E79)</f>
        <v/>
      </c>
      <c r="K80" s="37">
        <f>IF(OR($E79=0,K79="",K$6&lt;&gt;1),0,1/$E79)</f>
        <v/>
      </c>
      <c r="L80" s="37">
        <f>IF(OR($E79=0,L79="",L$6&lt;&gt;1),0,1/$E79)</f>
        <v/>
      </c>
      <c r="M80" s="37">
        <f>IF(OR($E79=0,M79="",M$6&lt;&gt;1),0,1/$E79)</f>
        <v/>
      </c>
      <c r="N80" s="37">
        <f>IF(OR($E79=0,N79="",N$6&lt;&gt;1),0,1/$E79)</f>
        <v/>
      </c>
      <c r="O80" s="37">
        <f>IF(OR($E79=0,O79="",O$6&lt;&gt;1),0,1/$E79)</f>
        <v/>
      </c>
      <c r="P80" s="37">
        <f>IF(OR($E79=0,P79="",P$6&lt;&gt;1),0,1/$E79)</f>
        <v/>
      </c>
      <c r="Q80" s="37">
        <f>IF(OR($E79=0,Q79="",Q$6&lt;&gt;1),0,1/$E79)</f>
        <v/>
      </c>
      <c r="R80" s="37">
        <f>IF(OR($E79=0,R79="",R$6&lt;&gt;1),0,1/$E79)</f>
        <v/>
      </c>
      <c r="S80" s="37">
        <f>IF(OR($E79=0,S79="",S$6&lt;&gt;1),0,1/$E79)</f>
        <v/>
      </c>
      <c r="T80" s="37">
        <f>IF(OR($E79=0,T79="",T$6&lt;&gt;1),0,1/$E79)</f>
        <v/>
      </c>
      <c r="U80" s="37">
        <f>IF(OR($E79=0,U79="",U$6&lt;&gt;1),0,1/$E79)</f>
        <v/>
      </c>
      <c r="V80" s="37">
        <f>IF(OR($E79=0,V79="",V$6&lt;&gt;1),0,1/$E79)</f>
        <v/>
      </c>
      <c r="W80" s="37">
        <f>IF(OR($E79=0,W79="",W$6&lt;&gt;1),0,1/$E79)</f>
        <v/>
      </c>
      <c r="X80" s="37">
        <f>IF(OR($E79=0,X79="",X$6&lt;&gt;1),0,1/$E79)</f>
        <v/>
      </c>
      <c r="Y80" s="37">
        <f>IF(OR($E79=0,Y79="",Y$6&lt;&gt;1),0,1/$E79)</f>
        <v/>
      </c>
      <c r="Z80" s="37">
        <f>IF(OR($E79=0,Z79="",Z$6&lt;&gt;1),0,1/$E79)</f>
        <v/>
      </c>
      <c r="AA80" s="37">
        <f>IF(OR($E79=0,AA79="",AA$6&lt;&gt;1),0,1/$E79)</f>
        <v/>
      </c>
      <c r="AB80" s="37">
        <f>IF(OR($E79=0,AB79="",AB$6&lt;&gt;1),0,1/$E79)</f>
        <v/>
      </c>
      <c r="AC80" s="37">
        <f>IF(OR($E79=0,AC79="",AC$6&lt;&gt;1),0,1/$E79)</f>
        <v/>
      </c>
    </row>
    <row r="81">
      <c r="A81" s="45" t="n"/>
      <c r="B81" s="46" t="n"/>
      <c r="C81" s="47" t="inlineStr">
        <is>
          <t>累計出来高率</t>
        </is>
      </c>
      <c r="D81" s="48" t="n"/>
      <c r="E81" s="45" t="n"/>
      <c r="F81" s="49" t="n"/>
      <c r="G81" s="50" t="n"/>
      <c r="H81" s="37">
        <f>H80</f>
        <v/>
      </c>
      <c r="I81" s="37">
        <f>H81+I80</f>
        <v/>
      </c>
      <c r="J81" s="37">
        <f>I81+J80</f>
        <v/>
      </c>
      <c r="K81" s="37">
        <f>J81+K80</f>
        <v/>
      </c>
      <c r="L81" s="37">
        <f>K81+L80</f>
        <v/>
      </c>
      <c r="M81" s="37">
        <f>L81+M80</f>
        <v/>
      </c>
      <c r="N81" s="37">
        <f>M81+N80</f>
        <v/>
      </c>
      <c r="O81" s="37">
        <f>N81+O80</f>
        <v/>
      </c>
      <c r="P81" s="37">
        <f>O81+P80</f>
        <v/>
      </c>
      <c r="Q81" s="37">
        <f>P81+Q80</f>
        <v/>
      </c>
      <c r="R81" s="37">
        <f>Q81+R80</f>
        <v/>
      </c>
      <c r="S81" s="37">
        <f>R81+S80</f>
        <v/>
      </c>
      <c r="T81" s="37">
        <f>S81+T80</f>
        <v/>
      </c>
      <c r="U81" s="37">
        <f>T81+U80</f>
        <v/>
      </c>
      <c r="V81" s="37">
        <f>U81+V80</f>
        <v/>
      </c>
      <c r="W81" s="37">
        <f>V81+W80</f>
        <v/>
      </c>
      <c r="X81" s="37">
        <f>W81+X80</f>
        <v/>
      </c>
      <c r="Y81" s="37">
        <f>X81+Y80</f>
        <v/>
      </c>
      <c r="Z81" s="37">
        <f>Y81+Z80</f>
        <v/>
      </c>
      <c r="AA81" s="37">
        <f>Z81+AA80</f>
        <v/>
      </c>
      <c r="AB81" s="37">
        <f>AA81+AB80</f>
        <v/>
      </c>
      <c r="AC81" s="37">
        <f>AB81+AC80</f>
        <v/>
      </c>
    </row>
    <row r="83">
      <c r="B83" s="2" t="inlineStr">
        <is>
          <t>出典：週区分は工程表（2026年5月19日作成）の工期 11月～3月に基づく月曜～日曜。契約金額は金額リスト（見積書）より。各週の出来高金額は後日追加予定。</t>
        </is>
      </c>
    </row>
    <row r="84">
      <c r="B84" s="2" t="inlineStr">
        <is>
          <t>工程の読取り元（工程表 2026年5月19日作成の黒塗り、西側＋東側エリア）：</t>
        </is>
      </c>
    </row>
    <row r="85">
      <c r="B85" s="2" t="inlineStr">
        <is>
          <t>・共通仮設工事・諸経費＝全工期（11/9～3/31）　・直接仮設＝仮設工事　・解体撤去 建築＝解体撤去工事</t>
        </is>
      </c>
    </row>
    <row r="86">
      <c r="B86" s="2" t="inlineStr">
        <is>
          <t>・解体撤去 電気／空調・衛生＝設備工事(電気)／(機械)の「既存撤去工事」　・改修 電気／空調・衛生＝同 撤去以降</t>
        </is>
      </c>
    </row>
    <row r="87">
      <c r="B87" s="2" t="inlineStr">
        <is>
          <t>・金属＝金属工事＋鋼製床工事　・金属製建具＝鋼製建具工事　・ガラス＝SSD1ガラス嵌込み（12/23～25）</t>
        </is>
      </c>
    </row>
    <row r="88">
      <c r="B88" s="2" t="inlineStr">
        <is>
          <t>・タイル＝タイル工事（東側は試焼・作図期間を除き「腰壁・床」3/4以降）　・木／左官／塗装／内装仕上／雑＝同名の工事</t>
        </is>
      </c>
    </row>
    <row r="89">
      <c r="B89" s="2" t="inlineStr">
        <is>
          <t>・躯体工事・防水工事は工程表に該当行がないため未設定（要確認）</t>
        </is>
      </c>
    </row>
  </sheetData>
  <mergeCells count="157">
    <mergeCell ref="B34:B36"/>
    <mergeCell ref="D25:D27"/>
    <mergeCell ref="B55:B57"/>
    <mergeCell ref="D55:D57"/>
    <mergeCell ref="G79:G81"/>
    <mergeCell ref="A13:A15"/>
    <mergeCell ref="G40:G42"/>
    <mergeCell ref="F61:F63"/>
    <mergeCell ref="E7:E9"/>
    <mergeCell ref="A43:A45"/>
    <mergeCell ref="A58:A60"/>
    <mergeCell ref="E16:E18"/>
    <mergeCell ref="A52:A54"/>
    <mergeCell ref="G16:G18"/>
    <mergeCell ref="B7:B9"/>
    <mergeCell ref="A49:A51"/>
    <mergeCell ref="B22:B24"/>
    <mergeCell ref="E58:E60"/>
    <mergeCell ref="D22:D24"/>
    <mergeCell ref="B31:B33"/>
    <mergeCell ref="A70:A72"/>
    <mergeCell ref="D31:D33"/>
    <mergeCell ref="G67:G69"/>
    <mergeCell ref="E73:E75"/>
    <mergeCell ref="B70:B72"/>
    <mergeCell ref="D70:D72"/>
    <mergeCell ref="F70:F72"/>
    <mergeCell ref="F79:F81"/>
    <mergeCell ref="B10:B12"/>
    <mergeCell ref="E34:E36"/>
    <mergeCell ref="G34:G36"/>
    <mergeCell ref="D7:D9"/>
    <mergeCell ref="G28:G30"/>
    <mergeCell ref="D16:D18"/>
    <mergeCell ref="E61:E63"/>
    <mergeCell ref="G55:G57"/>
    <mergeCell ref="D4:D6"/>
    <mergeCell ref="F13:F15"/>
    <mergeCell ref="B49:B51"/>
    <mergeCell ref="C4:C5"/>
    <mergeCell ref="D43:D45"/>
    <mergeCell ref="F43:F45"/>
    <mergeCell ref="F52:F54"/>
    <mergeCell ref="F49:F51"/>
    <mergeCell ref="G4:G6"/>
    <mergeCell ref="E22:E24"/>
    <mergeCell ref="G22:G24"/>
    <mergeCell ref="A4:A6"/>
    <mergeCell ref="G31:G33"/>
    <mergeCell ref="B76:B78"/>
    <mergeCell ref="B25:B27"/>
    <mergeCell ref="D19:D21"/>
    <mergeCell ref="A31:A33"/>
    <mergeCell ref="F19:F21"/>
    <mergeCell ref="A40:A42"/>
    <mergeCell ref="G70:G72"/>
    <mergeCell ref="A73:A75"/>
    <mergeCell ref="F25:F27"/>
    <mergeCell ref="D61:D63"/>
    <mergeCell ref="E64:E66"/>
    <mergeCell ref="B46:B48"/>
    <mergeCell ref="D46:D48"/>
    <mergeCell ref="E79:E81"/>
    <mergeCell ref="B61:B63"/>
    <mergeCell ref="A7:A9"/>
    <mergeCell ref="A16:A18"/>
    <mergeCell ref="E49:E51"/>
    <mergeCell ref="A25:A27"/>
    <mergeCell ref="E10:E12"/>
    <mergeCell ref="E19:E21"/>
    <mergeCell ref="A55:A57"/>
    <mergeCell ref="G19:G21"/>
    <mergeCell ref="B40:B42"/>
    <mergeCell ref="E76:E78"/>
    <mergeCell ref="G76:G78"/>
    <mergeCell ref="A22:A24"/>
    <mergeCell ref="D58:D60"/>
    <mergeCell ref="F58:F60"/>
    <mergeCell ref="D67:D69"/>
    <mergeCell ref="F67:F69"/>
    <mergeCell ref="A34:A36"/>
    <mergeCell ref="D73:D75"/>
    <mergeCell ref="A28:A30"/>
    <mergeCell ref="F73:F75"/>
    <mergeCell ref="A64:A66"/>
    <mergeCell ref="A79:A81"/>
    <mergeCell ref="B16:B18"/>
    <mergeCell ref="E37:E39"/>
    <mergeCell ref="D10:D12"/>
    <mergeCell ref="G46:G48"/>
    <mergeCell ref="E55:E57"/>
    <mergeCell ref="G61:G63"/>
    <mergeCell ref="D34:D36"/>
    <mergeCell ref="F7:F9"/>
    <mergeCell ref="B43:B45"/>
    <mergeCell ref="F34:F36"/>
    <mergeCell ref="F16:F18"/>
    <mergeCell ref="B52:B54"/>
    <mergeCell ref="D52:D54"/>
    <mergeCell ref="F55:F57"/>
    <mergeCell ref="A61:A63"/>
    <mergeCell ref="G10:G12"/>
    <mergeCell ref="E13:E15"/>
    <mergeCell ref="G7:G9"/>
    <mergeCell ref="B13:B15"/>
    <mergeCell ref="D13:D15"/>
    <mergeCell ref="B19:B21"/>
    <mergeCell ref="B28:B30"/>
    <mergeCell ref="D28:D30"/>
    <mergeCell ref="B37:B39"/>
    <mergeCell ref="F22:F24"/>
    <mergeCell ref="G49:G51"/>
    <mergeCell ref="D37:D39"/>
    <mergeCell ref="G58:G60"/>
    <mergeCell ref="F31:F33"/>
    <mergeCell ref="E70:E72"/>
    <mergeCell ref="G64:G66"/>
    <mergeCell ref="G73:G75"/>
    <mergeCell ref="A76:A78"/>
    <mergeCell ref="F46:F48"/>
    <mergeCell ref="F28:F30"/>
    <mergeCell ref="D64:D66"/>
    <mergeCell ref="F37:F39"/>
    <mergeCell ref="F64:F66"/>
    <mergeCell ref="A67:A69"/>
    <mergeCell ref="B4:B6"/>
    <mergeCell ref="E25:E27"/>
    <mergeCell ref="B64:B66"/>
    <mergeCell ref="F10:F12"/>
    <mergeCell ref="A10:A12"/>
    <mergeCell ref="G25:G27"/>
    <mergeCell ref="E43:E45"/>
    <mergeCell ref="G43:G45"/>
    <mergeCell ref="A19:A21"/>
    <mergeCell ref="E52:E54"/>
    <mergeCell ref="G52:G54"/>
    <mergeCell ref="B79:B81"/>
    <mergeCell ref="D79:D81"/>
    <mergeCell ref="F4:F6"/>
    <mergeCell ref="D40:D42"/>
    <mergeCell ref="F40:F42"/>
    <mergeCell ref="D49:D51"/>
    <mergeCell ref="E4:E6"/>
    <mergeCell ref="G13:G15"/>
    <mergeCell ref="E67:E69"/>
    <mergeCell ref="E28:E30"/>
    <mergeCell ref="B58:B60"/>
    <mergeCell ref="B67:B69"/>
    <mergeCell ref="G37:G39"/>
    <mergeCell ref="B73:B75"/>
    <mergeCell ref="D76:D78"/>
    <mergeCell ref="F76:F78"/>
    <mergeCell ref="A37:A39"/>
    <mergeCell ref="A46:A48"/>
    <mergeCell ref="E31:E33"/>
    <mergeCell ref="E46:E48"/>
    <mergeCell ref="E40:E42"/>
  </mergeCells>
  <conditionalFormatting sqref="H7:AC81">
    <cfRule type="expression" priority="1" dxfId="0" stopIfTrue="1">
      <formula>H$6&lt;&gt;1</formula>
    </cfRule>
  </conditionalFormatting>
  <conditionalFormatting sqref="H7:AC7">
    <cfRule type="expression" priority="2" dxfId="1">
      <formula>H7&lt;&gt;""</formula>
    </cfRule>
  </conditionalFormatting>
  <conditionalFormatting sqref="H10:AC10">
    <cfRule type="expression" priority="3" dxfId="2">
      <formula>H10&lt;&gt;""</formula>
    </cfRule>
  </conditionalFormatting>
  <conditionalFormatting sqref="H13:AC13">
    <cfRule type="expression" priority="4" dxfId="1">
      <formula>H13&lt;&gt;""</formula>
    </cfRule>
  </conditionalFormatting>
  <conditionalFormatting sqref="H16:AC16">
    <cfRule type="expression" priority="5" dxfId="2">
      <formula>H16&lt;&gt;""</formula>
    </cfRule>
  </conditionalFormatting>
  <conditionalFormatting sqref="H19:AC19">
    <cfRule type="expression" priority="6" dxfId="2">
      <formula>H19&lt;&gt;""</formula>
    </cfRule>
  </conditionalFormatting>
  <conditionalFormatting sqref="H22:AC22">
    <cfRule type="expression" priority="7" dxfId="2">
      <formula>H22&lt;&gt;""</formula>
    </cfRule>
  </conditionalFormatting>
  <conditionalFormatting sqref="H25:AC25">
    <cfRule type="expression" priority="8" dxfId="2">
      <formula>H25&lt;&gt;""</formula>
    </cfRule>
  </conditionalFormatting>
  <conditionalFormatting sqref="H28:AC28">
    <cfRule type="expression" priority="9" dxfId="1">
      <formula>H28&lt;&gt;""</formula>
    </cfRule>
  </conditionalFormatting>
  <conditionalFormatting sqref="H31:AC31">
    <cfRule type="expression" priority="10" dxfId="1">
      <formula>H31&lt;&gt;""</formula>
    </cfRule>
  </conditionalFormatting>
  <conditionalFormatting sqref="H34:AC34">
    <cfRule type="expression" priority="11" dxfId="2">
      <formula>H34&lt;&gt;""</formula>
    </cfRule>
  </conditionalFormatting>
  <conditionalFormatting sqref="H37:AC37">
    <cfRule type="expression" priority="12" dxfId="2">
      <formula>H37&lt;&gt;""</formula>
    </cfRule>
  </conditionalFormatting>
  <conditionalFormatting sqref="H40:AC40">
    <cfRule type="expression" priority="13" dxfId="2">
      <formula>H40&lt;&gt;""</formula>
    </cfRule>
  </conditionalFormatting>
  <conditionalFormatting sqref="H43:AC43">
    <cfRule type="expression" priority="14" dxfId="2">
      <formula>H43&lt;&gt;""</formula>
    </cfRule>
  </conditionalFormatting>
  <conditionalFormatting sqref="H46:AC46">
    <cfRule type="expression" priority="15" dxfId="2">
      <formula>H46&lt;&gt;""</formula>
    </cfRule>
  </conditionalFormatting>
  <conditionalFormatting sqref="H49:AC49">
    <cfRule type="expression" priority="16" dxfId="2">
      <formula>H49&lt;&gt;""</formula>
    </cfRule>
  </conditionalFormatting>
  <conditionalFormatting sqref="H52:AC52">
    <cfRule type="expression" priority="17" dxfId="2">
      <formula>H52&lt;&gt;""</formula>
    </cfRule>
  </conditionalFormatting>
  <conditionalFormatting sqref="H55:AC55">
    <cfRule type="expression" priority="18" dxfId="2">
      <formula>H55&lt;&gt;""</formula>
    </cfRule>
  </conditionalFormatting>
  <conditionalFormatting sqref="H58:AC58">
    <cfRule type="expression" priority="19" dxfId="2">
      <formula>H58&lt;&gt;""</formula>
    </cfRule>
  </conditionalFormatting>
  <conditionalFormatting sqref="H61:AC61">
    <cfRule type="expression" priority="20" dxfId="2">
      <formula>H61&lt;&gt;""</formula>
    </cfRule>
  </conditionalFormatting>
  <conditionalFormatting sqref="H64:AC64">
    <cfRule type="expression" priority="21" dxfId="2">
      <formula>H64&lt;&gt;""</formula>
    </cfRule>
  </conditionalFormatting>
  <conditionalFormatting sqref="H67:AC67">
    <cfRule type="expression" priority="22" dxfId="2">
      <formula>H67&lt;&gt;""</formula>
    </cfRule>
  </conditionalFormatting>
  <conditionalFormatting sqref="H70:AC70">
    <cfRule type="expression" priority="23" dxfId="2">
      <formula>H70&lt;&gt;""</formula>
    </cfRule>
  </conditionalFormatting>
  <conditionalFormatting sqref="H73:AC73">
    <cfRule type="expression" priority="24" dxfId="2">
      <formula>H73&lt;&gt;""</formula>
    </cfRule>
  </conditionalFormatting>
  <conditionalFormatting sqref="H76:AC76">
    <cfRule type="expression" priority="25" dxfId="2">
      <formula>H76&lt;&gt;""</formula>
    </cfRule>
  </conditionalFormatting>
  <conditionalFormatting sqref="H79:AC79">
    <cfRule type="expression" priority="26" dxfId="2">
      <formula>H79&lt;&gt;""</formula>
    </cfRule>
  </conditionalFormatting>
  <conditionalFormatting sqref="G7:G81">
    <cfRule type="cellIs" priority="27" operator="equal" dxfId="3">
      <formula>"OK"</formula>
    </cfRule>
    <cfRule type="cellIs" priority="28" operator="notEqual" dxfId="4">
      <formula>"OK"</formula>
    </cfRule>
  </conditionalFormatting>
  <conditionalFormatting sqref="F7:F81">
    <cfRule type="expression" priority="29" dxfId="5">
      <formula>AND($E7&gt;0,ABS($F7-1)&gt;0.0001)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2026-09-27T07:56:36Z</dcterms:created>
  <dcterms:modified xsi:type="dcterms:W3CDTF">2026-09-27T07:56:36Z</dcterms:modified>
</cp:coreProperties>
</file>