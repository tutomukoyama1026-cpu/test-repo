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金額リスト" sheetId="1" state="visible" r:id="rId1"/>
  </sheets>
  <definedNames/>
  <calcPr calcId="124519" fullCalcOnLoad="1"/>
</workbook>
</file>

<file path=xl/styles.xml><?xml version="1.0" encoding="utf-8"?>
<styleSheet xmlns="http://schemas.openxmlformats.org/spreadsheetml/2006/main">
  <numFmts count="1">
    <numFmt numFmtId="164" formatCode="#,##0;▲#,##0;&quot;-&quot;"/>
  </numFmts>
  <fonts count="7">
    <font>
      <name val="Calibri"/>
      <family val="2"/>
      <color theme="1"/>
      <sz val="11"/>
      <scheme val="minor"/>
    </font>
    <font>
      <name val="ＭＳ ゴシック"/>
      <b val="1"/>
      <sz val="14"/>
    </font>
    <font>
      <name val="ＭＳ ゴシック"/>
      <color rgb="00595959"/>
      <sz val="10"/>
    </font>
    <font>
      <name val="ＭＳ ゴシック"/>
      <b val="1"/>
      <sz val="10"/>
    </font>
    <font>
      <name val="ＭＳ ゴシック"/>
      <color rgb="000000FF"/>
      <sz val="10"/>
    </font>
    <font>
      <name val="ＭＳ ゴシック"/>
      <b val="1"/>
      <color rgb="000000FF"/>
      <sz val="10"/>
    </font>
    <font>
      <name val="ＭＳ ゴシック"/>
      <sz val="10"/>
    </font>
  </fonts>
  <fills count="7">
    <fill>
      <patternFill/>
    </fill>
    <fill>
      <patternFill patternType="gray125"/>
    </fill>
    <fill>
      <patternFill patternType="solid">
        <fgColor rgb="00D9D9D9"/>
      </patternFill>
    </fill>
    <fill>
      <patternFill patternType="solid">
        <fgColor rgb="00BDD7EE"/>
      </patternFill>
    </fill>
    <fill>
      <patternFill patternType="solid">
        <fgColor rgb="00DDEBF7"/>
      </patternFill>
    </fill>
    <fill>
      <patternFill patternType="solid">
        <fgColor rgb="00F2F2F2"/>
      </patternFill>
    </fill>
    <fill>
      <patternFill patternType="solid">
        <fgColor rgb="00FFFF00"/>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3" fillId="3" borderId="1" pivotButton="0" quotePrefix="0" xfId="0"/>
    <xf numFmtId="164" fontId="3" fillId="3" borderId="1" pivotButton="0" quotePrefix="0" xfId="0"/>
    <xf numFmtId="0" fontId="3" fillId="4" borderId="1" pivotButton="0" quotePrefix="0" xfId="0"/>
    <xf numFmtId="0" fontId="3" fillId="4" borderId="1" applyAlignment="1" pivotButton="0" quotePrefix="0" xfId="0">
      <alignment indent="1"/>
    </xf>
    <xf numFmtId="164" fontId="5" fillId="4" borderId="1" pivotButton="0" quotePrefix="0" xfId="0"/>
    <xf numFmtId="164" fontId="4" fillId="4" borderId="1" pivotButton="0" quotePrefix="0" xfId="0"/>
    <xf numFmtId="164" fontId="3" fillId="4" borderId="1" pivotButton="0" quotePrefix="0" xfId="0"/>
    <xf numFmtId="0" fontId="6" fillId="5" borderId="1" pivotButton="0" quotePrefix="0" xfId="0"/>
    <xf numFmtId="0" fontId="6" fillId="5" borderId="1" applyAlignment="1" pivotButton="0" quotePrefix="0" xfId="0">
      <alignment indent="2"/>
    </xf>
    <xf numFmtId="164" fontId="4" fillId="5" borderId="1" pivotButton="0" quotePrefix="0" xfId="0"/>
    <xf numFmtId="164" fontId="6" fillId="5" borderId="1" pivotButton="0" quotePrefix="0" xfId="0"/>
    <xf numFmtId="0" fontId="6" fillId="0" borderId="1" pivotButton="0" quotePrefix="0" xfId="0"/>
    <xf numFmtId="0" fontId="6" fillId="0" borderId="1" applyAlignment="1" pivotButton="0" quotePrefix="0" xfId="0">
      <alignment indent="3"/>
    </xf>
    <xf numFmtId="164" fontId="6" fillId="0" borderId="1" pivotButton="0" quotePrefix="0" xfId="0"/>
    <xf numFmtId="164" fontId="4" fillId="0" borderId="1" pivotButton="0" quotePrefix="0" xfId="0"/>
    <xf numFmtId="0" fontId="6" fillId="0" borderId="1" applyAlignment="1" pivotButton="0" quotePrefix="0" xfId="0">
      <alignment indent="4"/>
    </xf>
    <xf numFmtId="164" fontId="0" fillId="0" borderId="1" pivotButton="0" quotePrefix="0" xfId="0"/>
    <xf numFmtId="164" fontId="4" fillId="6" borderId="1" pivotButton="0" quotePrefix="0" xfId="0"/>
    <xf numFmtId="0" fontId="3" fillId="0" borderId="0" pivotButton="0" quotePrefix="0" xfId="0"/>
    <xf numFmtId="0" fontId="3" fillId="0" borderId="1"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2"/>
  <sheetViews>
    <sheetView workbookViewId="0">
      <pane ySplit="4" topLeftCell="A5" activePane="bottomLeft" state="frozen"/>
      <selection pane="bottomLeft" activeCell="A1" sqref="A1"/>
    </sheetView>
  </sheetViews>
  <sheetFormatPr baseColWidth="8" defaultRowHeight="15"/>
  <cols>
    <col width="7" customWidth="1" min="1" max="1"/>
    <col width="26" customWidth="1" min="2" max="2"/>
    <col width="16" customWidth="1" min="3" max="3"/>
    <col width="18" customWidth="1" min="4" max="4"/>
    <col width="14" customWidth="1" min="5" max="5"/>
    <col width="40" customWidth="1" min="6" max="6"/>
  </cols>
  <sheetData>
    <row r="1">
      <c r="A1" s="1" t="inlineStr">
        <is>
          <t>工事費 金額リスト</t>
        </is>
      </c>
    </row>
    <row r="2">
      <c r="A2" s="2" t="inlineStr">
        <is>
          <t>凡例： 青字＝入力値（見積書より）／黄色セル＝金額未記載のため入力してください／黒字＝計算式（自動集計）</t>
        </is>
      </c>
    </row>
    <row r="4">
      <c r="A4" s="3" t="inlineStr">
        <is>
          <t>項</t>
        </is>
      </c>
      <c r="B4" s="3" t="inlineStr">
        <is>
          <t>名称</t>
        </is>
      </c>
      <c r="C4" s="3" t="inlineStr">
        <is>
          <t>金額（円）</t>
        </is>
      </c>
      <c r="D4" s="3" t="inlineStr">
        <is>
          <t>見積書記載額（円）</t>
        </is>
      </c>
      <c r="E4" s="3" t="inlineStr">
        <is>
          <t>差額（円）</t>
        </is>
      </c>
      <c r="F4" s="3" t="inlineStr">
        <is>
          <t>備考</t>
        </is>
      </c>
    </row>
    <row r="5">
      <c r="A5" s="4" t="inlineStr"/>
      <c r="B5" s="4" t="inlineStr">
        <is>
          <t>工事費 合計</t>
        </is>
      </c>
      <c r="C5" s="5">
        <f>C6+C7+C23+C41</f>
        <v/>
      </c>
      <c r="D5" s="5">
        <f>D6+D7+D23+D41</f>
        <v/>
      </c>
      <c r="E5" s="5">
        <f>C5-D5</f>
        <v/>
      </c>
      <c r="F5" s="4" t="inlineStr">
        <is>
          <t>a)+b)+c)+d)</t>
        </is>
      </c>
    </row>
    <row r="6">
      <c r="A6" s="6" t="inlineStr">
        <is>
          <t>a)</t>
        </is>
      </c>
      <c r="B6" s="7" t="inlineStr">
        <is>
          <t>共通仮設工事</t>
        </is>
      </c>
      <c r="C6" s="8" t="n">
        <v>4540000</v>
      </c>
      <c r="D6" s="9" t="n">
        <v>4540000</v>
      </c>
      <c r="E6" s="10">
        <f>C6-D6</f>
        <v/>
      </c>
      <c r="F6" s="6" t="inlineStr"/>
    </row>
    <row r="7">
      <c r="A7" s="6" t="inlineStr">
        <is>
          <t>b)</t>
        </is>
      </c>
      <c r="B7" s="7" t="inlineStr">
        <is>
          <t>解体撤去工事</t>
        </is>
      </c>
      <c r="C7" s="10">
        <f>C8+C9</f>
        <v/>
      </c>
      <c r="D7" s="9" t="n">
        <v>16690000</v>
      </c>
      <c r="E7" s="10">
        <f>C7-D7</f>
        <v/>
      </c>
      <c r="F7" s="6" t="inlineStr">
        <is>
          <t>建築＋設備</t>
        </is>
      </c>
    </row>
    <row r="8">
      <c r="A8" s="11" t="inlineStr">
        <is>
          <t>b)-1</t>
        </is>
      </c>
      <c r="B8" s="12" t="inlineStr">
        <is>
          <t>建築工事</t>
        </is>
      </c>
      <c r="C8" s="13" t="n">
        <v>5700000</v>
      </c>
      <c r="D8" s="13" t="n">
        <v>5700000</v>
      </c>
      <c r="E8" s="14">
        <f>C8-D8</f>
        <v/>
      </c>
      <c r="F8" s="11" t="inlineStr"/>
    </row>
    <row r="9">
      <c r="A9" s="11" t="inlineStr">
        <is>
          <t>b)-2</t>
        </is>
      </c>
      <c r="B9" s="12" t="inlineStr">
        <is>
          <t>設備工事</t>
        </is>
      </c>
      <c r="C9" s="14">
        <f>C10+C19+C21</f>
        <v/>
      </c>
      <c r="D9" s="13" t="n">
        <v>10990000</v>
      </c>
      <c r="E9" s="14">
        <f>C9-D9</f>
        <v/>
      </c>
      <c r="F9" s="11" t="inlineStr">
        <is>
          <t>電気＋空調＋衛生</t>
        </is>
      </c>
    </row>
    <row r="10">
      <c r="A10" s="15" t="inlineStr"/>
      <c r="B10" s="16" t="inlineStr">
        <is>
          <t>電気設備工事</t>
        </is>
      </c>
      <c r="C10" s="17">
        <f>SUM(C11:C18)</f>
        <v/>
      </c>
      <c r="D10" s="18" t="n">
        <v>5143000</v>
      </c>
      <c r="E10" s="17">
        <f>C10-D10</f>
        <v/>
      </c>
      <c r="F10" s="15" t="inlineStr">
        <is>
          <t>明細1〜8の計</t>
        </is>
      </c>
    </row>
    <row r="11">
      <c r="A11" s="15" t="inlineStr">
        <is>
          <t>1</t>
        </is>
      </c>
      <c r="B11" s="19" t="inlineStr">
        <is>
          <t>幹線設備工事</t>
        </is>
      </c>
      <c r="C11" s="18" t="n">
        <v>1450000</v>
      </c>
      <c r="D11" s="20" t="n"/>
      <c r="E11" s="17" t="n"/>
      <c r="F11" s="15" t="inlineStr"/>
    </row>
    <row r="12">
      <c r="A12" s="15" t="inlineStr">
        <is>
          <t>2</t>
        </is>
      </c>
      <c r="B12" s="19" t="inlineStr">
        <is>
          <t>照明器具設備工事</t>
        </is>
      </c>
      <c r="C12" s="18" t="n">
        <v>1610000</v>
      </c>
      <c r="D12" s="20" t="n"/>
      <c r="E12" s="17" t="n"/>
      <c r="F12" s="15" t="inlineStr"/>
    </row>
    <row r="13">
      <c r="A13" s="15" t="inlineStr">
        <is>
          <t>3</t>
        </is>
      </c>
      <c r="B13" s="19" t="inlineStr">
        <is>
          <t>電灯設備工事</t>
        </is>
      </c>
      <c r="C13" s="18" t="n">
        <v>952000</v>
      </c>
      <c r="D13" s="20" t="n"/>
      <c r="E13" s="17" t="n"/>
      <c r="F13" s="15" t="inlineStr"/>
    </row>
    <row r="14">
      <c r="A14" s="15" t="inlineStr">
        <is>
          <t>4</t>
        </is>
      </c>
      <c r="B14" s="19" t="inlineStr">
        <is>
          <t>誘導灯設備工事</t>
        </is>
      </c>
      <c r="C14" s="18" t="n">
        <v>193000</v>
      </c>
      <c r="D14" s="20" t="n"/>
      <c r="E14" s="17" t="n"/>
      <c r="F14" s="15" t="inlineStr"/>
    </row>
    <row r="15">
      <c r="A15" s="15" t="inlineStr">
        <is>
          <t>5</t>
        </is>
      </c>
      <c r="B15" s="19" t="inlineStr">
        <is>
          <t>コンセント設備工事</t>
        </is>
      </c>
      <c r="C15" s="18" t="n">
        <v>368000</v>
      </c>
      <c r="D15" s="20" t="n"/>
      <c r="E15" s="17" t="n"/>
      <c r="F15" s="15" t="inlineStr"/>
    </row>
    <row r="16">
      <c r="A16" s="15" t="inlineStr">
        <is>
          <t>6</t>
        </is>
      </c>
      <c r="B16" s="19" t="inlineStr">
        <is>
          <t>LAN設備工事</t>
        </is>
      </c>
      <c r="C16" s="18" t="n">
        <v>118000</v>
      </c>
      <c r="D16" s="20" t="n"/>
      <c r="E16" s="17" t="n"/>
      <c r="F16" s="15" t="inlineStr"/>
    </row>
    <row r="17">
      <c r="A17" s="15" t="inlineStr">
        <is>
          <t>7</t>
        </is>
      </c>
      <c r="B17" s="19" t="inlineStr">
        <is>
          <t>放送設備工事</t>
        </is>
      </c>
      <c r="C17" s="18" t="n">
        <v>352000</v>
      </c>
      <c r="D17" s="20" t="n"/>
      <c r="E17" s="17" t="n"/>
      <c r="F17" s="15" t="inlineStr"/>
    </row>
    <row r="18">
      <c r="A18" s="15" t="inlineStr">
        <is>
          <t>8</t>
        </is>
      </c>
      <c r="B18" s="19" t="inlineStr">
        <is>
          <t>自動火災報知設備工事</t>
        </is>
      </c>
      <c r="C18" s="18" t="n">
        <v>100000</v>
      </c>
      <c r="D18" s="20" t="n"/>
      <c r="E18" s="17" t="n"/>
      <c r="F18" s="15" t="inlineStr"/>
    </row>
    <row r="19">
      <c r="A19" s="15" t="inlineStr"/>
      <c r="B19" s="16" t="inlineStr">
        <is>
          <t>空気調和設備工事</t>
        </is>
      </c>
      <c r="C19" s="17">
        <f>C20</f>
        <v/>
      </c>
      <c r="D19" s="18" t="n">
        <v>5175000</v>
      </c>
      <c r="E19" s="17">
        <f>C19-D19</f>
        <v/>
      </c>
      <c r="F19" s="15" t="inlineStr">
        <is>
          <t>明細9</t>
        </is>
      </c>
    </row>
    <row r="20">
      <c r="A20" s="15" t="inlineStr">
        <is>
          <t>9</t>
        </is>
      </c>
      <c r="B20" s="19" t="inlineStr">
        <is>
          <t>ダクト撤去工事</t>
        </is>
      </c>
      <c r="C20" s="18" t="n">
        <v>5175000</v>
      </c>
      <c r="D20" s="20" t="n"/>
      <c r="E20" s="17" t="n"/>
      <c r="F20" s="15" t="inlineStr"/>
    </row>
    <row r="21">
      <c r="A21" s="15" t="inlineStr"/>
      <c r="B21" s="16" t="inlineStr">
        <is>
          <t>衛生設備工事</t>
        </is>
      </c>
      <c r="C21" s="17">
        <f>C22</f>
        <v/>
      </c>
      <c r="D21" s="18" t="n">
        <v>672000</v>
      </c>
      <c r="E21" s="17">
        <f>C21-D21</f>
        <v/>
      </c>
      <c r="F21" s="15" t="inlineStr">
        <is>
          <t>明細10</t>
        </is>
      </c>
    </row>
    <row r="22">
      <c r="A22" s="15" t="inlineStr">
        <is>
          <t>10</t>
        </is>
      </c>
      <c r="B22" s="19" t="inlineStr">
        <is>
          <t>配管撤去工事</t>
        </is>
      </c>
      <c r="C22" s="18" t="n">
        <v>672000</v>
      </c>
      <c r="D22" s="20" t="n"/>
      <c r="E22" s="17" t="n"/>
      <c r="F22" s="15" t="inlineStr"/>
    </row>
    <row r="23">
      <c r="A23" s="6" t="inlineStr">
        <is>
          <t>c)</t>
        </is>
      </c>
      <c r="B23" s="7" t="inlineStr">
        <is>
          <t>改修工事</t>
        </is>
      </c>
      <c r="C23" s="10">
        <f>C24+C37</f>
        <v/>
      </c>
      <c r="D23" s="9" t="n">
        <v>209540000</v>
      </c>
      <c r="E23" s="10">
        <f>C23-D23</f>
        <v/>
      </c>
      <c r="F23" s="6" t="inlineStr">
        <is>
          <t>建築＋設備</t>
        </is>
      </c>
    </row>
    <row r="24">
      <c r="A24" s="11" t="inlineStr">
        <is>
          <t>c)-1</t>
        </is>
      </c>
      <c r="B24" s="12" t="inlineStr">
        <is>
          <t>建築工事</t>
        </is>
      </c>
      <c r="C24" s="14">
        <f>SUM(C25:C36)</f>
        <v/>
      </c>
      <c r="D24" s="13" t="n">
        <v>139549000</v>
      </c>
      <c r="E24" s="14">
        <f>C24-D24</f>
        <v/>
      </c>
      <c r="F24" s="11" t="inlineStr">
        <is>
          <t>明細1〜12の計</t>
        </is>
      </c>
    </row>
    <row r="25">
      <c r="A25" s="15" t="inlineStr">
        <is>
          <t>1</t>
        </is>
      </c>
      <c r="B25" s="16" t="inlineStr">
        <is>
          <t>直接仮設工事</t>
        </is>
      </c>
      <c r="C25" s="18" t="n">
        <v>4345372</v>
      </c>
      <c r="D25" s="20" t="n"/>
      <c r="E25" s="17" t="n"/>
      <c r="F25" s="15" t="inlineStr"/>
    </row>
    <row r="26">
      <c r="A26" s="15" t="inlineStr">
        <is>
          <t>2</t>
        </is>
      </c>
      <c r="B26" s="16" t="inlineStr">
        <is>
          <t>躯体工事</t>
        </is>
      </c>
      <c r="C26" s="18" t="n">
        <v>476900</v>
      </c>
      <c r="D26" s="20" t="n"/>
      <c r="E26" s="17" t="n"/>
      <c r="F26" s="15" t="inlineStr"/>
    </row>
    <row r="27">
      <c r="A27" s="15" t="inlineStr">
        <is>
          <t>3</t>
        </is>
      </c>
      <c r="B27" s="16" t="inlineStr">
        <is>
          <t>防水工事</t>
        </is>
      </c>
      <c r="C27" s="18" t="n">
        <v>337100</v>
      </c>
      <c r="D27" s="20" t="n"/>
      <c r="E27" s="17" t="n"/>
      <c r="F27" s="15" t="inlineStr"/>
    </row>
    <row r="28">
      <c r="A28" s="15" t="inlineStr">
        <is>
          <t>4</t>
        </is>
      </c>
      <c r="B28" s="16" t="inlineStr">
        <is>
          <t>タイル工事</t>
        </is>
      </c>
      <c r="C28" s="18" t="n">
        <v>14987300</v>
      </c>
      <c r="D28" s="20" t="n"/>
      <c r="E28" s="17" t="n"/>
      <c r="F28" s="15" t="inlineStr"/>
    </row>
    <row r="29">
      <c r="A29" s="15" t="inlineStr">
        <is>
          <t>5</t>
        </is>
      </c>
      <c r="B29" s="16" t="inlineStr">
        <is>
          <t>金属工事</t>
        </is>
      </c>
      <c r="C29" s="18" t="n">
        <v>18986738</v>
      </c>
      <c r="D29" s="20" t="n"/>
      <c r="E29" s="17" t="n"/>
      <c r="F29" s="15" t="inlineStr"/>
    </row>
    <row r="30">
      <c r="A30" s="15" t="inlineStr">
        <is>
          <t>6</t>
        </is>
      </c>
      <c r="B30" s="16" t="inlineStr">
        <is>
          <t>金属製建具工事</t>
        </is>
      </c>
      <c r="C30" s="18" t="n">
        <v>8285600</v>
      </c>
      <c r="D30" s="20" t="n"/>
      <c r="E30" s="17" t="n"/>
      <c r="F30" s="15" t="inlineStr"/>
    </row>
    <row r="31">
      <c r="A31" s="15" t="inlineStr">
        <is>
          <t>7</t>
        </is>
      </c>
      <c r="B31" s="16" t="inlineStr">
        <is>
          <t>ガラス工事</t>
        </is>
      </c>
      <c r="C31" s="18" t="n">
        <v>1115138</v>
      </c>
      <c r="D31" s="20" t="n"/>
      <c r="E31" s="17" t="n"/>
      <c r="F31" s="15" t="inlineStr"/>
    </row>
    <row r="32">
      <c r="A32" s="15" t="inlineStr">
        <is>
          <t>8</t>
        </is>
      </c>
      <c r="B32" s="16" t="inlineStr">
        <is>
          <t>木工事</t>
        </is>
      </c>
      <c r="C32" s="18" t="n">
        <v>52688330</v>
      </c>
      <c r="D32" s="20" t="n"/>
      <c r="E32" s="17" t="n"/>
      <c r="F32" s="15" t="inlineStr"/>
    </row>
    <row r="33">
      <c r="A33" s="15" t="inlineStr">
        <is>
          <t>9</t>
        </is>
      </c>
      <c r="B33" s="16" t="inlineStr">
        <is>
          <t>左官工事</t>
        </is>
      </c>
      <c r="C33" s="18" t="n">
        <v>2198888</v>
      </c>
      <c r="D33" s="20" t="n"/>
      <c r="E33" s="17" t="n"/>
      <c r="F33" s="15" t="inlineStr"/>
    </row>
    <row r="34">
      <c r="A34" s="15" t="inlineStr">
        <is>
          <t>10</t>
        </is>
      </c>
      <c r="B34" s="16" t="inlineStr">
        <is>
          <t>塗装工事</t>
        </is>
      </c>
      <c r="C34" s="18" t="n">
        <v>25936424</v>
      </c>
      <c r="D34" s="20" t="n"/>
      <c r="E34" s="17" t="n"/>
      <c r="F34" s="15" t="inlineStr"/>
    </row>
    <row r="35">
      <c r="A35" s="15" t="inlineStr">
        <is>
          <t>11</t>
        </is>
      </c>
      <c r="B35" s="16" t="inlineStr">
        <is>
          <t>内装工事</t>
        </is>
      </c>
      <c r="C35" s="18" t="n">
        <v>7562450</v>
      </c>
      <c r="D35" s="20" t="n"/>
      <c r="E35" s="17" t="n"/>
      <c r="F35" s="15" t="inlineStr"/>
    </row>
    <row r="36">
      <c r="A36" s="15" t="inlineStr">
        <is>
          <t>12</t>
        </is>
      </c>
      <c r="B36" s="16" t="inlineStr">
        <is>
          <t>雑工事</t>
        </is>
      </c>
      <c r="C36" s="18" t="n">
        <v>2628760</v>
      </c>
      <c r="D36" s="20" t="n"/>
      <c r="E36" s="17" t="n"/>
      <c r="F36" s="15" t="inlineStr"/>
    </row>
    <row r="37">
      <c r="A37" s="11" t="inlineStr">
        <is>
          <t>c)-2</t>
        </is>
      </c>
      <c r="B37" s="12" t="inlineStr">
        <is>
          <t>設備工事</t>
        </is>
      </c>
      <c r="C37" s="14">
        <f>SUM(C38:C40)</f>
        <v/>
      </c>
      <c r="D37" s="14">
        <f>D23-D24</f>
        <v/>
      </c>
      <c r="E37" s="14">
        <f>C37-D37</f>
        <v/>
      </c>
      <c r="F37" s="11" t="inlineStr">
        <is>
          <t>電気＋空調＋衛生（記載額は c)−c)-1 で逆算）</t>
        </is>
      </c>
    </row>
    <row r="38">
      <c r="A38" s="15" t="inlineStr"/>
      <c r="B38" s="16" t="inlineStr">
        <is>
          <t>電気設備工事</t>
        </is>
      </c>
      <c r="C38" s="21" t="n"/>
      <c r="D38" s="20" t="n"/>
      <c r="E38" s="17" t="n"/>
      <c r="F38" s="15" t="inlineStr">
        <is>
          <t>要入力</t>
        </is>
      </c>
    </row>
    <row r="39">
      <c r="A39" s="15" t="inlineStr"/>
      <c r="B39" s="16" t="inlineStr">
        <is>
          <t>空気調和設備工事</t>
        </is>
      </c>
      <c r="C39" s="21" t="n"/>
      <c r="D39" s="20" t="n"/>
      <c r="E39" s="17" t="n"/>
      <c r="F39" s="15" t="inlineStr">
        <is>
          <t>要入力</t>
        </is>
      </c>
    </row>
    <row r="40">
      <c r="A40" s="15" t="inlineStr"/>
      <c r="B40" s="16" t="inlineStr">
        <is>
          <t>衛生設備工事</t>
        </is>
      </c>
      <c r="C40" s="21" t="n"/>
      <c r="D40" s="20" t="n"/>
      <c r="E40" s="17" t="n"/>
      <c r="F40" s="15" t="inlineStr">
        <is>
          <t>要入力</t>
        </is>
      </c>
    </row>
    <row r="41">
      <c r="A41" s="6" t="inlineStr">
        <is>
          <t>d)</t>
        </is>
      </c>
      <c r="B41" s="7" t="inlineStr">
        <is>
          <t>諸経費</t>
        </is>
      </c>
      <c r="C41" s="8" t="n">
        <v>31230000</v>
      </c>
      <c r="D41" s="9" t="n">
        <v>31230000</v>
      </c>
      <c r="E41" s="10">
        <f>C41-D41</f>
        <v/>
      </c>
      <c r="F41" s="6" t="inlineStr"/>
    </row>
    <row r="43">
      <c r="B43" s="22" t="inlineStr">
        <is>
          <t>集計表</t>
        </is>
      </c>
    </row>
    <row r="44">
      <c r="B44" s="3" t="inlineStr">
        <is>
          <t>区分</t>
        </is>
      </c>
      <c r="C44" s="3" t="inlineStr">
        <is>
          <t>解体撤去工事</t>
        </is>
      </c>
      <c r="D44" s="3" t="inlineStr">
        <is>
          <t>改修工事</t>
        </is>
      </c>
      <c r="E44" s="3" t="inlineStr">
        <is>
          <t>計</t>
        </is>
      </c>
    </row>
    <row r="45">
      <c r="B45" s="15" t="inlineStr">
        <is>
          <t>建築工事</t>
        </is>
      </c>
      <c r="C45" s="17">
        <f>C8</f>
        <v/>
      </c>
      <c r="D45" s="17">
        <f>C24</f>
        <v/>
      </c>
      <c r="E45" s="17">
        <f>C45+D45</f>
        <v/>
      </c>
    </row>
    <row r="46">
      <c r="B46" s="15" t="inlineStr">
        <is>
          <t>電気設備工事</t>
        </is>
      </c>
      <c r="C46" s="17">
        <f>C10</f>
        <v/>
      </c>
      <c r="D46" s="17">
        <f>C38</f>
        <v/>
      </c>
      <c r="E46" s="17">
        <f>C46+D46</f>
        <v/>
      </c>
    </row>
    <row r="47">
      <c r="B47" s="15" t="inlineStr">
        <is>
          <t>空気調和設備工事</t>
        </is>
      </c>
      <c r="C47" s="17">
        <f>C19</f>
        <v/>
      </c>
      <c r="D47" s="17">
        <f>C39</f>
        <v/>
      </c>
      <c r="E47" s="17">
        <f>C47+D47</f>
        <v/>
      </c>
    </row>
    <row r="48">
      <c r="B48" s="15" t="inlineStr">
        <is>
          <t>衛生設備工事</t>
        </is>
      </c>
      <c r="C48" s="17">
        <f>C21</f>
        <v/>
      </c>
      <c r="D48" s="17">
        <f>C40</f>
        <v/>
      </c>
      <c r="E48" s="17">
        <f>C48+D48</f>
        <v/>
      </c>
    </row>
    <row r="49">
      <c r="B49" s="23" t="inlineStr">
        <is>
          <t>計</t>
        </is>
      </c>
      <c r="C49" s="24">
        <f>SUM(C45:C48)</f>
        <v/>
      </c>
      <c r="D49" s="24">
        <f>SUM(D45:D48)</f>
        <v/>
      </c>
      <c r="E49" s="24">
        <f>SUM(E45:E48)</f>
        <v/>
      </c>
    </row>
    <row r="50">
      <c r="B50" s="23" t="inlineStr">
        <is>
          <t>照合（本表との差）</t>
        </is>
      </c>
      <c r="C50" s="24">
        <f>C49-C7</f>
        <v/>
      </c>
      <c r="D50" s="24">
        <f>D49-C23</f>
        <v/>
      </c>
      <c r="E50" s="24">
        <f>E49-C7-C23</f>
        <v/>
      </c>
    </row>
    <row r="52">
      <c r="B52" s="2" t="inlineStr">
        <is>
          <t>出典：金額は見積書（内訳・b)解体撤去工事明細・c)-1 建築工事明細）より。改修設備工事の内訳金額は見積書に記載がないため黄色セルに入力。差額が「-」なら記載額と一致。</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2026-09-27T06:54:34Z</dcterms:created>
  <dcterms:modified xsi:type="dcterms:W3CDTF">2026-09-27T06:54:34Z</dcterms:modified>
</cp:coreProperties>
</file>