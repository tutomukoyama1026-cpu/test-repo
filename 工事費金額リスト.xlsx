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金額リスト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▲#,##0;&quot;-&quot;"/>
  </numFmts>
  <fonts count="7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2" t="inlineStr">
        <is>
          <t>凡例： 青字＝入力値（見積書より）／黒字＝計算式（自動集計）</t>
        </is>
      </c>
    </row>
    <row r="4">
      <c r="A4" s="3" t="inlineStr">
        <is>
          <t>項</t>
        </is>
      </c>
      <c r="B4" s="3" t="inlineStr">
        <is>
          <t>名称</t>
        </is>
      </c>
      <c r="C4" s="3" t="inlineStr">
        <is>
          <t>金額（円）</t>
        </is>
      </c>
      <c r="D4" s="3" t="inlineStr">
        <is>
          <t>見積書記載額（円）</t>
        </is>
      </c>
      <c r="E4" s="3" t="inlineStr">
        <is>
          <t>差額（円）</t>
        </is>
      </c>
      <c r="F4" s="3" t="inlineStr">
        <is>
          <t>備考</t>
        </is>
      </c>
    </row>
    <row r="5">
      <c r="A5" s="4" t="inlineStr"/>
      <c r="B5" s="4" t="inlineStr">
        <is>
          <t>工事費 合計</t>
        </is>
      </c>
      <c r="C5" s="5">
        <f>C6+C7+C13+C31</f>
        <v/>
      </c>
      <c r="D5" s="5">
        <f>D6+D7+D13+D31</f>
        <v/>
      </c>
      <c r="E5" s="5">
        <f>C5-D5</f>
        <v/>
      </c>
      <c r="F5" s="4" t="inlineStr">
        <is>
          <t>a)+b)+c)+d)</t>
        </is>
      </c>
    </row>
    <row r="6">
      <c r="A6" s="6" t="inlineStr">
        <is>
          <t>a)</t>
        </is>
      </c>
      <c r="B6" s="7" t="inlineStr">
        <is>
          <t>共通仮設工事</t>
        </is>
      </c>
      <c r="C6" s="8" t="n">
        <v>4540000</v>
      </c>
      <c r="D6" s="9" t="n">
        <v>4540000</v>
      </c>
      <c r="E6" s="10">
        <f>C6-D6</f>
        <v/>
      </c>
      <c r="F6" s="6" t="inlineStr"/>
    </row>
    <row r="7">
      <c r="A7" s="6" t="inlineStr">
        <is>
          <t>b)</t>
        </is>
      </c>
      <c r="B7" s="7" t="inlineStr">
        <is>
          <t>解体撤去工事</t>
        </is>
      </c>
      <c r="C7" s="10">
        <f>C8+C9</f>
        <v/>
      </c>
      <c r="D7" s="9" t="n">
        <v>16690000</v>
      </c>
      <c r="E7" s="10">
        <f>C7-D7</f>
        <v/>
      </c>
      <c r="F7" s="6" t="inlineStr">
        <is>
          <t>建築＋設備</t>
        </is>
      </c>
    </row>
    <row r="8">
      <c r="A8" s="11" t="inlineStr">
        <is>
          <t>b)-1</t>
        </is>
      </c>
      <c r="B8" s="12" t="inlineStr">
        <is>
          <t>建築工事</t>
        </is>
      </c>
      <c r="C8" s="13" t="n">
        <v>5700000</v>
      </c>
      <c r="D8" s="13" t="n">
        <v>5700000</v>
      </c>
      <c r="E8" s="14">
        <f>C8-D8</f>
        <v/>
      </c>
      <c r="F8" s="11" t="inlineStr"/>
    </row>
    <row r="9">
      <c r="A9" s="11" t="inlineStr">
        <is>
          <t>b)-2</t>
        </is>
      </c>
      <c r="B9" s="12" t="inlineStr">
        <is>
          <t>設備工事</t>
        </is>
      </c>
      <c r="C9" s="14">
        <f>C10+C11+C12</f>
        <v/>
      </c>
      <c r="D9" s="13" t="n">
        <v>10990000</v>
      </c>
      <c r="E9" s="14">
        <f>C9-D9</f>
        <v/>
      </c>
      <c r="F9" s="11" t="inlineStr">
        <is>
          <t>電気＋空調＋衛生</t>
        </is>
      </c>
    </row>
    <row r="10">
      <c r="A10" s="15" t="inlineStr"/>
      <c r="B10" s="16" t="inlineStr">
        <is>
          <t>電気設備工事</t>
        </is>
      </c>
      <c r="C10" s="17" t="n">
        <v>5143000</v>
      </c>
      <c r="D10" s="18" t="n"/>
      <c r="E10" s="19" t="n"/>
      <c r="F10" s="15" t="inlineStr">
        <is>
          <t>見積書 b)-2 電気小計</t>
        </is>
      </c>
    </row>
    <row r="11">
      <c r="A11" s="15" t="inlineStr"/>
      <c r="B11" s="16" t="inlineStr">
        <is>
          <t>空気調和設備工事</t>
        </is>
      </c>
      <c r="C11" s="17" t="n">
        <v>5175000</v>
      </c>
      <c r="D11" s="18" t="n"/>
      <c r="E11" s="19" t="n"/>
      <c r="F11" s="15" t="inlineStr">
        <is>
          <t>見積書 b)-2 ダクト撤去工事</t>
        </is>
      </c>
    </row>
    <row r="12">
      <c r="A12" s="15" t="inlineStr"/>
      <c r="B12" s="16" t="inlineStr">
        <is>
          <t>衛生設備工事</t>
        </is>
      </c>
      <c r="C12" s="17" t="n">
        <v>672000</v>
      </c>
      <c r="D12" s="18" t="n"/>
      <c r="E12" s="19" t="n"/>
      <c r="F12" s="15" t="inlineStr">
        <is>
          <t>見積書 b)-2 配管撤去工事</t>
        </is>
      </c>
    </row>
    <row r="13">
      <c r="A13" s="6" t="inlineStr">
        <is>
          <t>c)</t>
        </is>
      </c>
      <c r="B13" s="7" t="inlineStr">
        <is>
          <t>改修工事</t>
        </is>
      </c>
      <c r="C13" s="10">
        <f>C14+C27</f>
        <v/>
      </c>
      <c r="D13" s="9" t="n">
        <v>209540000</v>
      </c>
      <c r="E13" s="10">
        <f>C13-D13</f>
        <v/>
      </c>
      <c r="F13" s="6" t="inlineStr">
        <is>
          <t>建築＋設備</t>
        </is>
      </c>
    </row>
    <row r="14">
      <c r="A14" s="11" t="inlineStr">
        <is>
          <t>c)-1</t>
        </is>
      </c>
      <c r="B14" s="12" t="inlineStr">
        <is>
          <t>建築工事</t>
        </is>
      </c>
      <c r="C14" s="14">
        <f>SUM(C15:C26)</f>
        <v/>
      </c>
      <c r="D14" s="13" t="n">
        <v>139549000</v>
      </c>
      <c r="E14" s="14">
        <f>C14-D14</f>
        <v/>
      </c>
      <c r="F14" s="11" t="inlineStr">
        <is>
          <t>明細1〜12の計</t>
        </is>
      </c>
    </row>
    <row r="15">
      <c r="A15" s="15" t="inlineStr">
        <is>
          <t>1</t>
        </is>
      </c>
      <c r="B15" s="16" t="inlineStr">
        <is>
          <t>直接仮設工事</t>
        </is>
      </c>
      <c r="C15" s="17" t="n">
        <v>4345372</v>
      </c>
      <c r="D15" s="18" t="n"/>
      <c r="E15" s="19" t="n"/>
      <c r="F15" s="15" t="inlineStr"/>
    </row>
    <row r="16">
      <c r="A16" s="15" t="inlineStr">
        <is>
          <t>2</t>
        </is>
      </c>
      <c r="B16" s="16" t="inlineStr">
        <is>
          <t>躯体工事</t>
        </is>
      </c>
      <c r="C16" s="17" t="n">
        <v>476900</v>
      </c>
      <c r="D16" s="18" t="n"/>
      <c r="E16" s="19" t="n"/>
      <c r="F16" s="15" t="inlineStr"/>
    </row>
    <row r="17">
      <c r="A17" s="15" t="inlineStr">
        <is>
          <t>3</t>
        </is>
      </c>
      <c r="B17" s="16" t="inlineStr">
        <is>
          <t>防水工事</t>
        </is>
      </c>
      <c r="C17" s="17" t="n">
        <v>337100</v>
      </c>
      <c r="D17" s="18" t="n"/>
      <c r="E17" s="19" t="n"/>
      <c r="F17" s="15" t="inlineStr"/>
    </row>
    <row r="18">
      <c r="A18" s="15" t="inlineStr">
        <is>
          <t>4</t>
        </is>
      </c>
      <c r="B18" s="16" t="inlineStr">
        <is>
          <t>タイル工事</t>
        </is>
      </c>
      <c r="C18" s="17" t="n">
        <v>14987300</v>
      </c>
      <c r="D18" s="18" t="n"/>
      <c r="E18" s="19" t="n"/>
      <c r="F18" s="15" t="inlineStr"/>
    </row>
    <row r="19">
      <c r="A19" s="15" t="inlineStr">
        <is>
          <t>5</t>
        </is>
      </c>
      <c r="B19" s="16" t="inlineStr">
        <is>
          <t>金属工事</t>
        </is>
      </c>
      <c r="C19" s="17" t="n">
        <v>18986738</v>
      </c>
      <c r="D19" s="18" t="n"/>
      <c r="E19" s="19" t="n"/>
      <c r="F19" s="15" t="inlineStr"/>
    </row>
    <row r="20">
      <c r="A20" s="15" t="inlineStr">
        <is>
          <t>6</t>
        </is>
      </c>
      <c r="B20" s="16" t="inlineStr">
        <is>
          <t>金属製建具工事</t>
        </is>
      </c>
      <c r="C20" s="17" t="n">
        <v>8285600</v>
      </c>
      <c r="D20" s="18" t="n"/>
      <c r="E20" s="19" t="n"/>
      <c r="F20" s="15" t="inlineStr"/>
    </row>
    <row r="21">
      <c r="A21" s="15" t="inlineStr">
        <is>
          <t>7</t>
        </is>
      </c>
      <c r="B21" s="16" t="inlineStr">
        <is>
          <t>ガラス工事</t>
        </is>
      </c>
      <c r="C21" s="17" t="n">
        <v>1115138</v>
      </c>
      <c r="D21" s="18" t="n"/>
      <c r="E21" s="19" t="n"/>
      <c r="F21" s="15" t="inlineStr"/>
    </row>
    <row r="22">
      <c r="A22" s="15" t="inlineStr">
        <is>
          <t>8</t>
        </is>
      </c>
      <c r="B22" s="16" t="inlineStr">
        <is>
          <t>木工事</t>
        </is>
      </c>
      <c r="C22" s="17" t="n">
        <v>52688330</v>
      </c>
      <c r="D22" s="18" t="n"/>
      <c r="E22" s="19" t="n"/>
      <c r="F22" s="15" t="inlineStr"/>
    </row>
    <row r="23">
      <c r="A23" s="15" t="inlineStr">
        <is>
          <t>9</t>
        </is>
      </c>
      <c r="B23" s="16" t="inlineStr">
        <is>
          <t>左官工事</t>
        </is>
      </c>
      <c r="C23" s="17" t="n">
        <v>2198888</v>
      </c>
      <c r="D23" s="18" t="n"/>
      <c r="E23" s="19" t="n"/>
      <c r="F23" s="15" t="inlineStr"/>
    </row>
    <row r="24">
      <c r="A24" s="15" t="inlineStr">
        <is>
          <t>10</t>
        </is>
      </c>
      <c r="B24" s="16" t="inlineStr">
        <is>
          <t>塗装工事</t>
        </is>
      </c>
      <c r="C24" s="17" t="n">
        <v>25936424</v>
      </c>
      <c r="D24" s="18" t="n"/>
      <c r="E24" s="19" t="n"/>
      <c r="F24" s="15" t="inlineStr"/>
    </row>
    <row r="25">
      <c r="A25" s="15" t="inlineStr">
        <is>
          <t>11</t>
        </is>
      </c>
      <c r="B25" s="16" t="inlineStr">
        <is>
          <t>内装工事</t>
        </is>
      </c>
      <c r="C25" s="17" t="n">
        <v>7562450</v>
      </c>
      <c r="D25" s="18" t="n"/>
      <c r="E25" s="19" t="n"/>
      <c r="F25" s="15" t="inlineStr"/>
    </row>
    <row r="26">
      <c r="A26" s="15" t="inlineStr">
        <is>
          <t>12</t>
        </is>
      </c>
      <c r="B26" s="16" t="inlineStr">
        <is>
          <t>雑工事</t>
        </is>
      </c>
      <c r="C26" s="17" t="n">
        <v>2628760</v>
      </c>
      <c r="D26" s="18" t="n"/>
      <c r="E26" s="19" t="n"/>
      <c r="F26" s="15" t="inlineStr"/>
    </row>
    <row r="27">
      <c r="A27" s="11" t="inlineStr"/>
      <c r="B27" s="12" t="inlineStr">
        <is>
          <t>設備工事</t>
        </is>
      </c>
      <c r="C27" s="14">
        <f>C28+C29+C30</f>
        <v/>
      </c>
      <c r="D27" s="14">
        <f>D13-D14</f>
        <v/>
      </c>
      <c r="E27" s="14">
        <f>C27-D27</f>
        <v/>
      </c>
      <c r="F27" s="11" t="inlineStr">
        <is>
          <t>電気＋空調＋衛生（c)-2〜c)-4 の計／記載額は c)−c)-1 で逆算）</t>
        </is>
      </c>
    </row>
    <row r="28">
      <c r="A28" s="15" t="inlineStr">
        <is>
          <t>c)-2</t>
        </is>
      </c>
      <c r="B28" s="16" t="inlineStr">
        <is>
          <t>電気設備工事</t>
        </is>
      </c>
      <c r="C28" s="17" t="n">
        <v>53910000</v>
      </c>
      <c r="D28" s="18" t="n"/>
      <c r="E28" s="19" t="n"/>
      <c r="F28" s="15" t="inlineStr">
        <is>
          <t>見積書 c)-2 計</t>
        </is>
      </c>
    </row>
    <row r="29">
      <c r="A29" s="15" t="inlineStr">
        <is>
          <t>c)-3</t>
        </is>
      </c>
      <c r="B29" s="16" t="inlineStr">
        <is>
          <t>空気調和設備工事</t>
        </is>
      </c>
      <c r="C29" s="17" t="n">
        <v>14450000</v>
      </c>
      <c r="D29" s="18" t="n"/>
      <c r="E29" s="19" t="n"/>
      <c r="F29" s="15" t="inlineStr">
        <is>
          <t>見積書 c)-3 計</t>
        </is>
      </c>
    </row>
    <row r="30">
      <c r="A30" s="15" t="inlineStr">
        <is>
          <t>c)-4</t>
        </is>
      </c>
      <c r="B30" s="16" t="inlineStr">
        <is>
          <t>衛生設備工事</t>
        </is>
      </c>
      <c r="C30" s="17" t="n">
        <v>1631000</v>
      </c>
      <c r="D30" s="18" t="n"/>
      <c r="E30" s="19" t="n"/>
      <c r="F30" s="15" t="inlineStr">
        <is>
          <t>見積書 c)-4 計</t>
        </is>
      </c>
    </row>
    <row r="31">
      <c r="A31" s="6" t="inlineStr">
        <is>
          <t>d)</t>
        </is>
      </c>
      <c r="B31" s="7" t="inlineStr">
        <is>
          <t>諸経費</t>
        </is>
      </c>
      <c r="C31" s="8" t="n">
        <v>31230000</v>
      </c>
      <c r="D31" s="9" t="n">
        <v>31230000</v>
      </c>
      <c r="E31" s="10">
        <f>C31-D31</f>
        <v/>
      </c>
      <c r="F31" s="6" t="inlineStr"/>
    </row>
    <row r="33">
      <c r="B33" s="20" t="inlineStr">
        <is>
          <t>集計表</t>
        </is>
      </c>
    </row>
    <row r="34">
      <c r="B34" s="3" t="inlineStr">
        <is>
          <t>区分</t>
        </is>
      </c>
      <c r="C34" s="3" t="inlineStr">
        <is>
          <t>解体撤去工事</t>
        </is>
      </c>
      <c r="D34" s="3" t="inlineStr">
        <is>
          <t>改修工事</t>
        </is>
      </c>
      <c r="E34" s="3" t="inlineStr">
        <is>
          <t>計</t>
        </is>
      </c>
    </row>
    <row r="35">
      <c r="B35" s="15" t="inlineStr">
        <is>
          <t>建築工事</t>
        </is>
      </c>
      <c r="C35" s="19">
        <f>C8</f>
        <v/>
      </c>
      <c r="D35" s="19">
        <f>C14</f>
        <v/>
      </c>
      <c r="E35" s="19">
        <f>C35+D35</f>
        <v/>
      </c>
    </row>
    <row r="36">
      <c r="B36" s="15" t="inlineStr">
        <is>
          <t>電気設備工事</t>
        </is>
      </c>
      <c r="C36" s="19">
        <f>C10</f>
        <v/>
      </c>
      <c r="D36" s="19">
        <f>C28</f>
        <v/>
      </c>
      <c r="E36" s="19">
        <f>C36+D36</f>
        <v/>
      </c>
    </row>
    <row r="37">
      <c r="B37" s="15" t="inlineStr">
        <is>
          <t>空気調和設備工事</t>
        </is>
      </c>
      <c r="C37" s="19">
        <f>C11</f>
        <v/>
      </c>
      <c r="D37" s="19">
        <f>C29</f>
        <v/>
      </c>
      <c r="E37" s="19">
        <f>C37+D37</f>
        <v/>
      </c>
    </row>
    <row r="38">
      <c r="B38" s="15" t="inlineStr">
        <is>
          <t>衛生設備工事</t>
        </is>
      </c>
      <c r="C38" s="19">
        <f>C12</f>
        <v/>
      </c>
      <c r="D38" s="19">
        <f>C30</f>
        <v/>
      </c>
      <c r="E38" s="19">
        <f>C38+D38</f>
        <v/>
      </c>
    </row>
    <row r="39">
      <c r="B39" s="21" t="inlineStr">
        <is>
          <t>計</t>
        </is>
      </c>
      <c r="C39" s="22">
        <f>SUM(C35:C38)</f>
        <v/>
      </c>
      <c r="D39" s="22">
        <f>SUM(D35:D38)</f>
        <v/>
      </c>
      <c r="E39" s="22">
        <f>SUM(E35:E38)</f>
        <v/>
      </c>
    </row>
    <row r="40">
      <c r="B40" s="21" t="inlineStr">
        <is>
          <t>照合（本表との差）</t>
        </is>
      </c>
      <c r="C40" s="22">
        <f>C39-C7</f>
        <v/>
      </c>
      <c r="D40" s="22">
        <f>D39-C13</f>
        <v/>
      </c>
      <c r="E40" s="22">
        <f>E39-C7-C13</f>
        <v/>
      </c>
    </row>
    <row r="42">
      <c r="B42" s="2" t="inlineStr">
        <is>
          <t>出典：金額はすべて見積書（内訳、b)解体撤去工事、c)-1 建築工事明細、c)-2〜c)-4 設備工事計）より。差額が「-」なら記載額と一致。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2026-09-27T07:08:15Z</dcterms:created>
  <dcterms:modified xsi:type="dcterms:W3CDTF">2026-09-27T07:08:15Z</dcterms:modified>
</cp:coreProperties>
</file>