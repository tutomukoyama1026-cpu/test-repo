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金額リスト" sheetId="1" state="visible" r:id="rId1"/>
    <sheet name="週間出来高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▲#,##0;&quot;-&quot;"/>
    <numFmt numFmtId="165" formatCode="0.0%;▲0.0%;"/>
  </numFmts>
  <fonts count="11">
    <font>
      <name val="Calibri"/>
      <family val="2"/>
      <color theme="1"/>
      <sz val="11"/>
      <scheme val="minor"/>
    </font>
    <font>
      <name val="ＭＳ ゴシック"/>
      <b val="1"/>
      <sz val="14"/>
    </font>
    <font>
      <name val="ＭＳ ゴシック"/>
      <color rgb="00595959"/>
      <sz val="10"/>
    </font>
    <font>
      <name val="ＭＳ ゴシック"/>
      <b val="1"/>
      <sz val="10"/>
    </font>
    <font>
      <name val="ＭＳ ゴシック"/>
      <color rgb="000000FF"/>
      <sz val="10"/>
    </font>
    <font>
      <name val="ＭＳ ゴシック"/>
      <b val="1"/>
      <color rgb="000000FF"/>
      <sz val="10"/>
    </font>
    <font>
      <name val="ＭＳ ゴシック"/>
      <sz val="10"/>
    </font>
    <font>
      <name val="ＭＳ ゴシック"/>
      <b val="1"/>
      <color rgb="00000000"/>
      <sz val="10"/>
    </font>
    <font>
      <name val="ＭＳ ゴシック"/>
      <b val="1"/>
      <color rgb="00008000"/>
      <sz val="10"/>
    </font>
    <font>
      <name val="ＭＳ ゴシック"/>
      <color rgb="00000000"/>
      <sz val="10"/>
    </font>
    <font>
      <name val="ＭＳ ゴシック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 style="thin">
        <color rgb="00999999"/>
      </right>
      <top style="medium">
        <color rgb="00404040"/>
      </top>
      <bottom style="thin">
        <color rgb="00999999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pivotButton="0" quotePrefix="0" xfId="0"/>
    <xf numFmtId="164" fontId="3" fillId="3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indent="1"/>
    </xf>
    <xf numFmtId="164" fontId="5" fillId="4" borderId="1" pivotButton="0" quotePrefix="0" xfId="0"/>
    <xf numFmtId="164" fontId="4" fillId="4" borderId="1" pivotButton="0" quotePrefix="0" xfId="0"/>
    <xf numFmtId="164" fontId="3" fillId="4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indent="2"/>
    </xf>
    <xf numFmtId="164" fontId="4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indent="3"/>
    </xf>
    <xf numFmtId="164" fontId="4" fillId="0" borderId="1" pivotButton="0" quotePrefix="0" xfId="0"/>
    <xf numFmtId="164" fontId="0" fillId="0" borderId="1" pivotButton="0" quotePrefix="0" xfId="0"/>
    <xf numFmtId="164" fontId="6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vertical="center"/>
    </xf>
    <xf numFmtId="0" fontId="2" fillId="3" borderId="2" pivotButton="0" quotePrefix="0" xfId="0"/>
    <xf numFmtId="164" fontId="7" fillId="3" borderId="2" applyAlignment="1" pivotButton="0" quotePrefix="0" xfId="0">
      <alignment vertical="center"/>
    </xf>
    <xf numFmtId="165" fontId="7" fillId="3" borderId="2" applyAlignment="1" pivotButton="0" quotePrefix="0" xfId="0">
      <alignment vertical="center"/>
    </xf>
    <xf numFmtId="165" fontId="7" fillId="0" borderId="2" pivotButton="0" quotePrefix="0" xfId="0"/>
    <xf numFmtId="0" fontId="7" fillId="3" borderId="1" applyAlignment="1" pivotButton="0" quotePrefix="0" xfId="0">
      <alignment vertical="center"/>
    </xf>
    <xf numFmtId="0" fontId="2" fillId="3" borderId="1" pivotButton="0" quotePrefix="0" xfId="0"/>
    <xf numFmtId="164" fontId="7" fillId="3" borderId="1" applyAlignment="1" pivotButton="0" quotePrefix="0" xfId="0">
      <alignment vertical="center"/>
    </xf>
    <xf numFmtId="165" fontId="7" fillId="3" borderId="1" applyAlignment="1" pivotButton="0" quotePrefix="0" xfId="0">
      <alignment vertical="center"/>
    </xf>
    <xf numFmtId="0" fontId="7" fillId="0" borderId="1" applyAlignment="1" pivotButton="0" quotePrefix="0" xfId="0">
      <alignment horizontal="center"/>
    </xf>
    <xf numFmtId="165" fontId="7" fillId="0" borderId="1" pivotButton="0" quotePrefix="0" xfId="0"/>
    <xf numFmtId="0" fontId="7" fillId="4" borderId="2" applyAlignment="1" pivotButton="0" quotePrefix="0" xfId="0">
      <alignment vertical="center"/>
    </xf>
    <xf numFmtId="0" fontId="7" fillId="4" borderId="2" applyAlignment="1" pivotButton="0" quotePrefix="0" xfId="0">
      <alignment vertical="center" indent="1"/>
    </xf>
    <xf numFmtId="0" fontId="2" fillId="4" borderId="2" pivotButton="0" quotePrefix="0" xfId="0"/>
    <xf numFmtId="164" fontId="8" fillId="4" borderId="2" applyAlignment="1" pivotButton="0" quotePrefix="0" xfId="0">
      <alignment vertical="center"/>
    </xf>
    <xf numFmtId="165" fontId="7" fillId="4" borderId="2" applyAlignment="1" pivotButton="0" quotePrefix="0" xfId="0">
      <alignment vertical="center"/>
    </xf>
    <xf numFmtId="0" fontId="7" fillId="4" borderId="1" applyAlignment="1" pivotButton="0" quotePrefix="0" xfId="0">
      <alignment vertical="center"/>
    </xf>
    <xf numFmtId="0" fontId="7" fillId="4" borderId="1" applyAlignment="1" pivotButton="0" quotePrefix="0" xfId="0">
      <alignment vertical="center" indent="1"/>
    </xf>
    <xf numFmtId="0" fontId="2" fillId="4" borderId="1" pivotButton="0" quotePrefix="0" xfId="0"/>
    <xf numFmtId="164" fontId="8" fillId="4" borderId="1" applyAlignment="1" pivotButton="0" quotePrefix="0" xfId="0">
      <alignment vertical="center"/>
    </xf>
    <xf numFmtId="165" fontId="7" fillId="4" borderId="1" applyAlignment="1" pivotButton="0" quotePrefix="0" xfId="0">
      <alignment vertical="center"/>
    </xf>
    <xf numFmtId="0" fontId="7" fillId="6" borderId="1" applyAlignment="1" pivotButton="0" quotePrefix="0" xfId="0">
      <alignment horizontal="center"/>
    </xf>
    <xf numFmtId="164" fontId="7" fillId="4" borderId="2" applyAlignment="1" pivotButton="0" quotePrefix="0" xfId="0">
      <alignment vertical="center"/>
    </xf>
    <xf numFmtId="164" fontId="7" fillId="4" borderId="1" applyAlignment="1" pivotButton="0" quotePrefix="0" xfId="0">
      <alignment vertical="center"/>
    </xf>
    <xf numFmtId="0" fontId="9" fillId="5" borderId="2" applyAlignment="1" pivotButton="0" quotePrefix="0" xfId="0">
      <alignment vertical="center"/>
    </xf>
    <xf numFmtId="0" fontId="9" fillId="5" borderId="2" applyAlignment="1" pivotButton="0" quotePrefix="0" xfId="0">
      <alignment vertical="center" indent="2"/>
    </xf>
    <xf numFmtId="0" fontId="2" fillId="5" borderId="2" pivotButton="0" quotePrefix="0" xfId="0"/>
    <xf numFmtId="164" fontId="10" fillId="5" borderId="2" applyAlignment="1" pivotButton="0" quotePrefix="0" xfId="0">
      <alignment vertical="center"/>
    </xf>
    <xf numFmtId="165" fontId="9" fillId="5" borderId="2" applyAlignment="1" pivotButton="0" quotePrefix="0" xfId="0">
      <alignment vertical="center"/>
    </xf>
    <xf numFmtId="165" fontId="9" fillId="0" borderId="2" pivotButton="0" quotePrefix="0" xfId="0"/>
    <xf numFmtId="0" fontId="9" fillId="5" borderId="1" applyAlignment="1" pivotButton="0" quotePrefix="0" xfId="0">
      <alignment vertical="center"/>
    </xf>
    <xf numFmtId="0" fontId="9" fillId="5" borderId="1" applyAlignment="1" pivotButton="0" quotePrefix="0" xfId="0">
      <alignment vertical="center" indent="2"/>
    </xf>
    <xf numFmtId="0" fontId="2" fillId="5" borderId="1" pivotButton="0" quotePrefix="0" xfId="0"/>
    <xf numFmtId="164" fontId="10" fillId="5" borderId="1" applyAlignment="1" pivotButton="0" quotePrefix="0" xfId="0">
      <alignment vertical="center"/>
    </xf>
    <xf numFmtId="165" fontId="9" fillId="5" borderId="1" applyAlignment="1" pivotButton="0" quotePrefix="0" xfId="0">
      <alignment vertical="center"/>
    </xf>
    <xf numFmtId="0" fontId="9" fillId="6" borderId="1" applyAlignment="1" pivotButton="0" quotePrefix="0" xfId="0">
      <alignment horizontal="center"/>
    </xf>
    <xf numFmtId="165" fontId="9" fillId="0" borderId="1" pivotButton="0" quotePrefix="0" xfId="0"/>
    <xf numFmtId="164" fontId="9" fillId="5" borderId="2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9" fillId="0" borderId="1" applyAlignment="1" pivotButton="0" quotePrefix="0" xfId="0">
      <alignment horizontal="center"/>
    </xf>
    <xf numFmtId="0" fontId="9" fillId="0" borderId="2" applyAlignment="1" pivotButton="0" quotePrefix="0" xfId="0">
      <alignment vertical="center"/>
    </xf>
    <xf numFmtId="0" fontId="9" fillId="0" borderId="2" applyAlignment="1" pivotButton="0" quotePrefix="0" xfId="0">
      <alignment vertical="center" indent="3"/>
    </xf>
    <xf numFmtId="0" fontId="2" fillId="0" borderId="2" pivotButton="0" quotePrefix="0" xfId="0"/>
    <xf numFmtId="164" fontId="10" fillId="0" borderId="2" applyAlignment="1" pivotButton="0" quotePrefix="0" xfId="0">
      <alignment vertical="center"/>
    </xf>
    <xf numFmtId="165" fontId="9" fillId="0" borderId="2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 indent="3"/>
    </xf>
    <xf numFmtId="0" fontId="2" fillId="0" borderId="1" pivotButton="0" quotePrefix="0" xfId="0"/>
    <xf numFmtId="164" fontId="10" fillId="0" borderId="1" applyAlignment="1" pivotButton="0" quotePrefix="0" xfId="0">
      <alignment vertical="center"/>
    </xf>
    <xf numFmtId="165" fontId="9" fillId="0" borderId="1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fgColor rgb="00BFBFBF"/>
        </patternFill>
      </fill>
    </dxf>
    <dxf>
      <font>
        <color rgb="002F75B5"/>
      </font>
      <fill>
        <patternFill patternType="solid">
          <fgColor rgb="002F75B5"/>
        </patternFill>
      </fill>
    </dxf>
    <dxf>
      <font>
        <color rgb="00000000"/>
      </font>
      <fill>
        <patternFill patternType="solid"/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1">
      <c r="A1" s="1" t="inlineStr">
        <is>
          <t>工事費 金額リスト</t>
        </is>
      </c>
    </row>
    <row r="2">
      <c r="A2" s="2" t="inlineStr">
        <is>
          <t>凡例： 青字＝入力値（見積書より）／黒字＝計算式（自動集計）</t>
        </is>
      </c>
    </row>
    <row r="4">
      <c r="A4" s="3" t="inlineStr">
        <is>
          <t>項</t>
        </is>
      </c>
      <c r="B4" s="3" t="inlineStr">
        <is>
          <t>名称</t>
        </is>
      </c>
      <c r="C4" s="3" t="inlineStr">
        <is>
          <t>金額（円）</t>
        </is>
      </c>
      <c r="D4" s="3" t="inlineStr">
        <is>
          <t>見積書記載額（円）</t>
        </is>
      </c>
      <c r="E4" s="3" t="inlineStr">
        <is>
          <t>差額（円）</t>
        </is>
      </c>
      <c r="F4" s="3" t="inlineStr">
        <is>
          <t>備考</t>
        </is>
      </c>
    </row>
    <row r="5">
      <c r="A5" s="4" t="inlineStr"/>
      <c r="B5" s="4" t="inlineStr">
        <is>
          <t>工事費 合計</t>
        </is>
      </c>
      <c r="C5" s="5">
        <f>C6+C7+C13+C31</f>
        <v/>
      </c>
      <c r="D5" s="5">
        <f>D6+D7+D13+D31</f>
        <v/>
      </c>
      <c r="E5" s="5">
        <f>C5-D5</f>
        <v/>
      </c>
      <c r="F5" s="4" t="inlineStr">
        <is>
          <t>a)+b)+c)+d)</t>
        </is>
      </c>
    </row>
    <row r="6">
      <c r="A6" s="6" t="inlineStr">
        <is>
          <t>a)</t>
        </is>
      </c>
      <c r="B6" s="7" t="inlineStr">
        <is>
          <t>共通仮設工事</t>
        </is>
      </c>
      <c r="C6" s="8" t="n">
        <v>4540000</v>
      </c>
      <c r="D6" s="9" t="n">
        <v>4540000</v>
      </c>
      <c r="E6" s="10">
        <f>C6-D6</f>
        <v/>
      </c>
      <c r="F6" s="6" t="inlineStr"/>
    </row>
    <row r="7">
      <c r="A7" s="6" t="inlineStr">
        <is>
          <t>b)</t>
        </is>
      </c>
      <c r="B7" s="7" t="inlineStr">
        <is>
          <t>解体撤去工事</t>
        </is>
      </c>
      <c r="C7" s="10">
        <f>C8+C9</f>
        <v/>
      </c>
      <c r="D7" s="9" t="n">
        <v>16690000</v>
      </c>
      <c r="E7" s="10">
        <f>C7-D7</f>
        <v/>
      </c>
      <c r="F7" s="6" t="inlineStr">
        <is>
          <t>建築＋設備</t>
        </is>
      </c>
    </row>
    <row r="8">
      <c r="A8" s="11" t="inlineStr">
        <is>
          <t>b)-1</t>
        </is>
      </c>
      <c r="B8" s="12" t="inlineStr">
        <is>
          <t>建築工事</t>
        </is>
      </c>
      <c r="C8" s="13" t="n">
        <v>5700000</v>
      </c>
      <c r="D8" s="13" t="n">
        <v>5700000</v>
      </c>
      <c r="E8" s="14">
        <f>C8-D8</f>
        <v/>
      </c>
      <c r="F8" s="11" t="inlineStr"/>
    </row>
    <row r="9">
      <c r="A9" s="11" t="inlineStr">
        <is>
          <t>b)-2</t>
        </is>
      </c>
      <c r="B9" s="12" t="inlineStr">
        <is>
          <t>設備工事</t>
        </is>
      </c>
      <c r="C9" s="14">
        <f>C10+C11+C12</f>
        <v/>
      </c>
      <c r="D9" s="13" t="n">
        <v>10990000</v>
      </c>
      <c r="E9" s="14">
        <f>C9-D9</f>
        <v/>
      </c>
      <c r="F9" s="11" t="inlineStr">
        <is>
          <t>電気＋空調＋衛生</t>
        </is>
      </c>
    </row>
    <row r="10">
      <c r="A10" s="15" t="inlineStr"/>
      <c r="B10" s="16" t="inlineStr">
        <is>
          <t>電気設備工事</t>
        </is>
      </c>
      <c r="C10" s="17" t="n">
        <v>5143000</v>
      </c>
      <c r="D10" s="18" t="n"/>
      <c r="E10" s="19" t="n"/>
      <c r="F10" s="15" t="inlineStr">
        <is>
          <t>見積書 b)-2 電気小計</t>
        </is>
      </c>
    </row>
    <row r="11">
      <c r="A11" s="15" t="inlineStr"/>
      <c r="B11" s="16" t="inlineStr">
        <is>
          <t>空気調和設備工事</t>
        </is>
      </c>
      <c r="C11" s="17" t="n">
        <v>5175000</v>
      </c>
      <c r="D11" s="18" t="n"/>
      <c r="E11" s="19" t="n"/>
      <c r="F11" s="15" t="inlineStr">
        <is>
          <t>見積書 b)-2 ダクト撤去工事</t>
        </is>
      </c>
    </row>
    <row r="12">
      <c r="A12" s="15" t="inlineStr"/>
      <c r="B12" s="16" t="inlineStr">
        <is>
          <t>衛生設備工事</t>
        </is>
      </c>
      <c r="C12" s="17" t="n">
        <v>672000</v>
      </c>
      <c r="D12" s="18" t="n"/>
      <c r="E12" s="19" t="n"/>
      <c r="F12" s="15" t="inlineStr">
        <is>
          <t>見積書 b)-2 配管撤去工事</t>
        </is>
      </c>
    </row>
    <row r="13">
      <c r="A13" s="6" t="inlineStr">
        <is>
          <t>c)</t>
        </is>
      </c>
      <c r="B13" s="7" t="inlineStr">
        <is>
          <t>改修工事</t>
        </is>
      </c>
      <c r="C13" s="10">
        <f>C14+C27</f>
        <v/>
      </c>
      <c r="D13" s="9" t="n">
        <v>209540000</v>
      </c>
      <c r="E13" s="10">
        <f>C13-D13</f>
        <v/>
      </c>
      <c r="F13" s="6" t="inlineStr">
        <is>
          <t>建築＋設備</t>
        </is>
      </c>
    </row>
    <row r="14">
      <c r="A14" s="11" t="inlineStr">
        <is>
          <t>c)-1</t>
        </is>
      </c>
      <c r="B14" s="12" t="inlineStr">
        <is>
          <t>建築工事</t>
        </is>
      </c>
      <c r="C14" s="14">
        <f>SUM(C15:C26)</f>
        <v/>
      </c>
      <c r="D14" s="13" t="n">
        <v>139549000</v>
      </c>
      <c r="E14" s="14">
        <f>C14-D14</f>
        <v/>
      </c>
      <c r="F14" s="11" t="inlineStr">
        <is>
          <t>明細1〜12の計</t>
        </is>
      </c>
    </row>
    <row r="15">
      <c r="A15" s="15" t="inlineStr">
        <is>
          <t>1</t>
        </is>
      </c>
      <c r="B15" s="16" t="inlineStr">
        <is>
          <t>直接仮設工事</t>
        </is>
      </c>
      <c r="C15" s="17" t="n">
        <v>4345372</v>
      </c>
      <c r="D15" s="18" t="n"/>
      <c r="E15" s="19" t="n"/>
      <c r="F15" s="15" t="inlineStr"/>
    </row>
    <row r="16">
      <c r="A16" s="15" t="inlineStr">
        <is>
          <t>2</t>
        </is>
      </c>
      <c r="B16" s="16" t="inlineStr">
        <is>
          <t>躯体工事</t>
        </is>
      </c>
      <c r="C16" s="17" t="n">
        <v>476900</v>
      </c>
      <c r="D16" s="18" t="n"/>
      <c r="E16" s="19" t="n"/>
      <c r="F16" s="15" t="inlineStr"/>
    </row>
    <row r="17">
      <c r="A17" s="15" t="inlineStr">
        <is>
          <t>3</t>
        </is>
      </c>
      <c r="B17" s="16" t="inlineStr">
        <is>
          <t>防水工事</t>
        </is>
      </c>
      <c r="C17" s="17" t="n">
        <v>337100</v>
      </c>
      <c r="D17" s="18" t="n"/>
      <c r="E17" s="19" t="n"/>
      <c r="F17" s="15" t="inlineStr"/>
    </row>
    <row r="18">
      <c r="A18" s="15" t="inlineStr">
        <is>
          <t>4</t>
        </is>
      </c>
      <c r="B18" s="16" t="inlineStr">
        <is>
          <t>タイル工事</t>
        </is>
      </c>
      <c r="C18" s="17" t="n">
        <v>14987300</v>
      </c>
      <c r="D18" s="18" t="n"/>
      <c r="E18" s="19" t="n"/>
      <c r="F18" s="15" t="inlineStr"/>
    </row>
    <row r="19">
      <c r="A19" s="15" t="inlineStr">
        <is>
          <t>5</t>
        </is>
      </c>
      <c r="B19" s="16" t="inlineStr">
        <is>
          <t>金属工事</t>
        </is>
      </c>
      <c r="C19" s="17" t="n">
        <v>18986738</v>
      </c>
      <c r="D19" s="18" t="n"/>
      <c r="E19" s="19" t="n"/>
      <c r="F19" s="15" t="inlineStr"/>
    </row>
    <row r="20">
      <c r="A20" s="15" t="inlineStr">
        <is>
          <t>6</t>
        </is>
      </c>
      <c r="B20" s="16" t="inlineStr">
        <is>
          <t>金属製建具工事</t>
        </is>
      </c>
      <c r="C20" s="17" t="n">
        <v>8285600</v>
      </c>
      <c r="D20" s="18" t="n"/>
      <c r="E20" s="19" t="n"/>
      <c r="F20" s="15" t="inlineStr"/>
    </row>
    <row r="21">
      <c r="A21" s="15" t="inlineStr">
        <is>
          <t>7</t>
        </is>
      </c>
      <c r="B21" s="16" t="inlineStr">
        <is>
          <t>ガラス工事</t>
        </is>
      </c>
      <c r="C21" s="17" t="n">
        <v>1115138</v>
      </c>
      <c r="D21" s="18" t="n"/>
      <c r="E21" s="19" t="n"/>
      <c r="F21" s="15" t="inlineStr"/>
    </row>
    <row r="22">
      <c r="A22" s="15" t="inlineStr">
        <is>
          <t>8</t>
        </is>
      </c>
      <c r="B22" s="16" t="inlineStr">
        <is>
          <t>木工事</t>
        </is>
      </c>
      <c r="C22" s="17" t="n">
        <v>52688330</v>
      </c>
      <c r="D22" s="18" t="n"/>
      <c r="E22" s="19" t="n"/>
      <c r="F22" s="15" t="inlineStr"/>
    </row>
    <row r="23">
      <c r="A23" s="15" t="inlineStr">
        <is>
          <t>9</t>
        </is>
      </c>
      <c r="B23" s="16" t="inlineStr">
        <is>
          <t>左官工事</t>
        </is>
      </c>
      <c r="C23" s="17" t="n">
        <v>2198888</v>
      </c>
      <c r="D23" s="18" t="n"/>
      <c r="E23" s="19" t="n"/>
      <c r="F23" s="15" t="inlineStr"/>
    </row>
    <row r="24">
      <c r="A24" s="15" t="inlineStr">
        <is>
          <t>10</t>
        </is>
      </c>
      <c r="B24" s="16" t="inlineStr">
        <is>
          <t>塗装工事</t>
        </is>
      </c>
      <c r="C24" s="17" t="n">
        <v>25936424</v>
      </c>
      <c r="D24" s="18" t="n"/>
      <c r="E24" s="19" t="n"/>
      <c r="F24" s="15" t="inlineStr"/>
    </row>
    <row r="25">
      <c r="A25" s="15" t="inlineStr">
        <is>
          <t>11</t>
        </is>
      </c>
      <c r="B25" s="16" t="inlineStr">
        <is>
          <t>内装工事</t>
        </is>
      </c>
      <c r="C25" s="17" t="n">
        <v>7562450</v>
      </c>
      <c r="D25" s="18" t="n"/>
      <c r="E25" s="19" t="n"/>
      <c r="F25" s="15" t="inlineStr"/>
    </row>
    <row r="26">
      <c r="A26" s="15" t="inlineStr">
        <is>
          <t>12</t>
        </is>
      </c>
      <c r="B26" s="16" t="inlineStr">
        <is>
          <t>雑工事</t>
        </is>
      </c>
      <c r="C26" s="17" t="n">
        <v>2628760</v>
      </c>
      <c r="D26" s="18" t="n"/>
      <c r="E26" s="19" t="n"/>
      <c r="F26" s="15" t="inlineStr"/>
    </row>
    <row r="27">
      <c r="A27" s="11" t="inlineStr"/>
      <c r="B27" s="12" t="inlineStr">
        <is>
          <t>設備工事</t>
        </is>
      </c>
      <c r="C27" s="14">
        <f>C28+C29+C30</f>
        <v/>
      </c>
      <c r="D27" s="14">
        <f>D13-D14</f>
        <v/>
      </c>
      <c r="E27" s="14">
        <f>C27-D27</f>
        <v/>
      </c>
      <c r="F27" s="11" t="inlineStr">
        <is>
          <t>電気＋空調＋衛生（c)-2〜c)-4 の計／記載額は c)−c)-1 で逆算）</t>
        </is>
      </c>
    </row>
    <row r="28">
      <c r="A28" s="15" t="inlineStr">
        <is>
          <t>c)-2</t>
        </is>
      </c>
      <c r="B28" s="16" t="inlineStr">
        <is>
          <t>電気設備工事</t>
        </is>
      </c>
      <c r="C28" s="17" t="n">
        <v>53910000</v>
      </c>
      <c r="D28" s="18" t="n"/>
      <c r="E28" s="19" t="n"/>
      <c r="F28" s="15" t="inlineStr">
        <is>
          <t>見積書 c)-2 計</t>
        </is>
      </c>
    </row>
    <row r="29">
      <c r="A29" s="15" t="inlineStr">
        <is>
          <t>c)-3</t>
        </is>
      </c>
      <c r="B29" s="16" t="inlineStr">
        <is>
          <t>空気調和設備工事</t>
        </is>
      </c>
      <c r="C29" s="17" t="n">
        <v>14450000</v>
      </c>
      <c r="D29" s="18" t="n"/>
      <c r="E29" s="19" t="n"/>
      <c r="F29" s="15" t="inlineStr">
        <is>
          <t>見積書 c)-3 計</t>
        </is>
      </c>
    </row>
    <row r="30">
      <c r="A30" s="15" t="inlineStr">
        <is>
          <t>c)-4</t>
        </is>
      </c>
      <c r="B30" s="16" t="inlineStr">
        <is>
          <t>衛生設備工事</t>
        </is>
      </c>
      <c r="C30" s="17" t="n">
        <v>1631000</v>
      </c>
      <c r="D30" s="18" t="n"/>
      <c r="E30" s="19" t="n"/>
      <c r="F30" s="15" t="inlineStr">
        <is>
          <t>見積書 c)-4 計</t>
        </is>
      </c>
    </row>
    <row r="31">
      <c r="A31" s="6" t="inlineStr">
        <is>
          <t>d)</t>
        </is>
      </c>
      <c r="B31" s="7" t="inlineStr">
        <is>
          <t>諸経費</t>
        </is>
      </c>
      <c r="C31" s="8" t="n">
        <v>31230000</v>
      </c>
      <c r="D31" s="9" t="n">
        <v>31230000</v>
      </c>
      <c r="E31" s="10">
        <f>C31-D31</f>
        <v/>
      </c>
      <c r="F31" s="6" t="inlineStr"/>
    </row>
    <row r="33">
      <c r="B33" s="20" t="inlineStr">
        <is>
          <t>集計表</t>
        </is>
      </c>
    </row>
    <row r="34">
      <c r="B34" s="3" t="inlineStr">
        <is>
          <t>区分</t>
        </is>
      </c>
      <c r="C34" s="3" t="inlineStr">
        <is>
          <t>解体撤去工事</t>
        </is>
      </c>
      <c r="D34" s="3" t="inlineStr">
        <is>
          <t>改修工事</t>
        </is>
      </c>
      <c r="E34" s="3" t="inlineStr">
        <is>
          <t>計</t>
        </is>
      </c>
    </row>
    <row r="35">
      <c r="B35" s="15" t="inlineStr">
        <is>
          <t>建築工事</t>
        </is>
      </c>
      <c r="C35" s="19">
        <f>C8</f>
        <v/>
      </c>
      <c r="D35" s="19">
        <f>C14</f>
        <v/>
      </c>
      <c r="E35" s="19">
        <f>C35+D35</f>
        <v/>
      </c>
    </row>
    <row r="36">
      <c r="B36" s="15" t="inlineStr">
        <is>
          <t>電気設備工事</t>
        </is>
      </c>
      <c r="C36" s="19">
        <f>C10</f>
        <v/>
      </c>
      <c r="D36" s="19">
        <f>C28</f>
        <v/>
      </c>
      <c r="E36" s="19">
        <f>C36+D36</f>
        <v/>
      </c>
    </row>
    <row r="37">
      <c r="B37" s="15" t="inlineStr">
        <is>
          <t>空気調和設備工事</t>
        </is>
      </c>
      <c r="C37" s="19">
        <f>C11</f>
        <v/>
      </c>
      <c r="D37" s="19">
        <f>C29</f>
        <v/>
      </c>
      <c r="E37" s="19">
        <f>C37+D37</f>
        <v/>
      </c>
    </row>
    <row r="38">
      <c r="B38" s="15" t="inlineStr">
        <is>
          <t>衛生設備工事</t>
        </is>
      </c>
      <c r="C38" s="19">
        <f>C12</f>
        <v/>
      </c>
      <c r="D38" s="19">
        <f>C30</f>
        <v/>
      </c>
      <c r="E38" s="19">
        <f>C38+D38</f>
        <v/>
      </c>
    </row>
    <row r="39">
      <c r="B39" s="21" t="inlineStr">
        <is>
          <t>計</t>
        </is>
      </c>
      <c r="C39" s="22">
        <f>SUM(C35:C38)</f>
        <v/>
      </c>
      <c r="D39" s="22">
        <f>SUM(D35:D38)</f>
        <v/>
      </c>
      <c r="E39" s="22">
        <f>SUM(E35:E38)</f>
        <v/>
      </c>
    </row>
    <row r="40">
      <c r="B40" s="21" t="inlineStr">
        <is>
          <t>照合（本表との差）</t>
        </is>
      </c>
      <c r="C40" s="22">
        <f>C39-C7</f>
        <v/>
      </c>
      <c r="D40" s="22">
        <f>D39-C13</f>
        <v/>
      </c>
      <c r="E40" s="22">
        <f>E39-C7-C13</f>
        <v/>
      </c>
    </row>
    <row r="42">
      <c r="B42" s="2" t="inlineStr">
        <is>
          <t>出典：金額はすべて見積書（内訳、b)解体撤去工事、c)-1 建築工事明細、c)-2〜c)-4 設備工事計）より。差額が「-」なら記載額と一致。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89"/>
  <sheetViews>
    <sheetView workbookViewId="0">
      <pane xSplit="6" ySplit="6" topLeftCell="G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8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</cols>
  <sheetData>
    <row r="1">
      <c r="A1" s="1" t="inlineStr">
        <is>
          <t>週間出来高（工程・出来高率）</t>
        </is>
      </c>
    </row>
    <row r="2">
      <c r="A2" s="2" t="inlineStr">
        <is>
          <t>凡例： 各工事の中段（工程）の週に何か入力（例：1 や ●）すると黒く塗られ、工事ありになります。出来高率は工事ありの週数で均等割りし、各工事の合計が100%になります。集計行は契約金額で加重平均。6行目の稼働が0の週（年末年始）は工事ありにしても割合に含めません（灰色）。</t>
        </is>
      </c>
    </row>
    <row r="4" ht="20" customHeight="1">
      <c r="A4" s="23" t="inlineStr">
        <is>
          <t>項</t>
        </is>
      </c>
      <c r="B4" s="23" t="inlineStr">
        <is>
          <t>名称</t>
        </is>
      </c>
      <c r="C4" s="23" t="inlineStr">
        <is>
          <t>区分</t>
        </is>
      </c>
      <c r="D4" s="23" t="inlineStr">
        <is>
          <t>契約金額（円）</t>
        </is>
      </c>
      <c r="E4" s="23" t="inlineStr">
        <is>
          <t>工事週数</t>
        </is>
      </c>
      <c r="F4" s="23" t="inlineStr">
        <is>
          <t>出来高率 計</t>
        </is>
      </c>
      <c r="G4" s="23" t="inlineStr">
        <is>
          <t>11月第1週</t>
        </is>
      </c>
      <c r="H4" s="23" t="inlineStr">
        <is>
          <t>11月第2週</t>
        </is>
      </c>
      <c r="I4" s="23" t="inlineStr">
        <is>
          <t>11月第3週</t>
        </is>
      </c>
      <c r="J4" s="23" t="inlineStr">
        <is>
          <t>11月第4週</t>
        </is>
      </c>
      <c r="K4" s="23" t="inlineStr">
        <is>
          <t>11月第5週</t>
        </is>
      </c>
      <c r="L4" s="23" t="inlineStr">
        <is>
          <t>12月第1週</t>
        </is>
      </c>
      <c r="M4" s="23" t="inlineStr">
        <is>
          <t>12月第2週</t>
        </is>
      </c>
      <c r="N4" s="23" t="inlineStr">
        <is>
          <t>12月第3週</t>
        </is>
      </c>
      <c r="O4" s="23" t="inlineStr">
        <is>
          <t>12月第4週</t>
        </is>
      </c>
      <c r="P4" s="23" t="inlineStr">
        <is>
          <t>1月第1週</t>
        </is>
      </c>
      <c r="Q4" s="23" t="inlineStr">
        <is>
          <t>1月第2週</t>
        </is>
      </c>
      <c r="R4" s="23" t="inlineStr">
        <is>
          <t>1月第3週</t>
        </is>
      </c>
      <c r="S4" s="23" t="inlineStr">
        <is>
          <t>1月第4週</t>
        </is>
      </c>
      <c r="T4" s="23" t="inlineStr">
        <is>
          <t>2月第1週</t>
        </is>
      </c>
      <c r="U4" s="23" t="inlineStr">
        <is>
          <t>2月第2週</t>
        </is>
      </c>
      <c r="V4" s="23" t="inlineStr">
        <is>
          <t>2月第3週</t>
        </is>
      </c>
      <c r="W4" s="23" t="inlineStr">
        <is>
          <t>2月第4週</t>
        </is>
      </c>
      <c r="X4" s="23" t="inlineStr">
        <is>
          <t>3月第1週</t>
        </is>
      </c>
      <c r="Y4" s="23" t="inlineStr">
        <is>
          <t>3月第2週</t>
        </is>
      </c>
      <c r="Z4" s="23" t="inlineStr">
        <is>
          <t>3月第3週</t>
        </is>
      </c>
      <c r="AA4" s="23" t="inlineStr">
        <is>
          <t>3月第4週</t>
        </is>
      </c>
      <c r="AB4" s="23" t="inlineStr">
        <is>
          <t>3月第5週</t>
        </is>
      </c>
    </row>
    <row r="5">
      <c r="A5" s="23" t="n"/>
      <c r="B5" s="23" t="n"/>
      <c r="C5" s="23" t="n"/>
      <c r="D5" s="23" t="n"/>
      <c r="E5" s="23" t="n"/>
      <c r="F5" s="23" t="n"/>
      <c r="G5" s="23" t="inlineStr">
        <is>
          <t>11/2～11/8</t>
        </is>
      </c>
      <c r="H5" s="23" t="inlineStr">
        <is>
          <t>11/9～11/15</t>
        </is>
      </c>
      <c r="I5" s="23" t="inlineStr">
        <is>
          <t>11/16～11/22</t>
        </is>
      </c>
      <c r="J5" s="23" t="inlineStr">
        <is>
          <t>11/23～11/29</t>
        </is>
      </c>
      <c r="K5" s="23" t="inlineStr">
        <is>
          <t>11/30～12/6</t>
        </is>
      </c>
      <c r="L5" s="23" t="inlineStr">
        <is>
          <t>12/7～12/13</t>
        </is>
      </c>
      <c r="M5" s="23" t="inlineStr">
        <is>
          <t>12/14～12/20</t>
        </is>
      </c>
      <c r="N5" s="23" t="inlineStr">
        <is>
          <t>12/21～12/27</t>
        </is>
      </c>
      <c r="O5" s="23" t="inlineStr">
        <is>
          <t>12/28～1/3</t>
        </is>
      </c>
      <c r="P5" s="23" t="inlineStr">
        <is>
          <t>1/4～1/10</t>
        </is>
      </c>
      <c r="Q5" s="23" t="inlineStr">
        <is>
          <t>1/11～1/17</t>
        </is>
      </c>
      <c r="R5" s="23" t="inlineStr">
        <is>
          <t>1/18～1/24</t>
        </is>
      </c>
      <c r="S5" s="23" t="inlineStr">
        <is>
          <t>1/25～1/31</t>
        </is>
      </c>
      <c r="T5" s="23" t="inlineStr">
        <is>
          <t>2/1～2/7</t>
        </is>
      </c>
      <c r="U5" s="23" t="inlineStr">
        <is>
          <t>2/8～2/14</t>
        </is>
      </c>
      <c r="V5" s="23" t="inlineStr">
        <is>
          <t>2/15～2/21</t>
        </is>
      </c>
      <c r="W5" s="23" t="inlineStr">
        <is>
          <t>2/22～2/28</t>
        </is>
      </c>
      <c r="X5" s="23" t="inlineStr">
        <is>
          <t>3/1～3/7</t>
        </is>
      </c>
      <c r="Y5" s="23" t="inlineStr">
        <is>
          <t>3/8～3/14</t>
        </is>
      </c>
      <c r="Z5" s="23" t="inlineStr">
        <is>
          <t>3/15～3/21</t>
        </is>
      </c>
      <c r="AA5" s="23" t="inlineStr">
        <is>
          <t>3/22～3/28</t>
        </is>
      </c>
      <c r="AB5" s="23" t="inlineStr">
        <is>
          <t>3/29～4/4</t>
        </is>
      </c>
    </row>
    <row r="6">
      <c r="A6" s="23" t="n"/>
      <c r="B6" s="23" t="n"/>
      <c r="C6" s="23" t="inlineStr">
        <is>
          <t>稼働(1/0)</t>
        </is>
      </c>
      <c r="D6" s="23" t="n"/>
      <c r="E6" s="23" t="n"/>
      <c r="F6" s="23" t="n"/>
      <c r="G6" s="24" t="n">
        <v>1</v>
      </c>
      <c r="H6" s="24" t="n">
        <v>1</v>
      </c>
      <c r="I6" s="24" t="n">
        <v>1</v>
      </c>
      <c r="J6" s="24" t="n">
        <v>1</v>
      </c>
      <c r="K6" s="24" t="n">
        <v>1</v>
      </c>
      <c r="L6" s="24" t="n">
        <v>1</v>
      </c>
      <c r="M6" s="24" t="n">
        <v>1</v>
      </c>
      <c r="N6" s="24" t="n">
        <v>1</v>
      </c>
      <c r="O6" s="24" t="n">
        <v>0</v>
      </c>
      <c r="P6" s="24" t="n">
        <v>1</v>
      </c>
      <c r="Q6" s="24" t="n">
        <v>1</v>
      </c>
      <c r="R6" s="24" t="n">
        <v>1</v>
      </c>
      <c r="S6" s="24" t="n">
        <v>1</v>
      </c>
      <c r="T6" s="24" t="n">
        <v>1</v>
      </c>
      <c r="U6" s="24" t="n">
        <v>1</v>
      </c>
      <c r="V6" s="24" t="n">
        <v>1</v>
      </c>
      <c r="W6" s="24" t="n">
        <v>1</v>
      </c>
      <c r="X6" s="24" t="n">
        <v>1</v>
      </c>
      <c r="Y6" s="24" t="n">
        <v>1</v>
      </c>
      <c r="Z6" s="24" t="n">
        <v>1</v>
      </c>
      <c r="AA6" s="24" t="n">
        <v>1</v>
      </c>
      <c r="AB6" s="24" t="n">
        <v>1</v>
      </c>
    </row>
    <row r="7">
      <c r="A7" s="25" t="inlineStr"/>
      <c r="B7" s="25" t="inlineStr">
        <is>
          <t>工事費 合計</t>
        </is>
      </c>
      <c r="C7" s="26" t="inlineStr">
        <is>
          <t>今週出来高率</t>
        </is>
      </c>
      <c r="D7" s="27">
        <f>D10+D13+D28+D79</f>
        <v/>
      </c>
      <c r="E7" s="25">
        <f>COUNTIF(G7:AB7,"&gt;0")</f>
        <v/>
      </c>
      <c r="F7" s="28">
        <f>SUM(G7:AB7)</f>
        <v/>
      </c>
      <c r="G7" s="29">
        <f>IF($D7=0,0,(G10*$D10+G13*$D13+G28*$D28+G79*$D79)/$D7)</f>
        <v/>
      </c>
      <c r="H7" s="29">
        <f>IF($D7=0,0,(H10*$D10+H13*$D13+H28*$D28+H79*$D79)/$D7)</f>
        <v/>
      </c>
      <c r="I7" s="29">
        <f>IF($D7=0,0,(I10*$D10+I13*$D13+I28*$D28+I79*$D79)/$D7)</f>
        <v/>
      </c>
      <c r="J7" s="29">
        <f>IF($D7=0,0,(J10*$D10+J13*$D13+J28*$D28+J79*$D79)/$D7)</f>
        <v/>
      </c>
      <c r="K7" s="29">
        <f>IF($D7=0,0,(K10*$D10+K13*$D13+K28*$D28+K79*$D79)/$D7)</f>
        <v/>
      </c>
      <c r="L7" s="29">
        <f>IF($D7=0,0,(L10*$D10+L13*$D13+L28*$D28+L79*$D79)/$D7)</f>
        <v/>
      </c>
      <c r="M7" s="29">
        <f>IF($D7=0,0,(M10*$D10+M13*$D13+M28*$D28+M79*$D79)/$D7)</f>
        <v/>
      </c>
      <c r="N7" s="29">
        <f>IF($D7=0,0,(N10*$D10+N13*$D13+N28*$D28+N79*$D79)/$D7)</f>
        <v/>
      </c>
      <c r="O7" s="29">
        <f>IF($D7=0,0,(O10*$D10+O13*$D13+O28*$D28+O79*$D79)/$D7)</f>
        <v/>
      </c>
      <c r="P7" s="29">
        <f>IF($D7=0,0,(P10*$D10+P13*$D13+P28*$D28+P79*$D79)/$D7)</f>
        <v/>
      </c>
      <c r="Q7" s="29">
        <f>IF($D7=0,0,(Q10*$D10+Q13*$D13+Q28*$D28+Q79*$D79)/$D7)</f>
        <v/>
      </c>
      <c r="R7" s="29">
        <f>IF($D7=0,0,(R10*$D10+R13*$D13+R28*$D28+R79*$D79)/$D7)</f>
        <v/>
      </c>
      <c r="S7" s="29">
        <f>IF($D7=0,0,(S10*$D10+S13*$D13+S28*$D28+S79*$D79)/$D7)</f>
        <v/>
      </c>
      <c r="T7" s="29">
        <f>IF($D7=0,0,(T10*$D10+T13*$D13+T28*$D28+T79*$D79)/$D7)</f>
        <v/>
      </c>
      <c r="U7" s="29">
        <f>IF($D7=0,0,(U10*$D10+U13*$D13+U28*$D28+U79*$D79)/$D7)</f>
        <v/>
      </c>
      <c r="V7" s="29">
        <f>IF($D7=0,0,(V10*$D10+V13*$D13+V28*$D28+V79*$D79)/$D7)</f>
        <v/>
      </c>
      <c r="W7" s="29">
        <f>IF($D7=0,0,(W10*$D10+W13*$D13+W28*$D28+W79*$D79)/$D7)</f>
        <v/>
      </c>
      <c r="X7" s="29">
        <f>IF($D7=0,0,(X10*$D10+X13*$D13+X28*$D28+X79*$D79)/$D7)</f>
        <v/>
      </c>
      <c r="Y7" s="29">
        <f>IF($D7=0,0,(Y10*$D10+Y13*$D13+Y28*$D28+Y79*$D79)/$D7)</f>
        <v/>
      </c>
      <c r="Z7" s="29">
        <f>IF($D7=0,0,(Z10*$D10+Z13*$D13+Z28*$D28+Z79*$D79)/$D7)</f>
        <v/>
      </c>
      <c r="AA7" s="29">
        <f>IF($D7=0,0,(AA10*$D10+AA13*$D13+AA28*$D28+AA79*$D79)/$D7)</f>
        <v/>
      </c>
      <c r="AB7" s="29">
        <f>IF($D7=0,0,(AB10*$D10+AB13*$D13+AB28*$D28+AB79*$D79)/$D7)</f>
        <v/>
      </c>
    </row>
    <row r="8">
      <c r="A8" s="30" t="n"/>
      <c r="B8" s="30" t="n"/>
      <c r="C8" s="31" t="inlineStr">
        <is>
          <t>工程</t>
        </is>
      </c>
      <c r="D8" s="32" t="n"/>
      <c r="E8" s="30" t="n"/>
      <c r="F8" s="33" t="n"/>
      <c r="G8" s="34">
        <f>IF(G7&gt;0,"■","")</f>
        <v/>
      </c>
      <c r="H8" s="34">
        <f>IF(H7&gt;0,"■","")</f>
        <v/>
      </c>
      <c r="I8" s="34">
        <f>IF(I7&gt;0,"■","")</f>
        <v/>
      </c>
      <c r="J8" s="34">
        <f>IF(J7&gt;0,"■","")</f>
        <v/>
      </c>
      <c r="K8" s="34">
        <f>IF(K7&gt;0,"■","")</f>
        <v/>
      </c>
      <c r="L8" s="34">
        <f>IF(L7&gt;0,"■","")</f>
        <v/>
      </c>
      <c r="M8" s="34">
        <f>IF(M7&gt;0,"■","")</f>
        <v/>
      </c>
      <c r="N8" s="34">
        <f>IF(N7&gt;0,"■","")</f>
        <v/>
      </c>
      <c r="O8" s="34">
        <f>IF(O7&gt;0,"■","")</f>
        <v/>
      </c>
      <c r="P8" s="34">
        <f>IF(P7&gt;0,"■","")</f>
        <v/>
      </c>
      <c r="Q8" s="34">
        <f>IF(Q7&gt;0,"■","")</f>
        <v/>
      </c>
      <c r="R8" s="34">
        <f>IF(R7&gt;0,"■","")</f>
        <v/>
      </c>
      <c r="S8" s="34">
        <f>IF(S7&gt;0,"■","")</f>
        <v/>
      </c>
      <c r="T8" s="34">
        <f>IF(T7&gt;0,"■","")</f>
        <v/>
      </c>
      <c r="U8" s="34">
        <f>IF(U7&gt;0,"■","")</f>
        <v/>
      </c>
      <c r="V8" s="34">
        <f>IF(V7&gt;0,"■","")</f>
        <v/>
      </c>
      <c r="W8" s="34">
        <f>IF(W7&gt;0,"■","")</f>
        <v/>
      </c>
      <c r="X8" s="34">
        <f>IF(X7&gt;0,"■","")</f>
        <v/>
      </c>
      <c r="Y8" s="34">
        <f>IF(Y7&gt;0,"■","")</f>
        <v/>
      </c>
      <c r="Z8" s="34">
        <f>IF(Z7&gt;0,"■","")</f>
        <v/>
      </c>
      <c r="AA8" s="34">
        <f>IF(AA7&gt;0,"■","")</f>
        <v/>
      </c>
      <c r="AB8" s="34">
        <f>IF(AB7&gt;0,"■","")</f>
        <v/>
      </c>
    </row>
    <row r="9">
      <c r="A9" s="30" t="n"/>
      <c r="B9" s="30" t="n"/>
      <c r="C9" s="31" t="inlineStr">
        <is>
          <t>累計出来高率</t>
        </is>
      </c>
      <c r="D9" s="32" t="n"/>
      <c r="E9" s="30" t="n"/>
      <c r="F9" s="33" t="n"/>
      <c r="G9" s="35">
        <f>G7</f>
        <v/>
      </c>
      <c r="H9" s="35">
        <f>G9+H7</f>
        <v/>
      </c>
      <c r="I9" s="35">
        <f>H9+I7</f>
        <v/>
      </c>
      <c r="J9" s="35">
        <f>I9+J7</f>
        <v/>
      </c>
      <c r="K9" s="35">
        <f>J9+K7</f>
        <v/>
      </c>
      <c r="L9" s="35">
        <f>K9+L7</f>
        <v/>
      </c>
      <c r="M9" s="35">
        <f>L9+M7</f>
        <v/>
      </c>
      <c r="N9" s="35">
        <f>M9+N7</f>
        <v/>
      </c>
      <c r="O9" s="35">
        <f>N9+O7</f>
        <v/>
      </c>
      <c r="P9" s="35">
        <f>O9+P7</f>
        <v/>
      </c>
      <c r="Q9" s="35">
        <f>P9+Q7</f>
        <v/>
      </c>
      <c r="R9" s="35">
        <f>Q9+R7</f>
        <v/>
      </c>
      <c r="S9" s="35">
        <f>R9+S7</f>
        <v/>
      </c>
      <c r="T9" s="35">
        <f>S9+T7</f>
        <v/>
      </c>
      <c r="U9" s="35">
        <f>T9+U7</f>
        <v/>
      </c>
      <c r="V9" s="35">
        <f>U9+V7</f>
        <v/>
      </c>
      <c r="W9" s="35">
        <f>V9+W7</f>
        <v/>
      </c>
      <c r="X9" s="35">
        <f>W9+X7</f>
        <v/>
      </c>
      <c r="Y9" s="35">
        <f>X9+Y7</f>
        <v/>
      </c>
      <c r="Z9" s="35">
        <f>Y9+Z7</f>
        <v/>
      </c>
      <c r="AA9" s="35">
        <f>Z9+AA7</f>
        <v/>
      </c>
      <c r="AB9" s="35">
        <f>AA9+AB7</f>
        <v/>
      </c>
    </row>
    <row r="10">
      <c r="A10" s="36" t="inlineStr">
        <is>
          <t>a)</t>
        </is>
      </c>
      <c r="B10" s="37" t="inlineStr">
        <is>
          <t>共通仮設工事</t>
        </is>
      </c>
      <c r="C10" s="38" t="inlineStr">
        <is>
          <t>今週出来高率</t>
        </is>
      </c>
      <c r="D10" s="39">
        <f>'金額リスト'!C6</f>
        <v/>
      </c>
      <c r="E10" s="36">
        <f>SUMPRODUCT((G11:AB11&lt;&gt;"")*(G$6:AB$6=1))</f>
        <v/>
      </c>
      <c r="F10" s="40">
        <f>SUM(G10:AB10)</f>
        <v/>
      </c>
      <c r="G10" s="29">
        <f>IF(OR($E10=0,G11="",G$6&lt;&gt;1),0,1/$E10)</f>
        <v/>
      </c>
      <c r="H10" s="29">
        <f>IF(OR($E10=0,H11="",H$6&lt;&gt;1),0,1/$E10)</f>
        <v/>
      </c>
      <c r="I10" s="29">
        <f>IF(OR($E10=0,I11="",I$6&lt;&gt;1),0,1/$E10)</f>
        <v/>
      </c>
      <c r="J10" s="29">
        <f>IF(OR($E10=0,J11="",J$6&lt;&gt;1),0,1/$E10)</f>
        <v/>
      </c>
      <c r="K10" s="29">
        <f>IF(OR($E10=0,K11="",K$6&lt;&gt;1),0,1/$E10)</f>
        <v/>
      </c>
      <c r="L10" s="29">
        <f>IF(OR($E10=0,L11="",L$6&lt;&gt;1),0,1/$E10)</f>
        <v/>
      </c>
      <c r="M10" s="29">
        <f>IF(OR($E10=0,M11="",M$6&lt;&gt;1),0,1/$E10)</f>
        <v/>
      </c>
      <c r="N10" s="29">
        <f>IF(OR($E10=0,N11="",N$6&lt;&gt;1),0,1/$E10)</f>
        <v/>
      </c>
      <c r="O10" s="29">
        <f>IF(OR($E10=0,O11="",O$6&lt;&gt;1),0,1/$E10)</f>
        <v/>
      </c>
      <c r="P10" s="29">
        <f>IF(OR($E10=0,P11="",P$6&lt;&gt;1),0,1/$E10)</f>
        <v/>
      </c>
      <c r="Q10" s="29">
        <f>IF(OR($E10=0,Q11="",Q$6&lt;&gt;1),0,1/$E10)</f>
        <v/>
      </c>
      <c r="R10" s="29">
        <f>IF(OR($E10=0,R11="",R$6&lt;&gt;1),0,1/$E10)</f>
        <v/>
      </c>
      <c r="S10" s="29">
        <f>IF(OR($E10=0,S11="",S$6&lt;&gt;1),0,1/$E10)</f>
        <v/>
      </c>
      <c r="T10" s="29">
        <f>IF(OR($E10=0,T11="",T$6&lt;&gt;1),0,1/$E10)</f>
        <v/>
      </c>
      <c r="U10" s="29">
        <f>IF(OR($E10=0,U11="",U$6&lt;&gt;1),0,1/$E10)</f>
        <v/>
      </c>
      <c r="V10" s="29">
        <f>IF(OR($E10=0,V11="",V$6&lt;&gt;1),0,1/$E10)</f>
        <v/>
      </c>
      <c r="W10" s="29">
        <f>IF(OR($E10=0,W11="",W$6&lt;&gt;1),0,1/$E10)</f>
        <v/>
      </c>
      <c r="X10" s="29">
        <f>IF(OR($E10=0,X11="",X$6&lt;&gt;1),0,1/$E10)</f>
        <v/>
      </c>
      <c r="Y10" s="29">
        <f>IF(OR($E10=0,Y11="",Y$6&lt;&gt;1),0,1/$E10)</f>
        <v/>
      </c>
      <c r="Z10" s="29">
        <f>IF(OR($E10=0,Z11="",Z$6&lt;&gt;1),0,1/$E10)</f>
        <v/>
      </c>
      <c r="AA10" s="29">
        <f>IF(OR($E10=0,AA11="",AA$6&lt;&gt;1),0,1/$E10)</f>
        <v/>
      </c>
      <c r="AB10" s="29">
        <f>IF(OR($E10=0,AB11="",AB$6&lt;&gt;1),0,1/$E10)</f>
        <v/>
      </c>
    </row>
    <row r="11">
      <c r="A11" s="41" t="n"/>
      <c r="B11" s="42" t="n"/>
      <c r="C11" s="43" t="inlineStr">
        <is>
          <t>工程</t>
        </is>
      </c>
      <c r="D11" s="44" t="n"/>
      <c r="E11" s="41" t="n"/>
      <c r="F11" s="45" t="n"/>
      <c r="G11" s="46" t="n"/>
      <c r="H11" s="46" t="n">
        <v>1</v>
      </c>
      <c r="I11" s="46" t="n">
        <v>1</v>
      </c>
      <c r="J11" s="46" t="n">
        <v>1</v>
      </c>
      <c r="K11" s="46" t="n">
        <v>1</v>
      </c>
      <c r="L11" s="46" t="n">
        <v>1</v>
      </c>
      <c r="M11" s="46" t="n">
        <v>1</v>
      </c>
      <c r="N11" s="46" t="n">
        <v>1</v>
      </c>
      <c r="O11" s="46" t="n">
        <v>1</v>
      </c>
      <c r="P11" s="46" t="n">
        <v>1</v>
      </c>
      <c r="Q11" s="46" t="n">
        <v>1</v>
      </c>
      <c r="R11" s="46" t="n">
        <v>1</v>
      </c>
      <c r="S11" s="46" t="n">
        <v>1</v>
      </c>
      <c r="T11" s="46" t="n">
        <v>1</v>
      </c>
      <c r="U11" s="46" t="n">
        <v>1</v>
      </c>
      <c r="V11" s="46" t="n">
        <v>1</v>
      </c>
      <c r="W11" s="46" t="n">
        <v>1</v>
      </c>
      <c r="X11" s="46" t="n">
        <v>1</v>
      </c>
      <c r="Y11" s="46" t="n">
        <v>1</v>
      </c>
      <c r="Z11" s="46" t="n">
        <v>1</v>
      </c>
      <c r="AA11" s="46" t="n">
        <v>1</v>
      </c>
      <c r="AB11" s="46" t="n">
        <v>1</v>
      </c>
    </row>
    <row r="12">
      <c r="A12" s="41" t="n"/>
      <c r="B12" s="42" t="n"/>
      <c r="C12" s="43" t="inlineStr">
        <is>
          <t>累計出来高率</t>
        </is>
      </c>
      <c r="D12" s="44" t="n"/>
      <c r="E12" s="41" t="n"/>
      <c r="F12" s="45" t="n"/>
      <c r="G12" s="35">
        <f>G10</f>
        <v/>
      </c>
      <c r="H12" s="35">
        <f>G12+H10</f>
        <v/>
      </c>
      <c r="I12" s="35">
        <f>H12+I10</f>
        <v/>
      </c>
      <c r="J12" s="35">
        <f>I12+J10</f>
        <v/>
      </c>
      <c r="K12" s="35">
        <f>J12+K10</f>
        <v/>
      </c>
      <c r="L12" s="35">
        <f>K12+L10</f>
        <v/>
      </c>
      <c r="M12" s="35">
        <f>L12+M10</f>
        <v/>
      </c>
      <c r="N12" s="35">
        <f>M12+N10</f>
        <v/>
      </c>
      <c r="O12" s="35">
        <f>N12+O10</f>
        <v/>
      </c>
      <c r="P12" s="35">
        <f>O12+P10</f>
        <v/>
      </c>
      <c r="Q12" s="35">
        <f>P12+Q10</f>
        <v/>
      </c>
      <c r="R12" s="35">
        <f>Q12+R10</f>
        <v/>
      </c>
      <c r="S12" s="35">
        <f>R12+S10</f>
        <v/>
      </c>
      <c r="T12" s="35">
        <f>S12+T10</f>
        <v/>
      </c>
      <c r="U12" s="35">
        <f>T12+U10</f>
        <v/>
      </c>
      <c r="V12" s="35">
        <f>U12+V10</f>
        <v/>
      </c>
      <c r="W12" s="35">
        <f>V12+W10</f>
        <v/>
      </c>
      <c r="X12" s="35">
        <f>W12+X10</f>
        <v/>
      </c>
      <c r="Y12" s="35">
        <f>X12+Y10</f>
        <v/>
      </c>
      <c r="Z12" s="35">
        <f>Y12+Z10</f>
        <v/>
      </c>
      <c r="AA12" s="35">
        <f>Z12+AA10</f>
        <v/>
      </c>
      <c r="AB12" s="35">
        <f>AA12+AB10</f>
        <v/>
      </c>
    </row>
    <row r="13">
      <c r="A13" s="36" t="inlineStr">
        <is>
          <t>b)</t>
        </is>
      </c>
      <c r="B13" s="37" t="inlineStr">
        <is>
          <t>解体撤去工事</t>
        </is>
      </c>
      <c r="C13" s="38" t="inlineStr">
        <is>
          <t>今週出来高率</t>
        </is>
      </c>
      <c r="D13" s="47">
        <f>D16+D19+D22+D25</f>
        <v/>
      </c>
      <c r="E13" s="36">
        <f>COUNTIF(G13:AB13,"&gt;0")</f>
        <v/>
      </c>
      <c r="F13" s="40">
        <f>SUM(G13:AB13)</f>
        <v/>
      </c>
      <c r="G13" s="29">
        <f>IF($D13=0,0,(G16*$D16+G19*$D19+G22*$D22+G25*$D25)/$D13)</f>
        <v/>
      </c>
      <c r="H13" s="29">
        <f>IF($D13=0,0,(H16*$D16+H19*$D19+H22*$D22+H25*$D25)/$D13)</f>
        <v/>
      </c>
      <c r="I13" s="29">
        <f>IF($D13=0,0,(I16*$D16+I19*$D19+I22*$D22+I25*$D25)/$D13)</f>
        <v/>
      </c>
      <c r="J13" s="29">
        <f>IF($D13=0,0,(J16*$D16+J19*$D19+J22*$D22+J25*$D25)/$D13)</f>
        <v/>
      </c>
      <c r="K13" s="29">
        <f>IF($D13=0,0,(K16*$D16+K19*$D19+K22*$D22+K25*$D25)/$D13)</f>
        <v/>
      </c>
      <c r="L13" s="29">
        <f>IF($D13=0,0,(L16*$D16+L19*$D19+L22*$D22+L25*$D25)/$D13)</f>
        <v/>
      </c>
      <c r="M13" s="29">
        <f>IF($D13=0,0,(M16*$D16+M19*$D19+M22*$D22+M25*$D25)/$D13)</f>
        <v/>
      </c>
      <c r="N13" s="29">
        <f>IF($D13=0,0,(N16*$D16+N19*$D19+N22*$D22+N25*$D25)/$D13)</f>
        <v/>
      </c>
      <c r="O13" s="29">
        <f>IF($D13=0,0,(O16*$D16+O19*$D19+O22*$D22+O25*$D25)/$D13)</f>
        <v/>
      </c>
      <c r="P13" s="29">
        <f>IF($D13=0,0,(P16*$D16+P19*$D19+P22*$D22+P25*$D25)/$D13)</f>
        <v/>
      </c>
      <c r="Q13" s="29">
        <f>IF($D13=0,0,(Q16*$D16+Q19*$D19+Q22*$D22+Q25*$D25)/$D13)</f>
        <v/>
      </c>
      <c r="R13" s="29">
        <f>IF($D13=0,0,(R16*$D16+R19*$D19+R22*$D22+R25*$D25)/$D13)</f>
        <v/>
      </c>
      <c r="S13" s="29">
        <f>IF($D13=0,0,(S16*$D16+S19*$D19+S22*$D22+S25*$D25)/$D13)</f>
        <v/>
      </c>
      <c r="T13" s="29">
        <f>IF($D13=0,0,(T16*$D16+T19*$D19+T22*$D22+T25*$D25)/$D13)</f>
        <v/>
      </c>
      <c r="U13" s="29">
        <f>IF($D13=0,0,(U16*$D16+U19*$D19+U22*$D22+U25*$D25)/$D13)</f>
        <v/>
      </c>
      <c r="V13" s="29">
        <f>IF($D13=0,0,(V16*$D16+V19*$D19+V22*$D22+V25*$D25)/$D13)</f>
        <v/>
      </c>
      <c r="W13" s="29">
        <f>IF($D13=0,0,(W16*$D16+W19*$D19+W22*$D22+W25*$D25)/$D13)</f>
        <v/>
      </c>
      <c r="X13" s="29">
        <f>IF($D13=0,0,(X16*$D16+X19*$D19+X22*$D22+X25*$D25)/$D13)</f>
        <v/>
      </c>
      <c r="Y13" s="29">
        <f>IF($D13=0,0,(Y16*$D16+Y19*$D19+Y22*$D22+Y25*$D25)/$D13)</f>
        <v/>
      </c>
      <c r="Z13" s="29">
        <f>IF($D13=0,0,(Z16*$D16+Z19*$D19+Z22*$D22+Z25*$D25)/$D13)</f>
        <v/>
      </c>
      <c r="AA13" s="29">
        <f>IF($D13=0,0,(AA16*$D16+AA19*$D19+AA22*$D22+AA25*$D25)/$D13)</f>
        <v/>
      </c>
      <c r="AB13" s="29">
        <f>IF($D13=0,0,(AB16*$D16+AB19*$D19+AB22*$D22+AB25*$D25)/$D13)</f>
        <v/>
      </c>
    </row>
    <row r="14">
      <c r="A14" s="41" t="n"/>
      <c r="B14" s="42" t="n"/>
      <c r="C14" s="43" t="inlineStr">
        <is>
          <t>工程</t>
        </is>
      </c>
      <c r="D14" s="48" t="n"/>
      <c r="E14" s="41" t="n"/>
      <c r="F14" s="45" t="n"/>
      <c r="G14" s="34">
        <f>IF(G13&gt;0,"■","")</f>
        <v/>
      </c>
      <c r="H14" s="34">
        <f>IF(H13&gt;0,"■","")</f>
        <v/>
      </c>
      <c r="I14" s="34">
        <f>IF(I13&gt;0,"■","")</f>
        <v/>
      </c>
      <c r="J14" s="34">
        <f>IF(J13&gt;0,"■","")</f>
        <v/>
      </c>
      <c r="K14" s="34">
        <f>IF(K13&gt;0,"■","")</f>
        <v/>
      </c>
      <c r="L14" s="34">
        <f>IF(L13&gt;0,"■","")</f>
        <v/>
      </c>
      <c r="M14" s="34">
        <f>IF(M13&gt;0,"■","")</f>
        <v/>
      </c>
      <c r="N14" s="34">
        <f>IF(N13&gt;0,"■","")</f>
        <v/>
      </c>
      <c r="O14" s="34">
        <f>IF(O13&gt;0,"■","")</f>
        <v/>
      </c>
      <c r="P14" s="34">
        <f>IF(P13&gt;0,"■","")</f>
        <v/>
      </c>
      <c r="Q14" s="34">
        <f>IF(Q13&gt;0,"■","")</f>
        <v/>
      </c>
      <c r="R14" s="34">
        <f>IF(R13&gt;0,"■","")</f>
        <v/>
      </c>
      <c r="S14" s="34">
        <f>IF(S13&gt;0,"■","")</f>
        <v/>
      </c>
      <c r="T14" s="34">
        <f>IF(T13&gt;0,"■","")</f>
        <v/>
      </c>
      <c r="U14" s="34">
        <f>IF(U13&gt;0,"■","")</f>
        <v/>
      </c>
      <c r="V14" s="34">
        <f>IF(V13&gt;0,"■","")</f>
        <v/>
      </c>
      <c r="W14" s="34">
        <f>IF(W13&gt;0,"■","")</f>
        <v/>
      </c>
      <c r="X14" s="34">
        <f>IF(X13&gt;0,"■","")</f>
        <v/>
      </c>
      <c r="Y14" s="34">
        <f>IF(Y13&gt;0,"■","")</f>
        <v/>
      </c>
      <c r="Z14" s="34">
        <f>IF(Z13&gt;0,"■","")</f>
        <v/>
      </c>
      <c r="AA14" s="34">
        <f>IF(AA13&gt;0,"■","")</f>
        <v/>
      </c>
      <c r="AB14" s="34">
        <f>IF(AB13&gt;0,"■","")</f>
        <v/>
      </c>
    </row>
    <row r="15">
      <c r="A15" s="41" t="n"/>
      <c r="B15" s="42" t="n"/>
      <c r="C15" s="43" t="inlineStr">
        <is>
          <t>累計出来高率</t>
        </is>
      </c>
      <c r="D15" s="48" t="n"/>
      <c r="E15" s="41" t="n"/>
      <c r="F15" s="45" t="n"/>
      <c r="G15" s="35">
        <f>G13</f>
        <v/>
      </c>
      <c r="H15" s="35">
        <f>G15+H13</f>
        <v/>
      </c>
      <c r="I15" s="35">
        <f>H15+I13</f>
        <v/>
      </c>
      <c r="J15" s="35">
        <f>I15+J13</f>
        <v/>
      </c>
      <c r="K15" s="35">
        <f>J15+K13</f>
        <v/>
      </c>
      <c r="L15" s="35">
        <f>K15+L13</f>
        <v/>
      </c>
      <c r="M15" s="35">
        <f>L15+M13</f>
        <v/>
      </c>
      <c r="N15" s="35">
        <f>M15+N13</f>
        <v/>
      </c>
      <c r="O15" s="35">
        <f>N15+O13</f>
        <v/>
      </c>
      <c r="P15" s="35">
        <f>O15+P13</f>
        <v/>
      </c>
      <c r="Q15" s="35">
        <f>P15+Q13</f>
        <v/>
      </c>
      <c r="R15" s="35">
        <f>Q15+R13</f>
        <v/>
      </c>
      <c r="S15" s="35">
        <f>R15+S13</f>
        <v/>
      </c>
      <c r="T15" s="35">
        <f>S15+T13</f>
        <v/>
      </c>
      <c r="U15" s="35">
        <f>T15+U13</f>
        <v/>
      </c>
      <c r="V15" s="35">
        <f>U15+V13</f>
        <v/>
      </c>
      <c r="W15" s="35">
        <f>V15+W13</f>
        <v/>
      </c>
      <c r="X15" s="35">
        <f>W15+X13</f>
        <v/>
      </c>
      <c r="Y15" s="35">
        <f>X15+Y13</f>
        <v/>
      </c>
      <c r="Z15" s="35">
        <f>Y15+Z13</f>
        <v/>
      </c>
      <c r="AA15" s="35">
        <f>Z15+AA13</f>
        <v/>
      </c>
      <c r="AB15" s="35">
        <f>AA15+AB13</f>
        <v/>
      </c>
    </row>
    <row r="16">
      <c r="A16" s="49" t="inlineStr">
        <is>
          <t>b)-1</t>
        </is>
      </c>
      <c r="B16" s="50" t="inlineStr">
        <is>
          <t>建築工事</t>
        </is>
      </c>
      <c r="C16" s="51" t="inlineStr">
        <is>
          <t>今週出来高率</t>
        </is>
      </c>
      <c r="D16" s="52">
        <f>'金額リスト'!C8</f>
        <v/>
      </c>
      <c r="E16" s="49">
        <f>SUMPRODUCT((G17:AB17&lt;&gt;"")*(G$6:AB$6=1))</f>
        <v/>
      </c>
      <c r="F16" s="53">
        <f>SUM(G16:AB16)</f>
        <v/>
      </c>
      <c r="G16" s="54">
        <f>IF(OR($E16=0,G17="",G$6&lt;&gt;1),0,1/$E16)</f>
        <v/>
      </c>
      <c r="H16" s="54">
        <f>IF(OR($E16=0,H17="",H$6&lt;&gt;1),0,1/$E16)</f>
        <v/>
      </c>
      <c r="I16" s="54">
        <f>IF(OR($E16=0,I17="",I$6&lt;&gt;1),0,1/$E16)</f>
        <v/>
      </c>
      <c r="J16" s="54">
        <f>IF(OR($E16=0,J17="",J$6&lt;&gt;1),0,1/$E16)</f>
        <v/>
      </c>
      <c r="K16" s="54">
        <f>IF(OR($E16=0,K17="",K$6&lt;&gt;1),0,1/$E16)</f>
        <v/>
      </c>
      <c r="L16" s="54">
        <f>IF(OR($E16=0,L17="",L$6&lt;&gt;1),0,1/$E16)</f>
        <v/>
      </c>
      <c r="M16" s="54">
        <f>IF(OR($E16=0,M17="",M$6&lt;&gt;1),0,1/$E16)</f>
        <v/>
      </c>
      <c r="N16" s="54">
        <f>IF(OR($E16=0,N17="",N$6&lt;&gt;1),0,1/$E16)</f>
        <v/>
      </c>
      <c r="O16" s="54">
        <f>IF(OR($E16=0,O17="",O$6&lt;&gt;1),0,1/$E16)</f>
        <v/>
      </c>
      <c r="P16" s="54">
        <f>IF(OR($E16=0,P17="",P$6&lt;&gt;1),0,1/$E16)</f>
        <v/>
      </c>
      <c r="Q16" s="54">
        <f>IF(OR($E16=0,Q17="",Q$6&lt;&gt;1),0,1/$E16)</f>
        <v/>
      </c>
      <c r="R16" s="54">
        <f>IF(OR($E16=0,R17="",R$6&lt;&gt;1),0,1/$E16)</f>
        <v/>
      </c>
      <c r="S16" s="54">
        <f>IF(OR($E16=0,S17="",S$6&lt;&gt;1),0,1/$E16)</f>
        <v/>
      </c>
      <c r="T16" s="54">
        <f>IF(OR($E16=0,T17="",T$6&lt;&gt;1),0,1/$E16)</f>
        <v/>
      </c>
      <c r="U16" s="54">
        <f>IF(OR($E16=0,U17="",U$6&lt;&gt;1),0,1/$E16)</f>
        <v/>
      </c>
      <c r="V16" s="54">
        <f>IF(OR($E16=0,V17="",V$6&lt;&gt;1),0,1/$E16)</f>
        <v/>
      </c>
      <c r="W16" s="54">
        <f>IF(OR($E16=0,W17="",W$6&lt;&gt;1),0,1/$E16)</f>
        <v/>
      </c>
      <c r="X16" s="54">
        <f>IF(OR($E16=0,X17="",X$6&lt;&gt;1),0,1/$E16)</f>
        <v/>
      </c>
      <c r="Y16" s="54">
        <f>IF(OR($E16=0,Y17="",Y$6&lt;&gt;1),0,1/$E16)</f>
        <v/>
      </c>
      <c r="Z16" s="54">
        <f>IF(OR($E16=0,Z17="",Z$6&lt;&gt;1),0,1/$E16)</f>
        <v/>
      </c>
      <c r="AA16" s="54">
        <f>IF(OR($E16=0,AA17="",AA$6&lt;&gt;1),0,1/$E16)</f>
        <v/>
      </c>
      <c r="AB16" s="54">
        <f>IF(OR($E16=0,AB17="",AB$6&lt;&gt;1),0,1/$E16)</f>
        <v/>
      </c>
    </row>
    <row r="17">
      <c r="A17" s="55" t="n"/>
      <c r="B17" s="56" t="n"/>
      <c r="C17" s="57" t="inlineStr">
        <is>
          <t>工程</t>
        </is>
      </c>
      <c r="D17" s="58" t="n"/>
      <c r="E17" s="55" t="n"/>
      <c r="F17" s="59" t="n"/>
      <c r="G17" s="60" t="n"/>
      <c r="H17" s="60" t="n">
        <v>1</v>
      </c>
      <c r="I17" s="60" t="n">
        <v>1</v>
      </c>
      <c r="J17" s="60" t="n">
        <v>1</v>
      </c>
      <c r="K17" s="60" t="n"/>
      <c r="L17" s="60" t="n">
        <v>1</v>
      </c>
      <c r="M17" s="60" t="n"/>
      <c r="N17" s="60" t="n">
        <v>1</v>
      </c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  <c r="Z17" s="60" t="n"/>
      <c r="AA17" s="60" t="n"/>
      <c r="AB17" s="60" t="n"/>
    </row>
    <row r="18">
      <c r="A18" s="55" t="n"/>
      <c r="B18" s="56" t="n"/>
      <c r="C18" s="57" t="inlineStr">
        <is>
          <t>累計出来高率</t>
        </is>
      </c>
      <c r="D18" s="58" t="n"/>
      <c r="E18" s="55" t="n"/>
      <c r="F18" s="59" t="n"/>
      <c r="G18" s="61">
        <f>G16</f>
        <v/>
      </c>
      <c r="H18" s="61">
        <f>G18+H16</f>
        <v/>
      </c>
      <c r="I18" s="61">
        <f>H18+I16</f>
        <v/>
      </c>
      <c r="J18" s="61">
        <f>I18+J16</f>
        <v/>
      </c>
      <c r="K18" s="61">
        <f>J18+K16</f>
        <v/>
      </c>
      <c r="L18" s="61">
        <f>K18+L16</f>
        <v/>
      </c>
      <c r="M18" s="61">
        <f>L18+M16</f>
        <v/>
      </c>
      <c r="N18" s="61">
        <f>M18+N16</f>
        <v/>
      </c>
      <c r="O18" s="61">
        <f>N18+O16</f>
        <v/>
      </c>
      <c r="P18" s="61">
        <f>O18+P16</f>
        <v/>
      </c>
      <c r="Q18" s="61">
        <f>P18+Q16</f>
        <v/>
      </c>
      <c r="R18" s="61">
        <f>Q18+R16</f>
        <v/>
      </c>
      <c r="S18" s="61">
        <f>R18+S16</f>
        <v/>
      </c>
      <c r="T18" s="61">
        <f>S18+T16</f>
        <v/>
      </c>
      <c r="U18" s="61">
        <f>T18+U16</f>
        <v/>
      </c>
      <c r="V18" s="61">
        <f>U18+V16</f>
        <v/>
      </c>
      <c r="W18" s="61">
        <f>V18+W16</f>
        <v/>
      </c>
      <c r="X18" s="61">
        <f>W18+X16</f>
        <v/>
      </c>
      <c r="Y18" s="61">
        <f>X18+Y16</f>
        <v/>
      </c>
      <c r="Z18" s="61">
        <f>Y18+Z16</f>
        <v/>
      </c>
      <c r="AA18" s="61">
        <f>Z18+AA16</f>
        <v/>
      </c>
      <c r="AB18" s="61">
        <f>AA18+AB16</f>
        <v/>
      </c>
    </row>
    <row r="19">
      <c r="A19" s="49" t="inlineStr"/>
      <c r="B19" s="50" t="inlineStr">
        <is>
          <t>電気設備工事</t>
        </is>
      </c>
      <c r="C19" s="51" t="inlineStr">
        <is>
          <t>今週出来高率</t>
        </is>
      </c>
      <c r="D19" s="52">
        <f>'金額リスト'!C10</f>
        <v/>
      </c>
      <c r="E19" s="49">
        <f>SUMPRODUCT((G20:AB20&lt;&gt;"")*(G$6:AB$6=1))</f>
        <v/>
      </c>
      <c r="F19" s="53">
        <f>SUM(G19:AB19)</f>
        <v/>
      </c>
      <c r="G19" s="54">
        <f>IF(OR($E19=0,G20="",G$6&lt;&gt;1),0,1/$E19)</f>
        <v/>
      </c>
      <c r="H19" s="54">
        <f>IF(OR($E19=0,H20="",H$6&lt;&gt;1),0,1/$E19)</f>
        <v/>
      </c>
      <c r="I19" s="54">
        <f>IF(OR($E19=0,I20="",I$6&lt;&gt;1),0,1/$E19)</f>
        <v/>
      </c>
      <c r="J19" s="54">
        <f>IF(OR($E19=0,J20="",J$6&lt;&gt;1),0,1/$E19)</f>
        <v/>
      </c>
      <c r="K19" s="54">
        <f>IF(OR($E19=0,K20="",K$6&lt;&gt;1),0,1/$E19)</f>
        <v/>
      </c>
      <c r="L19" s="54">
        <f>IF(OR($E19=0,L20="",L$6&lt;&gt;1),0,1/$E19)</f>
        <v/>
      </c>
      <c r="M19" s="54">
        <f>IF(OR($E19=0,M20="",M$6&lt;&gt;1),0,1/$E19)</f>
        <v/>
      </c>
      <c r="N19" s="54">
        <f>IF(OR($E19=0,N20="",N$6&lt;&gt;1),0,1/$E19)</f>
        <v/>
      </c>
      <c r="O19" s="54">
        <f>IF(OR($E19=0,O20="",O$6&lt;&gt;1),0,1/$E19)</f>
        <v/>
      </c>
      <c r="P19" s="54">
        <f>IF(OR($E19=0,P20="",P$6&lt;&gt;1),0,1/$E19)</f>
        <v/>
      </c>
      <c r="Q19" s="54">
        <f>IF(OR($E19=0,Q20="",Q$6&lt;&gt;1),0,1/$E19)</f>
        <v/>
      </c>
      <c r="R19" s="54">
        <f>IF(OR($E19=0,R20="",R$6&lt;&gt;1),0,1/$E19)</f>
        <v/>
      </c>
      <c r="S19" s="54">
        <f>IF(OR($E19=0,S20="",S$6&lt;&gt;1),0,1/$E19)</f>
        <v/>
      </c>
      <c r="T19" s="54">
        <f>IF(OR($E19=0,T20="",T$6&lt;&gt;1),0,1/$E19)</f>
        <v/>
      </c>
      <c r="U19" s="54">
        <f>IF(OR($E19=0,U20="",U$6&lt;&gt;1),0,1/$E19)</f>
        <v/>
      </c>
      <c r="V19" s="54">
        <f>IF(OR($E19=0,V20="",V$6&lt;&gt;1),0,1/$E19)</f>
        <v/>
      </c>
      <c r="W19" s="54">
        <f>IF(OR($E19=0,W20="",W$6&lt;&gt;1),0,1/$E19)</f>
        <v/>
      </c>
      <c r="X19" s="54">
        <f>IF(OR($E19=0,X20="",X$6&lt;&gt;1),0,1/$E19)</f>
        <v/>
      </c>
      <c r="Y19" s="54">
        <f>IF(OR($E19=0,Y20="",Y$6&lt;&gt;1),0,1/$E19)</f>
        <v/>
      </c>
      <c r="Z19" s="54">
        <f>IF(OR($E19=0,Z20="",Z$6&lt;&gt;1),0,1/$E19)</f>
        <v/>
      </c>
      <c r="AA19" s="54">
        <f>IF(OR($E19=0,AA20="",AA$6&lt;&gt;1),0,1/$E19)</f>
        <v/>
      </c>
      <c r="AB19" s="54">
        <f>IF(OR($E19=0,AB20="",AB$6&lt;&gt;1),0,1/$E19)</f>
        <v/>
      </c>
    </row>
    <row r="20">
      <c r="A20" s="55" t="n"/>
      <c r="B20" s="56" t="n"/>
      <c r="C20" s="57" t="inlineStr">
        <is>
          <t>工程</t>
        </is>
      </c>
      <c r="D20" s="58" t="n"/>
      <c r="E20" s="55" t="n"/>
      <c r="F20" s="59" t="n"/>
      <c r="G20" s="60" t="n"/>
      <c r="H20" s="60" t="n">
        <v>1</v>
      </c>
      <c r="I20" s="60" t="n"/>
      <c r="J20" s="60" t="n"/>
      <c r="K20" s="60" t="n">
        <v>1</v>
      </c>
      <c r="L20" s="60" t="n">
        <v>1</v>
      </c>
      <c r="M20" s="60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  <c r="Z20" s="60" t="n"/>
      <c r="AA20" s="60" t="n"/>
      <c r="AB20" s="60" t="n"/>
    </row>
    <row r="21">
      <c r="A21" s="55" t="n"/>
      <c r="B21" s="56" t="n"/>
      <c r="C21" s="57" t="inlineStr">
        <is>
          <t>累計出来高率</t>
        </is>
      </c>
      <c r="D21" s="58" t="n"/>
      <c r="E21" s="55" t="n"/>
      <c r="F21" s="59" t="n"/>
      <c r="G21" s="61">
        <f>G19</f>
        <v/>
      </c>
      <c r="H21" s="61">
        <f>G21+H19</f>
        <v/>
      </c>
      <c r="I21" s="61">
        <f>H21+I19</f>
        <v/>
      </c>
      <c r="J21" s="61">
        <f>I21+J19</f>
        <v/>
      </c>
      <c r="K21" s="61">
        <f>J21+K19</f>
        <v/>
      </c>
      <c r="L21" s="61">
        <f>K21+L19</f>
        <v/>
      </c>
      <c r="M21" s="61">
        <f>L21+M19</f>
        <v/>
      </c>
      <c r="N21" s="61">
        <f>M21+N19</f>
        <v/>
      </c>
      <c r="O21" s="61">
        <f>N21+O19</f>
        <v/>
      </c>
      <c r="P21" s="61">
        <f>O21+P19</f>
        <v/>
      </c>
      <c r="Q21" s="61">
        <f>P21+Q19</f>
        <v/>
      </c>
      <c r="R21" s="61">
        <f>Q21+R19</f>
        <v/>
      </c>
      <c r="S21" s="61">
        <f>R21+S19</f>
        <v/>
      </c>
      <c r="T21" s="61">
        <f>S21+T19</f>
        <v/>
      </c>
      <c r="U21" s="61">
        <f>T21+U19</f>
        <v/>
      </c>
      <c r="V21" s="61">
        <f>U21+V19</f>
        <v/>
      </c>
      <c r="W21" s="61">
        <f>V21+W19</f>
        <v/>
      </c>
      <c r="X21" s="61">
        <f>W21+X19</f>
        <v/>
      </c>
      <c r="Y21" s="61">
        <f>X21+Y19</f>
        <v/>
      </c>
      <c r="Z21" s="61">
        <f>Y21+Z19</f>
        <v/>
      </c>
      <c r="AA21" s="61">
        <f>Z21+AA19</f>
        <v/>
      </c>
      <c r="AB21" s="61">
        <f>AA21+AB19</f>
        <v/>
      </c>
    </row>
    <row r="22">
      <c r="A22" s="49" t="inlineStr"/>
      <c r="B22" s="50" t="inlineStr">
        <is>
          <t>空気調和設備工事</t>
        </is>
      </c>
      <c r="C22" s="51" t="inlineStr">
        <is>
          <t>今週出来高率</t>
        </is>
      </c>
      <c r="D22" s="52">
        <f>'金額リスト'!C11</f>
        <v/>
      </c>
      <c r="E22" s="49">
        <f>SUMPRODUCT((G23:AB23&lt;&gt;"")*(G$6:AB$6=1))</f>
        <v/>
      </c>
      <c r="F22" s="53">
        <f>SUM(G22:AB22)</f>
        <v/>
      </c>
      <c r="G22" s="54">
        <f>IF(OR($E22=0,G23="",G$6&lt;&gt;1),0,1/$E22)</f>
        <v/>
      </c>
      <c r="H22" s="54">
        <f>IF(OR($E22=0,H23="",H$6&lt;&gt;1),0,1/$E22)</f>
        <v/>
      </c>
      <c r="I22" s="54">
        <f>IF(OR($E22=0,I23="",I$6&lt;&gt;1),0,1/$E22)</f>
        <v/>
      </c>
      <c r="J22" s="54">
        <f>IF(OR($E22=0,J23="",J$6&lt;&gt;1),0,1/$E22)</f>
        <v/>
      </c>
      <c r="K22" s="54">
        <f>IF(OR($E22=0,K23="",K$6&lt;&gt;1),0,1/$E22)</f>
        <v/>
      </c>
      <c r="L22" s="54">
        <f>IF(OR($E22=0,L23="",L$6&lt;&gt;1),0,1/$E22)</f>
        <v/>
      </c>
      <c r="M22" s="54">
        <f>IF(OR($E22=0,M23="",M$6&lt;&gt;1),0,1/$E22)</f>
        <v/>
      </c>
      <c r="N22" s="54">
        <f>IF(OR($E22=0,N23="",N$6&lt;&gt;1),0,1/$E22)</f>
        <v/>
      </c>
      <c r="O22" s="54">
        <f>IF(OR($E22=0,O23="",O$6&lt;&gt;1),0,1/$E22)</f>
        <v/>
      </c>
      <c r="P22" s="54">
        <f>IF(OR($E22=0,P23="",P$6&lt;&gt;1),0,1/$E22)</f>
        <v/>
      </c>
      <c r="Q22" s="54">
        <f>IF(OR($E22=0,Q23="",Q$6&lt;&gt;1),0,1/$E22)</f>
        <v/>
      </c>
      <c r="R22" s="54">
        <f>IF(OR($E22=0,R23="",R$6&lt;&gt;1),0,1/$E22)</f>
        <v/>
      </c>
      <c r="S22" s="54">
        <f>IF(OR($E22=0,S23="",S$6&lt;&gt;1),0,1/$E22)</f>
        <v/>
      </c>
      <c r="T22" s="54">
        <f>IF(OR($E22=0,T23="",T$6&lt;&gt;1),0,1/$E22)</f>
        <v/>
      </c>
      <c r="U22" s="54">
        <f>IF(OR($E22=0,U23="",U$6&lt;&gt;1),0,1/$E22)</f>
        <v/>
      </c>
      <c r="V22" s="54">
        <f>IF(OR($E22=0,V23="",V$6&lt;&gt;1),0,1/$E22)</f>
        <v/>
      </c>
      <c r="W22" s="54">
        <f>IF(OR($E22=0,W23="",W$6&lt;&gt;1),0,1/$E22)</f>
        <v/>
      </c>
      <c r="X22" s="54">
        <f>IF(OR($E22=0,X23="",X$6&lt;&gt;1),0,1/$E22)</f>
        <v/>
      </c>
      <c r="Y22" s="54">
        <f>IF(OR($E22=0,Y23="",Y$6&lt;&gt;1),0,1/$E22)</f>
        <v/>
      </c>
      <c r="Z22" s="54">
        <f>IF(OR($E22=0,Z23="",Z$6&lt;&gt;1),0,1/$E22)</f>
        <v/>
      </c>
      <c r="AA22" s="54">
        <f>IF(OR($E22=0,AA23="",AA$6&lt;&gt;1),0,1/$E22)</f>
        <v/>
      </c>
      <c r="AB22" s="54">
        <f>IF(OR($E22=0,AB23="",AB$6&lt;&gt;1),0,1/$E22)</f>
        <v/>
      </c>
    </row>
    <row r="23">
      <c r="A23" s="55" t="n"/>
      <c r="B23" s="56" t="n"/>
      <c r="C23" s="57" t="inlineStr">
        <is>
          <t>工程</t>
        </is>
      </c>
      <c r="D23" s="58" t="n"/>
      <c r="E23" s="55" t="n"/>
      <c r="F23" s="59" t="n"/>
      <c r="G23" s="60" t="n"/>
      <c r="H23" s="60" t="n">
        <v>1</v>
      </c>
      <c r="I23" s="60" t="n"/>
      <c r="J23" s="60" t="n"/>
      <c r="K23" s="60" t="n">
        <v>1</v>
      </c>
      <c r="L23" s="60" t="n">
        <v>1</v>
      </c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</row>
    <row r="24">
      <c r="A24" s="55" t="n"/>
      <c r="B24" s="56" t="n"/>
      <c r="C24" s="57" t="inlineStr">
        <is>
          <t>累計出来高率</t>
        </is>
      </c>
      <c r="D24" s="58" t="n"/>
      <c r="E24" s="55" t="n"/>
      <c r="F24" s="59" t="n"/>
      <c r="G24" s="61">
        <f>G22</f>
        <v/>
      </c>
      <c r="H24" s="61">
        <f>G24+H22</f>
        <v/>
      </c>
      <c r="I24" s="61">
        <f>H24+I22</f>
        <v/>
      </c>
      <c r="J24" s="61">
        <f>I24+J22</f>
        <v/>
      </c>
      <c r="K24" s="61">
        <f>J24+K22</f>
        <v/>
      </c>
      <c r="L24" s="61">
        <f>K24+L22</f>
        <v/>
      </c>
      <c r="M24" s="61">
        <f>L24+M22</f>
        <v/>
      </c>
      <c r="N24" s="61">
        <f>M24+N22</f>
        <v/>
      </c>
      <c r="O24" s="61">
        <f>N24+O22</f>
        <v/>
      </c>
      <c r="P24" s="61">
        <f>O24+P22</f>
        <v/>
      </c>
      <c r="Q24" s="61">
        <f>P24+Q22</f>
        <v/>
      </c>
      <c r="R24" s="61">
        <f>Q24+R22</f>
        <v/>
      </c>
      <c r="S24" s="61">
        <f>R24+S22</f>
        <v/>
      </c>
      <c r="T24" s="61">
        <f>S24+T22</f>
        <v/>
      </c>
      <c r="U24" s="61">
        <f>T24+U22</f>
        <v/>
      </c>
      <c r="V24" s="61">
        <f>U24+V22</f>
        <v/>
      </c>
      <c r="W24" s="61">
        <f>V24+W22</f>
        <v/>
      </c>
      <c r="X24" s="61">
        <f>W24+X22</f>
        <v/>
      </c>
      <c r="Y24" s="61">
        <f>X24+Y22</f>
        <v/>
      </c>
      <c r="Z24" s="61">
        <f>Y24+Z22</f>
        <v/>
      </c>
      <c r="AA24" s="61">
        <f>Z24+AA22</f>
        <v/>
      </c>
      <c r="AB24" s="61">
        <f>AA24+AB22</f>
        <v/>
      </c>
    </row>
    <row r="25">
      <c r="A25" s="49" t="inlineStr"/>
      <c r="B25" s="50" t="inlineStr">
        <is>
          <t>衛生設備工事</t>
        </is>
      </c>
      <c r="C25" s="51" t="inlineStr">
        <is>
          <t>今週出来高率</t>
        </is>
      </c>
      <c r="D25" s="52">
        <f>'金額リスト'!C12</f>
        <v/>
      </c>
      <c r="E25" s="49">
        <f>SUMPRODUCT((G26:AB26&lt;&gt;"")*(G$6:AB$6=1))</f>
        <v/>
      </c>
      <c r="F25" s="53">
        <f>SUM(G25:AB25)</f>
        <v/>
      </c>
      <c r="G25" s="54">
        <f>IF(OR($E25=0,G26="",G$6&lt;&gt;1),0,1/$E25)</f>
        <v/>
      </c>
      <c r="H25" s="54">
        <f>IF(OR($E25=0,H26="",H$6&lt;&gt;1),0,1/$E25)</f>
        <v/>
      </c>
      <c r="I25" s="54">
        <f>IF(OR($E25=0,I26="",I$6&lt;&gt;1),0,1/$E25)</f>
        <v/>
      </c>
      <c r="J25" s="54">
        <f>IF(OR($E25=0,J26="",J$6&lt;&gt;1),0,1/$E25)</f>
        <v/>
      </c>
      <c r="K25" s="54">
        <f>IF(OR($E25=0,K26="",K$6&lt;&gt;1),0,1/$E25)</f>
        <v/>
      </c>
      <c r="L25" s="54">
        <f>IF(OR($E25=0,L26="",L$6&lt;&gt;1),0,1/$E25)</f>
        <v/>
      </c>
      <c r="M25" s="54">
        <f>IF(OR($E25=0,M26="",M$6&lt;&gt;1),0,1/$E25)</f>
        <v/>
      </c>
      <c r="N25" s="54">
        <f>IF(OR($E25=0,N26="",N$6&lt;&gt;1),0,1/$E25)</f>
        <v/>
      </c>
      <c r="O25" s="54">
        <f>IF(OR($E25=0,O26="",O$6&lt;&gt;1),0,1/$E25)</f>
        <v/>
      </c>
      <c r="P25" s="54">
        <f>IF(OR($E25=0,P26="",P$6&lt;&gt;1),0,1/$E25)</f>
        <v/>
      </c>
      <c r="Q25" s="54">
        <f>IF(OR($E25=0,Q26="",Q$6&lt;&gt;1),0,1/$E25)</f>
        <v/>
      </c>
      <c r="R25" s="54">
        <f>IF(OR($E25=0,R26="",R$6&lt;&gt;1),0,1/$E25)</f>
        <v/>
      </c>
      <c r="S25" s="54">
        <f>IF(OR($E25=0,S26="",S$6&lt;&gt;1),0,1/$E25)</f>
        <v/>
      </c>
      <c r="T25" s="54">
        <f>IF(OR($E25=0,T26="",T$6&lt;&gt;1),0,1/$E25)</f>
        <v/>
      </c>
      <c r="U25" s="54">
        <f>IF(OR($E25=0,U26="",U$6&lt;&gt;1),0,1/$E25)</f>
        <v/>
      </c>
      <c r="V25" s="54">
        <f>IF(OR($E25=0,V26="",V$6&lt;&gt;1),0,1/$E25)</f>
        <v/>
      </c>
      <c r="W25" s="54">
        <f>IF(OR($E25=0,W26="",W$6&lt;&gt;1),0,1/$E25)</f>
        <v/>
      </c>
      <c r="X25" s="54">
        <f>IF(OR($E25=0,X26="",X$6&lt;&gt;1),0,1/$E25)</f>
        <v/>
      </c>
      <c r="Y25" s="54">
        <f>IF(OR($E25=0,Y26="",Y$6&lt;&gt;1),0,1/$E25)</f>
        <v/>
      </c>
      <c r="Z25" s="54">
        <f>IF(OR($E25=0,Z26="",Z$6&lt;&gt;1),0,1/$E25)</f>
        <v/>
      </c>
      <c r="AA25" s="54">
        <f>IF(OR($E25=0,AA26="",AA$6&lt;&gt;1),0,1/$E25)</f>
        <v/>
      </c>
      <c r="AB25" s="54">
        <f>IF(OR($E25=0,AB26="",AB$6&lt;&gt;1),0,1/$E25)</f>
        <v/>
      </c>
    </row>
    <row r="26">
      <c r="A26" s="55" t="n"/>
      <c r="B26" s="56" t="n"/>
      <c r="C26" s="57" t="inlineStr">
        <is>
          <t>工程</t>
        </is>
      </c>
      <c r="D26" s="58" t="n"/>
      <c r="E26" s="55" t="n"/>
      <c r="F26" s="59" t="n"/>
      <c r="G26" s="60" t="n"/>
      <c r="H26" s="60" t="n">
        <v>1</v>
      </c>
      <c r="I26" s="60" t="n"/>
      <c r="J26" s="60" t="n"/>
      <c r="K26" s="60" t="n">
        <v>1</v>
      </c>
      <c r="L26" s="60" t="n">
        <v>1</v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  <c r="AB26" s="60" t="n"/>
    </row>
    <row r="27">
      <c r="A27" s="55" t="n"/>
      <c r="B27" s="56" t="n"/>
      <c r="C27" s="57" t="inlineStr">
        <is>
          <t>累計出来高率</t>
        </is>
      </c>
      <c r="D27" s="58" t="n"/>
      <c r="E27" s="55" t="n"/>
      <c r="F27" s="59" t="n"/>
      <c r="G27" s="61">
        <f>G25</f>
        <v/>
      </c>
      <c r="H27" s="61">
        <f>G27+H25</f>
        <v/>
      </c>
      <c r="I27" s="61">
        <f>H27+I25</f>
        <v/>
      </c>
      <c r="J27" s="61">
        <f>I27+J25</f>
        <v/>
      </c>
      <c r="K27" s="61">
        <f>J27+K25</f>
        <v/>
      </c>
      <c r="L27" s="61">
        <f>K27+L25</f>
        <v/>
      </c>
      <c r="M27" s="61">
        <f>L27+M25</f>
        <v/>
      </c>
      <c r="N27" s="61">
        <f>M27+N25</f>
        <v/>
      </c>
      <c r="O27" s="61">
        <f>N27+O25</f>
        <v/>
      </c>
      <c r="P27" s="61">
        <f>O27+P25</f>
        <v/>
      </c>
      <c r="Q27" s="61">
        <f>P27+Q25</f>
        <v/>
      </c>
      <c r="R27" s="61">
        <f>Q27+R25</f>
        <v/>
      </c>
      <c r="S27" s="61">
        <f>R27+S25</f>
        <v/>
      </c>
      <c r="T27" s="61">
        <f>S27+T25</f>
        <v/>
      </c>
      <c r="U27" s="61">
        <f>T27+U25</f>
        <v/>
      </c>
      <c r="V27" s="61">
        <f>U27+V25</f>
        <v/>
      </c>
      <c r="W27" s="61">
        <f>V27+W25</f>
        <v/>
      </c>
      <c r="X27" s="61">
        <f>W27+X25</f>
        <v/>
      </c>
      <c r="Y27" s="61">
        <f>X27+Y25</f>
        <v/>
      </c>
      <c r="Z27" s="61">
        <f>Y27+Z25</f>
        <v/>
      </c>
      <c r="AA27" s="61">
        <f>Z27+AA25</f>
        <v/>
      </c>
      <c r="AB27" s="61">
        <f>AA27+AB25</f>
        <v/>
      </c>
    </row>
    <row r="28">
      <c r="A28" s="36" t="inlineStr">
        <is>
          <t>c)</t>
        </is>
      </c>
      <c r="B28" s="37" t="inlineStr">
        <is>
          <t>改修工事</t>
        </is>
      </c>
      <c r="C28" s="38" t="inlineStr">
        <is>
          <t>今週出来高率</t>
        </is>
      </c>
      <c r="D28" s="47">
        <f>D31+D70+D73+D76</f>
        <v/>
      </c>
      <c r="E28" s="36">
        <f>COUNTIF(G28:AB28,"&gt;0")</f>
        <v/>
      </c>
      <c r="F28" s="40">
        <f>SUM(G28:AB28)</f>
        <v/>
      </c>
      <c r="G28" s="29">
        <f>IF($D28=0,0,(G31*$D31+G70*$D70+G73*$D73+G76*$D76)/$D28)</f>
        <v/>
      </c>
      <c r="H28" s="29">
        <f>IF($D28=0,0,(H31*$D31+H70*$D70+H73*$D73+H76*$D76)/$D28)</f>
        <v/>
      </c>
      <c r="I28" s="29">
        <f>IF($D28=0,0,(I31*$D31+I70*$D70+I73*$D73+I76*$D76)/$D28)</f>
        <v/>
      </c>
      <c r="J28" s="29">
        <f>IF($D28=0,0,(J31*$D31+J70*$D70+J73*$D73+J76*$D76)/$D28)</f>
        <v/>
      </c>
      <c r="K28" s="29">
        <f>IF($D28=0,0,(K31*$D31+K70*$D70+K73*$D73+K76*$D76)/$D28)</f>
        <v/>
      </c>
      <c r="L28" s="29">
        <f>IF($D28=0,0,(L31*$D31+L70*$D70+L73*$D73+L76*$D76)/$D28)</f>
        <v/>
      </c>
      <c r="M28" s="29">
        <f>IF($D28=0,0,(M31*$D31+M70*$D70+M73*$D73+M76*$D76)/$D28)</f>
        <v/>
      </c>
      <c r="N28" s="29">
        <f>IF($D28=0,0,(N31*$D31+N70*$D70+N73*$D73+N76*$D76)/$D28)</f>
        <v/>
      </c>
      <c r="O28" s="29">
        <f>IF($D28=0,0,(O31*$D31+O70*$D70+O73*$D73+O76*$D76)/$D28)</f>
        <v/>
      </c>
      <c r="P28" s="29">
        <f>IF($D28=0,0,(P31*$D31+P70*$D70+P73*$D73+P76*$D76)/$D28)</f>
        <v/>
      </c>
      <c r="Q28" s="29">
        <f>IF($D28=0,0,(Q31*$D31+Q70*$D70+Q73*$D73+Q76*$D76)/$D28)</f>
        <v/>
      </c>
      <c r="R28" s="29">
        <f>IF($D28=0,0,(R31*$D31+R70*$D70+R73*$D73+R76*$D76)/$D28)</f>
        <v/>
      </c>
      <c r="S28" s="29">
        <f>IF($D28=0,0,(S31*$D31+S70*$D70+S73*$D73+S76*$D76)/$D28)</f>
        <v/>
      </c>
      <c r="T28" s="29">
        <f>IF($D28=0,0,(T31*$D31+T70*$D70+T73*$D73+T76*$D76)/$D28)</f>
        <v/>
      </c>
      <c r="U28" s="29">
        <f>IF($D28=0,0,(U31*$D31+U70*$D70+U73*$D73+U76*$D76)/$D28)</f>
        <v/>
      </c>
      <c r="V28" s="29">
        <f>IF($D28=0,0,(V31*$D31+V70*$D70+V73*$D73+V76*$D76)/$D28)</f>
        <v/>
      </c>
      <c r="W28" s="29">
        <f>IF($D28=0,0,(W31*$D31+W70*$D70+W73*$D73+W76*$D76)/$D28)</f>
        <v/>
      </c>
      <c r="X28" s="29">
        <f>IF($D28=0,0,(X31*$D31+X70*$D70+X73*$D73+X76*$D76)/$D28)</f>
        <v/>
      </c>
      <c r="Y28" s="29">
        <f>IF($D28=0,0,(Y31*$D31+Y70*$D70+Y73*$D73+Y76*$D76)/$D28)</f>
        <v/>
      </c>
      <c r="Z28" s="29">
        <f>IF($D28=0,0,(Z31*$D31+Z70*$D70+Z73*$D73+Z76*$D76)/$D28)</f>
        <v/>
      </c>
      <c r="AA28" s="29">
        <f>IF($D28=0,0,(AA31*$D31+AA70*$D70+AA73*$D73+AA76*$D76)/$D28)</f>
        <v/>
      </c>
      <c r="AB28" s="29">
        <f>IF($D28=0,0,(AB31*$D31+AB70*$D70+AB73*$D73+AB76*$D76)/$D28)</f>
        <v/>
      </c>
    </row>
    <row r="29">
      <c r="A29" s="41" t="n"/>
      <c r="B29" s="42" t="n"/>
      <c r="C29" s="43" t="inlineStr">
        <is>
          <t>工程</t>
        </is>
      </c>
      <c r="D29" s="48" t="n"/>
      <c r="E29" s="41" t="n"/>
      <c r="F29" s="45" t="n"/>
      <c r="G29" s="34">
        <f>IF(G28&gt;0,"■","")</f>
        <v/>
      </c>
      <c r="H29" s="34">
        <f>IF(H28&gt;0,"■","")</f>
        <v/>
      </c>
      <c r="I29" s="34">
        <f>IF(I28&gt;0,"■","")</f>
        <v/>
      </c>
      <c r="J29" s="34">
        <f>IF(J28&gt;0,"■","")</f>
        <v/>
      </c>
      <c r="K29" s="34">
        <f>IF(K28&gt;0,"■","")</f>
        <v/>
      </c>
      <c r="L29" s="34">
        <f>IF(L28&gt;0,"■","")</f>
        <v/>
      </c>
      <c r="M29" s="34">
        <f>IF(M28&gt;0,"■","")</f>
        <v/>
      </c>
      <c r="N29" s="34">
        <f>IF(N28&gt;0,"■","")</f>
        <v/>
      </c>
      <c r="O29" s="34">
        <f>IF(O28&gt;0,"■","")</f>
        <v/>
      </c>
      <c r="P29" s="34">
        <f>IF(P28&gt;0,"■","")</f>
        <v/>
      </c>
      <c r="Q29" s="34">
        <f>IF(Q28&gt;0,"■","")</f>
        <v/>
      </c>
      <c r="R29" s="34">
        <f>IF(R28&gt;0,"■","")</f>
        <v/>
      </c>
      <c r="S29" s="34">
        <f>IF(S28&gt;0,"■","")</f>
        <v/>
      </c>
      <c r="T29" s="34">
        <f>IF(T28&gt;0,"■","")</f>
        <v/>
      </c>
      <c r="U29" s="34">
        <f>IF(U28&gt;0,"■","")</f>
        <v/>
      </c>
      <c r="V29" s="34">
        <f>IF(V28&gt;0,"■","")</f>
        <v/>
      </c>
      <c r="W29" s="34">
        <f>IF(W28&gt;0,"■","")</f>
        <v/>
      </c>
      <c r="X29" s="34">
        <f>IF(X28&gt;0,"■","")</f>
        <v/>
      </c>
      <c r="Y29" s="34">
        <f>IF(Y28&gt;0,"■","")</f>
        <v/>
      </c>
      <c r="Z29" s="34">
        <f>IF(Z28&gt;0,"■","")</f>
        <v/>
      </c>
      <c r="AA29" s="34">
        <f>IF(AA28&gt;0,"■","")</f>
        <v/>
      </c>
      <c r="AB29" s="34">
        <f>IF(AB28&gt;0,"■","")</f>
        <v/>
      </c>
    </row>
    <row r="30">
      <c r="A30" s="41" t="n"/>
      <c r="B30" s="42" t="n"/>
      <c r="C30" s="43" t="inlineStr">
        <is>
          <t>累計出来高率</t>
        </is>
      </c>
      <c r="D30" s="48" t="n"/>
      <c r="E30" s="41" t="n"/>
      <c r="F30" s="45" t="n"/>
      <c r="G30" s="35">
        <f>G28</f>
        <v/>
      </c>
      <c r="H30" s="35">
        <f>G30+H28</f>
        <v/>
      </c>
      <c r="I30" s="35">
        <f>H30+I28</f>
        <v/>
      </c>
      <c r="J30" s="35">
        <f>I30+J28</f>
        <v/>
      </c>
      <c r="K30" s="35">
        <f>J30+K28</f>
        <v/>
      </c>
      <c r="L30" s="35">
        <f>K30+L28</f>
        <v/>
      </c>
      <c r="M30" s="35">
        <f>L30+M28</f>
        <v/>
      </c>
      <c r="N30" s="35">
        <f>M30+N28</f>
        <v/>
      </c>
      <c r="O30" s="35">
        <f>N30+O28</f>
        <v/>
      </c>
      <c r="P30" s="35">
        <f>O30+P28</f>
        <v/>
      </c>
      <c r="Q30" s="35">
        <f>P30+Q28</f>
        <v/>
      </c>
      <c r="R30" s="35">
        <f>Q30+R28</f>
        <v/>
      </c>
      <c r="S30" s="35">
        <f>R30+S28</f>
        <v/>
      </c>
      <c r="T30" s="35">
        <f>S30+T28</f>
        <v/>
      </c>
      <c r="U30" s="35">
        <f>T30+U28</f>
        <v/>
      </c>
      <c r="V30" s="35">
        <f>U30+V28</f>
        <v/>
      </c>
      <c r="W30" s="35">
        <f>V30+W28</f>
        <v/>
      </c>
      <c r="X30" s="35">
        <f>W30+X28</f>
        <v/>
      </c>
      <c r="Y30" s="35">
        <f>X30+Y28</f>
        <v/>
      </c>
      <c r="Z30" s="35">
        <f>Y30+Z28</f>
        <v/>
      </c>
      <c r="AA30" s="35">
        <f>Z30+AA28</f>
        <v/>
      </c>
      <c r="AB30" s="35">
        <f>AA30+AB28</f>
        <v/>
      </c>
    </row>
    <row r="31">
      <c r="A31" s="49" t="inlineStr">
        <is>
          <t>c)-1</t>
        </is>
      </c>
      <c r="B31" s="50" t="inlineStr">
        <is>
          <t>建築工事</t>
        </is>
      </c>
      <c r="C31" s="51" t="inlineStr">
        <is>
          <t>今週出来高率</t>
        </is>
      </c>
      <c r="D31" s="62">
        <f>D34+D37+D40+D43+D46+D49+D52+D55+D58+D61+D64+D67</f>
        <v/>
      </c>
      <c r="E31" s="49">
        <f>COUNTIF(G31:AB31,"&gt;0")</f>
        <v/>
      </c>
      <c r="F31" s="53">
        <f>SUM(G31:AB31)</f>
        <v/>
      </c>
      <c r="G31" s="54">
        <f>IF($D31=0,0,(G34*$D34+G37*$D37+G40*$D40+G43*$D43+G46*$D46+G49*$D49+G52*$D52+G55*$D55+G58*$D58+G61*$D61+G64*$D64+G67*$D67)/$D31)</f>
        <v/>
      </c>
      <c r="H31" s="54">
        <f>IF($D31=0,0,(H34*$D34+H37*$D37+H40*$D40+H43*$D43+H46*$D46+H49*$D49+H52*$D52+H55*$D55+H58*$D58+H61*$D61+H64*$D64+H67*$D67)/$D31)</f>
        <v/>
      </c>
      <c r="I31" s="54">
        <f>IF($D31=0,0,(I34*$D34+I37*$D37+I40*$D40+I43*$D43+I46*$D46+I49*$D49+I52*$D52+I55*$D55+I58*$D58+I61*$D61+I64*$D64+I67*$D67)/$D31)</f>
        <v/>
      </c>
      <c r="J31" s="54">
        <f>IF($D31=0,0,(J34*$D34+J37*$D37+J40*$D40+J43*$D43+J46*$D46+J49*$D49+J52*$D52+J55*$D55+J58*$D58+J61*$D61+J64*$D64+J67*$D67)/$D31)</f>
        <v/>
      </c>
      <c r="K31" s="54">
        <f>IF($D31=0,0,(K34*$D34+K37*$D37+K40*$D40+K43*$D43+K46*$D46+K49*$D49+K52*$D52+K55*$D55+K58*$D58+K61*$D61+K64*$D64+K67*$D67)/$D31)</f>
        <v/>
      </c>
      <c r="L31" s="54">
        <f>IF($D31=0,0,(L34*$D34+L37*$D37+L40*$D40+L43*$D43+L46*$D46+L49*$D49+L52*$D52+L55*$D55+L58*$D58+L61*$D61+L64*$D64+L67*$D67)/$D31)</f>
        <v/>
      </c>
      <c r="M31" s="54">
        <f>IF($D31=0,0,(M34*$D34+M37*$D37+M40*$D40+M43*$D43+M46*$D46+M49*$D49+M52*$D52+M55*$D55+M58*$D58+M61*$D61+M64*$D64+M67*$D67)/$D31)</f>
        <v/>
      </c>
      <c r="N31" s="54">
        <f>IF($D31=0,0,(N34*$D34+N37*$D37+N40*$D40+N43*$D43+N46*$D46+N49*$D49+N52*$D52+N55*$D55+N58*$D58+N61*$D61+N64*$D64+N67*$D67)/$D31)</f>
        <v/>
      </c>
      <c r="O31" s="54">
        <f>IF($D31=0,0,(O34*$D34+O37*$D37+O40*$D40+O43*$D43+O46*$D46+O49*$D49+O52*$D52+O55*$D55+O58*$D58+O61*$D61+O64*$D64+O67*$D67)/$D31)</f>
        <v/>
      </c>
      <c r="P31" s="54">
        <f>IF($D31=0,0,(P34*$D34+P37*$D37+P40*$D40+P43*$D43+P46*$D46+P49*$D49+P52*$D52+P55*$D55+P58*$D58+P61*$D61+P64*$D64+P67*$D67)/$D31)</f>
        <v/>
      </c>
      <c r="Q31" s="54">
        <f>IF($D31=0,0,(Q34*$D34+Q37*$D37+Q40*$D40+Q43*$D43+Q46*$D46+Q49*$D49+Q52*$D52+Q55*$D55+Q58*$D58+Q61*$D61+Q64*$D64+Q67*$D67)/$D31)</f>
        <v/>
      </c>
      <c r="R31" s="54">
        <f>IF($D31=0,0,(R34*$D34+R37*$D37+R40*$D40+R43*$D43+R46*$D46+R49*$D49+R52*$D52+R55*$D55+R58*$D58+R61*$D61+R64*$D64+R67*$D67)/$D31)</f>
        <v/>
      </c>
      <c r="S31" s="54">
        <f>IF($D31=0,0,(S34*$D34+S37*$D37+S40*$D40+S43*$D43+S46*$D46+S49*$D49+S52*$D52+S55*$D55+S58*$D58+S61*$D61+S64*$D64+S67*$D67)/$D31)</f>
        <v/>
      </c>
      <c r="T31" s="54">
        <f>IF($D31=0,0,(T34*$D34+T37*$D37+T40*$D40+T43*$D43+T46*$D46+T49*$D49+T52*$D52+T55*$D55+T58*$D58+T61*$D61+T64*$D64+T67*$D67)/$D31)</f>
        <v/>
      </c>
      <c r="U31" s="54">
        <f>IF($D31=0,0,(U34*$D34+U37*$D37+U40*$D40+U43*$D43+U46*$D46+U49*$D49+U52*$D52+U55*$D55+U58*$D58+U61*$D61+U64*$D64+U67*$D67)/$D31)</f>
        <v/>
      </c>
      <c r="V31" s="54">
        <f>IF($D31=0,0,(V34*$D34+V37*$D37+V40*$D40+V43*$D43+V46*$D46+V49*$D49+V52*$D52+V55*$D55+V58*$D58+V61*$D61+V64*$D64+V67*$D67)/$D31)</f>
        <v/>
      </c>
      <c r="W31" s="54">
        <f>IF($D31=0,0,(W34*$D34+W37*$D37+W40*$D40+W43*$D43+W46*$D46+W49*$D49+W52*$D52+W55*$D55+W58*$D58+W61*$D61+W64*$D64+W67*$D67)/$D31)</f>
        <v/>
      </c>
      <c r="X31" s="54">
        <f>IF($D31=0,0,(X34*$D34+X37*$D37+X40*$D40+X43*$D43+X46*$D46+X49*$D49+X52*$D52+X55*$D55+X58*$D58+X61*$D61+X64*$D64+X67*$D67)/$D31)</f>
        <v/>
      </c>
      <c r="Y31" s="54">
        <f>IF($D31=0,0,(Y34*$D34+Y37*$D37+Y40*$D40+Y43*$D43+Y46*$D46+Y49*$D49+Y52*$D52+Y55*$D55+Y58*$D58+Y61*$D61+Y64*$D64+Y67*$D67)/$D31)</f>
        <v/>
      </c>
      <c r="Z31" s="54">
        <f>IF($D31=0,0,(Z34*$D34+Z37*$D37+Z40*$D40+Z43*$D43+Z46*$D46+Z49*$D49+Z52*$D52+Z55*$D55+Z58*$D58+Z61*$D61+Z64*$D64+Z67*$D67)/$D31)</f>
        <v/>
      </c>
      <c r="AA31" s="54">
        <f>IF($D31=0,0,(AA34*$D34+AA37*$D37+AA40*$D40+AA43*$D43+AA46*$D46+AA49*$D49+AA52*$D52+AA55*$D55+AA58*$D58+AA61*$D61+AA64*$D64+AA67*$D67)/$D31)</f>
        <v/>
      </c>
      <c r="AB31" s="54">
        <f>IF($D31=0,0,(AB34*$D34+AB37*$D37+AB40*$D40+AB43*$D43+AB46*$D46+AB49*$D49+AB52*$D52+AB55*$D55+AB58*$D58+AB61*$D61+AB64*$D64+AB67*$D67)/$D31)</f>
        <v/>
      </c>
    </row>
    <row r="32">
      <c r="A32" s="55" t="n"/>
      <c r="B32" s="56" t="n"/>
      <c r="C32" s="57" t="inlineStr">
        <is>
          <t>工程</t>
        </is>
      </c>
      <c r="D32" s="63" t="n"/>
      <c r="E32" s="55" t="n"/>
      <c r="F32" s="59" t="n"/>
      <c r="G32" s="64">
        <f>IF(G31&gt;0,"■","")</f>
        <v/>
      </c>
      <c r="H32" s="64">
        <f>IF(H31&gt;0,"■","")</f>
        <v/>
      </c>
      <c r="I32" s="64">
        <f>IF(I31&gt;0,"■","")</f>
        <v/>
      </c>
      <c r="J32" s="64">
        <f>IF(J31&gt;0,"■","")</f>
        <v/>
      </c>
      <c r="K32" s="64">
        <f>IF(K31&gt;0,"■","")</f>
        <v/>
      </c>
      <c r="L32" s="64">
        <f>IF(L31&gt;0,"■","")</f>
        <v/>
      </c>
      <c r="M32" s="64">
        <f>IF(M31&gt;0,"■","")</f>
        <v/>
      </c>
      <c r="N32" s="64">
        <f>IF(N31&gt;0,"■","")</f>
        <v/>
      </c>
      <c r="O32" s="64">
        <f>IF(O31&gt;0,"■","")</f>
        <v/>
      </c>
      <c r="P32" s="64">
        <f>IF(P31&gt;0,"■","")</f>
        <v/>
      </c>
      <c r="Q32" s="64">
        <f>IF(Q31&gt;0,"■","")</f>
        <v/>
      </c>
      <c r="R32" s="64">
        <f>IF(R31&gt;0,"■","")</f>
        <v/>
      </c>
      <c r="S32" s="64">
        <f>IF(S31&gt;0,"■","")</f>
        <v/>
      </c>
      <c r="T32" s="64">
        <f>IF(T31&gt;0,"■","")</f>
        <v/>
      </c>
      <c r="U32" s="64">
        <f>IF(U31&gt;0,"■","")</f>
        <v/>
      </c>
      <c r="V32" s="64">
        <f>IF(V31&gt;0,"■","")</f>
        <v/>
      </c>
      <c r="W32" s="64">
        <f>IF(W31&gt;0,"■","")</f>
        <v/>
      </c>
      <c r="X32" s="64">
        <f>IF(X31&gt;0,"■","")</f>
        <v/>
      </c>
      <c r="Y32" s="64">
        <f>IF(Y31&gt;0,"■","")</f>
        <v/>
      </c>
      <c r="Z32" s="64">
        <f>IF(Z31&gt;0,"■","")</f>
        <v/>
      </c>
      <c r="AA32" s="64">
        <f>IF(AA31&gt;0,"■","")</f>
        <v/>
      </c>
      <c r="AB32" s="64">
        <f>IF(AB31&gt;0,"■","")</f>
        <v/>
      </c>
    </row>
    <row r="33">
      <c r="A33" s="55" t="n"/>
      <c r="B33" s="56" t="n"/>
      <c r="C33" s="57" t="inlineStr">
        <is>
          <t>累計出来高率</t>
        </is>
      </c>
      <c r="D33" s="63" t="n"/>
      <c r="E33" s="55" t="n"/>
      <c r="F33" s="59" t="n"/>
      <c r="G33" s="61">
        <f>G31</f>
        <v/>
      </c>
      <c r="H33" s="61">
        <f>G33+H31</f>
        <v/>
      </c>
      <c r="I33" s="61">
        <f>H33+I31</f>
        <v/>
      </c>
      <c r="J33" s="61">
        <f>I33+J31</f>
        <v/>
      </c>
      <c r="K33" s="61">
        <f>J33+K31</f>
        <v/>
      </c>
      <c r="L33" s="61">
        <f>K33+L31</f>
        <v/>
      </c>
      <c r="M33" s="61">
        <f>L33+M31</f>
        <v/>
      </c>
      <c r="N33" s="61">
        <f>M33+N31</f>
        <v/>
      </c>
      <c r="O33" s="61">
        <f>N33+O31</f>
        <v/>
      </c>
      <c r="P33" s="61">
        <f>O33+P31</f>
        <v/>
      </c>
      <c r="Q33" s="61">
        <f>P33+Q31</f>
        <v/>
      </c>
      <c r="R33" s="61">
        <f>Q33+R31</f>
        <v/>
      </c>
      <c r="S33" s="61">
        <f>R33+S31</f>
        <v/>
      </c>
      <c r="T33" s="61">
        <f>S33+T31</f>
        <v/>
      </c>
      <c r="U33" s="61">
        <f>T33+U31</f>
        <v/>
      </c>
      <c r="V33" s="61">
        <f>U33+V31</f>
        <v/>
      </c>
      <c r="W33" s="61">
        <f>V33+W31</f>
        <v/>
      </c>
      <c r="X33" s="61">
        <f>W33+X31</f>
        <v/>
      </c>
      <c r="Y33" s="61">
        <f>X33+Y31</f>
        <v/>
      </c>
      <c r="Z33" s="61">
        <f>Y33+Z31</f>
        <v/>
      </c>
      <c r="AA33" s="61">
        <f>Z33+AA31</f>
        <v/>
      </c>
      <c r="AB33" s="61">
        <f>AA33+AB31</f>
        <v/>
      </c>
    </row>
    <row r="34">
      <c r="A34" s="65" t="inlineStr">
        <is>
          <t>1</t>
        </is>
      </c>
      <c r="B34" s="66" t="inlineStr">
        <is>
          <t>直接仮設工事</t>
        </is>
      </c>
      <c r="C34" s="67" t="inlineStr">
        <is>
          <t>今週出来高率</t>
        </is>
      </c>
      <c r="D34" s="68">
        <f>'金額リスト'!C15</f>
        <v/>
      </c>
      <c r="E34" s="65">
        <f>SUMPRODUCT((G35:AB35&lt;&gt;"")*(G$6:AB$6=1))</f>
        <v/>
      </c>
      <c r="F34" s="69">
        <f>SUM(G34:AB34)</f>
        <v/>
      </c>
      <c r="G34" s="54">
        <f>IF(OR($E34=0,G35="",G$6&lt;&gt;1),0,1/$E34)</f>
        <v/>
      </c>
      <c r="H34" s="54">
        <f>IF(OR($E34=0,H35="",H$6&lt;&gt;1),0,1/$E34)</f>
        <v/>
      </c>
      <c r="I34" s="54">
        <f>IF(OR($E34=0,I35="",I$6&lt;&gt;1),0,1/$E34)</f>
        <v/>
      </c>
      <c r="J34" s="54">
        <f>IF(OR($E34=0,J35="",J$6&lt;&gt;1),0,1/$E34)</f>
        <v/>
      </c>
      <c r="K34" s="54">
        <f>IF(OR($E34=0,K35="",K$6&lt;&gt;1),0,1/$E34)</f>
        <v/>
      </c>
      <c r="L34" s="54">
        <f>IF(OR($E34=0,L35="",L$6&lt;&gt;1),0,1/$E34)</f>
        <v/>
      </c>
      <c r="M34" s="54">
        <f>IF(OR($E34=0,M35="",M$6&lt;&gt;1),0,1/$E34)</f>
        <v/>
      </c>
      <c r="N34" s="54">
        <f>IF(OR($E34=0,N35="",N$6&lt;&gt;1),0,1/$E34)</f>
        <v/>
      </c>
      <c r="O34" s="54">
        <f>IF(OR($E34=0,O35="",O$6&lt;&gt;1),0,1/$E34)</f>
        <v/>
      </c>
      <c r="P34" s="54">
        <f>IF(OR($E34=0,P35="",P$6&lt;&gt;1),0,1/$E34)</f>
        <v/>
      </c>
      <c r="Q34" s="54">
        <f>IF(OR($E34=0,Q35="",Q$6&lt;&gt;1),0,1/$E34)</f>
        <v/>
      </c>
      <c r="R34" s="54">
        <f>IF(OR($E34=0,R35="",R$6&lt;&gt;1),0,1/$E34)</f>
        <v/>
      </c>
      <c r="S34" s="54">
        <f>IF(OR($E34=0,S35="",S$6&lt;&gt;1),0,1/$E34)</f>
        <v/>
      </c>
      <c r="T34" s="54">
        <f>IF(OR($E34=0,T35="",T$6&lt;&gt;1),0,1/$E34)</f>
        <v/>
      </c>
      <c r="U34" s="54">
        <f>IF(OR($E34=0,U35="",U$6&lt;&gt;1),0,1/$E34)</f>
        <v/>
      </c>
      <c r="V34" s="54">
        <f>IF(OR($E34=0,V35="",V$6&lt;&gt;1),0,1/$E34)</f>
        <v/>
      </c>
      <c r="W34" s="54">
        <f>IF(OR($E34=0,W35="",W$6&lt;&gt;1),0,1/$E34)</f>
        <v/>
      </c>
      <c r="X34" s="54">
        <f>IF(OR($E34=0,X35="",X$6&lt;&gt;1),0,1/$E34)</f>
        <v/>
      </c>
      <c r="Y34" s="54">
        <f>IF(OR($E34=0,Y35="",Y$6&lt;&gt;1),0,1/$E34)</f>
        <v/>
      </c>
      <c r="Z34" s="54">
        <f>IF(OR($E34=0,Z35="",Z$6&lt;&gt;1),0,1/$E34)</f>
        <v/>
      </c>
      <c r="AA34" s="54">
        <f>IF(OR($E34=0,AA35="",AA$6&lt;&gt;1),0,1/$E34)</f>
        <v/>
      </c>
      <c r="AB34" s="54">
        <f>IF(OR($E34=0,AB35="",AB$6&lt;&gt;1),0,1/$E34)</f>
        <v/>
      </c>
    </row>
    <row r="35">
      <c r="A35" s="70" t="n"/>
      <c r="B35" s="71" t="n"/>
      <c r="C35" s="72" t="inlineStr">
        <is>
          <t>工程</t>
        </is>
      </c>
      <c r="D35" s="73" t="n"/>
      <c r="E35" s="70" t="n"/>
      <c r="F35" s="74" t="n"/>
      <c r="G35" s="60" t="n"/>
      <c r="H35" s="60" t="n">
        <v>1</v>
      </c>
      <c r="I35" s="60" t="n"/>
      <c r="J35" s="60" t="n"/>
      <c r="K35" s="60" t="n">
        <v>1</v>
      </c>
      <c r="L35" s="60" t="n"/>
      <c r="M35" s="60" t="n">
        <v>1</v>
      </c>
      <c r="N35" s="60" t="n"/>
      <c r="O35" s="60" t="n"/>
      <c r="P35" s="60" t="n">
        <v>1</v>
      </c>
      <c r="Q35" s="60" t="n"/>
      <c r="R35" s="60" t="n"/>
      <c r="S35" s="60" t="n"/>
      <c r="T35" s="60" t="n"/>
      <c r="U35" s="60" t="n"/>
      <c r="V35" s="60" t="n"/>
      <c r="W35" s="60" t="n">
        <v>1</v>
      </c>
      <c r="X35" s="60" t="n"/>
      <c r="Y35" s="60" t="n"/>
      <c r="Z35" s="60" t="n">
        <v>1</v>
      </c>
      <c r="AA35" s="60" t="n"/>
      <c r="AB35" s="60" t="n"/>
    </row>
    <row r="36">
      <c r="A36" s="70" t="n"/>
      <c r="B36" s="71" t="n"/>
      <c r="C36" s="72" t="inlineStr">
        <is>
          <t>累計出来高率</t>
        </is>
      </c>
      <c r="D36" s="73" t="n"/>
      <c r="E36" s="70" t="n"/>
      <c r="F36" s="74" t="n"/>
      <c r="G36" s="61">
        <f>G34</f>
        <v/>
      </c>
      <c r="H36" s="61">
        <f>G36+H34</f>
        <v/>
      </c>
      <c r="I36" s="61">
        <f>H36+I34</f>
        <v/>
      </c>
      <c r="J36" s="61">
        <f>I36+J34</f>
        <v/>
      </c>
      <c r="K36" s="61">
        <f>J36+K34</f>
        <v/>
      </c>
      <c r="L36" s="61">
        <f>K36+L34</f>
        <v/>
      </c>
      <c r="M36" s="61">
        <f>L36+M34</f>
        <v/>
      </c>
      <c r="N36" s="61">
        <f>M36+N34</f>
        <v/>
      </c>
      <c r="O36" s="61">
        <f>N36+O34</f>
        <v/>
      </c>
      <c r="P36" s="61">
        <f>O36+P34</f>
        <v/>
      </c>
      <c r="Q36" s="61">
        <f>P36+Q34</f>
        <v/>
      </c>
      <c r="R36" s="61">
        <f>Q36+R34</f>
        <v/>
      </c>
      <c r="S36" s="61">
        <f>R36+S34</f>
        <v/>
      </c>
      <c r="T36" s="61">
        <f>S36+T34</f>
        <v/>
      </c>
      <c r="U36" s="61">
        <f>T36+U34</f>
        <v/>
      </c>
      <c r="V36" s="61">
        <f>U36+V34</f>
        <v/>
      </c>
      <c r="W36" s="61">
        <f>V36+W34</f>
        <v/>
      </c>
      <c r="X36" s="61">
        <f>W36+X34</f>
        <v/>
      </c>
      <c r="Y36" s="61">
        <f>X36+Y34</f>
        <v/>
      </c>
      <c r="Z36" s="61">
        <f>Y36+Z34</f>
        <v/>
      </c>
      <c r="AA36" s="61">
        <f>Z36+AA34</f>
        <v/>
      </c>
      <c r="AB36" s="61">
        <f>AA36+AB34</f>
        <v/>
      </c>
    </row>
    <row r="37">
      <c r="A37" s="65" t="inlineStr">
        <is>
          <t>2</t>
        </is>
      </c>
      <c r="B37" s="66" t="inlineStr">
        <is>
          <t>躯体工事</t>
        </is>
      </c>
      <c r="C37" s="67" t="inlineStr">
        <is>
          <t>今週出来高率</t>
        </is>
      </c>
      <c r="D37" s="68">
        <f>'金額リスト'!C16</f>
        <v/>
      </c>
      <c r="E37" s="65">
        <f>SUMPRODUCT((G38:AB38&lt;&gt;"")*(G$6:AB$6=1))</f>
        <v/>
      </c>
      <c r="F37" s="69">
        <f>SUM(G37:AB37)</f>
        <v/>
      </c>
      <c r="G37" s="54">
        <f>IF(OR($E37=0,G38="",G$6&lt;&gt;1),0,1/$E37)</f>
        <v/>
      </c>
      <c r="H37" s="54">
        <f>IF(OR($E37=0,H38="",H$6&lt;&gt;1),0,1/$E37)</f>
        <v/>
      </c>
      <c r="I37" s="54">
        <f>IF(OR($E37=0,I38="",I$6&lt;&gt;1),0,1/$E37)</f>
        <v/>
      </c>
      <c r="J37" s="54">
        <f>IF(OR($E37=0,J38="",J$6&lt;&gt;1),0,1/$E37)</f>
        <v/>
      </c>
      <c r="K37" s="54">
        <f>IF(OR($E37=0,K38="",K$6&lt;&gt;1),0,1/$E37)</f>
        <v/>
      </c>
      <c r="L37" s="54">
        <f>IF(OR($E37=0,L38="",L$6&lt;&gt;1),0,1/$E37)</f>
        <v/>
      </c>
      <c r="M37" s="54">
        <f>IF(OR($E37=0,M38="",M$6&lt;&gt;1),0,1/$E37)</f>
        <v/>
      </c>
      <c r="N37" s="54">
        <f>IF(OR($E37=0,N38="",N$6&lt;&gt;1),0,1/$E37)</f>
        <v/>
      </c>
      <c r="O37" s="54">
        <f>IF(OR($E37=0,O38="",O$6&lt;&gt;1),0,1/$E37)</f>
        <v/>
      </c>
      <c r="P37" s="54">
        <f>IF(OR($E37=0,P38="",P$6&lt;&gt;1),0,1/$E37)</f>
        <v/>
      </c>
      <c r="Q37" s="54">
        <f>IF(OR($E37=0,Q38="",Q$6&lt;&gt;1),0,1/$E37)</f>
        <v/>
      </c>
      <c r="R37" s="54">
        <f>IF(OR($E37=0,R38="",R$6&lt;&gt;1),0,1/$E37)</f>
        <v/>
      </c>
      <c r="S37" s="54">
        <f>IF(OR($E37=0,S38="",S$6&lt;&gt;1),0,1/$E37)</f>
        <v/>
      </c>
      <c r="T37" s="54">
        <f>IF(OR($E37=0,T38="",T$6&lt;&gt;1),0,1/$E37)</f>
        <v/>
      </c>
      <c r="U37" s="54">
        <f>IF(OR($E37=0,U38="",U$6&lt;&gt;1),0,1/$E37)</f>
        <v/>
      </c>
      <c r="V37" s="54">
        <f>IF(OR($E37=0,V38="",V$6&lt;&gt;1),0,1/$E37)</f>
        <v/>
      </c>
      <c r="W37" s="54">
        <f>IF(OR($E37=0,W38="",W$6&lt;&gt;1),0,1/$E37)</f>
        <v/>
      </c>
      <c r="X37" s="54">
        <f>IF(OR($E37=0,X38="",X$6&lt;&gt;1),0,1/$E37)</f>
        <v/>
      </c>
      <c r="Y37" s="54">
        <f>IF(OR($E37=0,Y38="",Y$6&lt;&gt;1),0,1/$E37)</f>
        <v/>
      </c>
      <c r="Z37" s="54">
        <f>IF(OR($E37=0,Z38="",Z$6&lt;&gt;1),0,1/$E37)</f>
        <v/>
      </c>
      <c r="AA37" s="54">
        <f>IF(OR($E37=0,AA38="",AA$6&lt;&gt;1),0,1/$E37)</f>
        <v/>
      </c>
      <c r="AB37" s="54">
        <f>IF(OR($E37=0,AB38="",AB$6&lt;&gt;1),0,1/$E37)</f>
        <v/>
      </c>
    </row>
    <row r="38">
      <c r="A38" s="70" t="n"/>
      <c r="B38" s="71" t="n"/>
      <c r="C38" s="72" t="inlineStr">
        <is>
          <t>工程</t>
        </is>
      </c>
      <c r="D38" s="73" t="n"/>
      <c r="E38" s="70" t="n"/>
      <c r="F38" s="74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</row>
    <row r="39">
      <c r="A39" s="70" t="n"/>
      <c r="B39" s="71" t="n"/>
      <c r="C39" s="72" t="inlineStr">
        <is>
          <t>累計出来高率</t>
        </is>
      </c>
      <c r="D39" s="73" t="n"/>
      <c r="E39" s="70" t="n"/>
      <c r="F39" s="74" t="n"/>
      <c r="G39" s="61">
        <f>G37</f>
        <v/>
      </c>
      <c r="H39" s="61">
        <f>G39+H37</f>
        <v/>
      </c>
      <c r="I39" s="61">
        <f>H39+I37</f>
        <v/>
      </c>
      <c r="J39" s="61">
        <f>I39+J37</f>
        <v/>
      </c>
      <c r="K39" s="61">
        <f>J39+K37</f>
        <v/>
      </c>
      <c r="L39" s="61">
        <f>K39+L37</f>
        <v/>
      </c>
      <c r="M39" s="61">
        <f>L39+M37</f>
        <v/>
      </c>
      <c r="N39" s="61">
        <f>M39+N37</f>
        <v/>
      </c>
      <c r="O39" s="61">
        <f>N39+O37</f>
        <v/>
      </c>
      <c r="P39" s="61">
        <f>O39+P37</f>
        <v/>
      </c>
      <c r="Q39" s="61">
        <f>P39+Q37</f>
        <v/>
      </c>
      <c r="R39" s="61">
        <f>Q39+R37</f>
        <v/>
      </c>
      <c r="S39" s="61">
        <f>R39+S37</f>
        <v/>
      </c>
      <c r="T39" s="61">
        <f>S39+T37</f>
        <v/>
      </c>
      <c r="U39" s="61">
        <f>T39+U37</f>
        <v/>
      </c>
      <c r="V39" s="61">
        <f>U39+V37</f>
        <v/>
      </c>
      <c r="W39" s="61">
        <f>V39+W37</f>
        <v/>
      </c>
      <c r="X39" s="61">
        <f>W39+X37</f>
        <v/>
      </c>
      <c r="Y39" s="61">
        <f>X39+Y37</f>
        <v/>
      </c>
      <c r="Z39" s="61">
        <f>Y39+Z37</f>
        <v/>
      </c>
      <c r="AA39" s="61">
        <f>Z39+AA37</f>
        <v/>
      </c>
      <c r="AB39" s="61">
        <f>AA39+AB37</f>
        <v/>
      </c>
    </row>
    <row r="40">
      <c r="A40" s="65" t="inlineStr">
        <is>
          <t>3</t>
        </is>
      </c>
      <c r="B40" s="66" t="inlineStr">
        <is>
          <t>防水工事</t>
        </is>
      </c>
      <c r="C40" s="67" t="inlineStr">
        <is>
          <t>今週出来高率</t>
        </is>
      </c>
      <c r="D40" s="68">
        <f>'金額リスト'!C17</f>
        <v/>
      </c>
      <c r="E40" s="65">
        <f>SUMPRODUCT((G41:AB41&lt;&gt;"")*(G$6:AB$6=1))</f>
        <v/>
      </c>
      <c r="F40" s="69">
        <f>SUM(G40:AB40)</f>
        <v/>
      </c>
      <c r="G40" s="54">
        <f>IF(OR($E40=0,G41="",G$6&lt;&gt;1),0,1/$E40)</f>
        <v/>
      </c>
      <c r="H40" s="54">
        <f>IF(OR($E40=0,H41="",H$6&lt;&gt;1),0,1/$E40)</f>
        <v/>
      </c>
      <c r="I40" s="54">
        <f>IF(OR($E40=0,I41="",I$6&lt;&gt;1),0,1/$E40)</f>
        <v/>
      </c>
      <c r="J40" s="54">
        <f>IF(OR($E40=0,J41="",J$6&lt;&gt;1),0,1/$E40)</f>
        <v/>
      </c>
      <c r="K40" s="54">
        <f>IF(OR($E40=0,K41="",K$6&lt;&gt;1),0,1/$E40)</f>
        <v/>
      </c>
      <c r="L40" s="54">
        <f>IF(OR($E40=0,L41="",L$6&lt;&gt;1),0,1/$E40)</f>
        <v/>
      </c>
      <c r="M40" s="54">
        <f>IF(OR($E40=0,M41="",M$6&lt;&gt;1),0,1/$E40)</f>
        <v/>
      </c>
      <c r="N40" s="54">
        <f>IF(OR($E40=0,N41="",N$6&lt;&gt;1),0,1/$E40)</f>
        <v/>
      </c>
      <c r="O40" s="54">
        <f>IF(OR($E40=0,O41="",O$6&lt;&gt;1),0,1/$E40)</f>
        <v/>
      </c>
      <c r="P40" s="54">
        <f>IF(OR($E40=0,P41="",P$6&lt;&gt;1),0,1/$E40)</f>
        <v/>
      </c>
      <c r="Q40" s="54">
        <f>IF(OR($E40=0,Q41="",Q$6&lt;&gt;1),0,1/$E40)</f>
        <v/>
      </c>
      <c r="R40" s="54">
        <f>IF(OR($E40=0,R41="",R$6&lt;&gt;1),0,1/$E40)</f>
        <v/>
      </c>
      <c r="S40" s="54">
        <f>IF(OR($E40=0,S41="",S$6&lt;&gt;1),0,1/$E40)</f>
        <v/>
      </c>
      <c r="T40" s="54">
        <f>IF(OR($E40=0,T41="",T$6&lt;&gt;1),0,1/$E40)</f>
        <v/>
      </c>
      <c r="U40" s="54">
        <f>IF(OR($E40=0,U41="",U$6&lt;&gt;1),0,1/$E40)</f>
        <v/>
      </c>
      <c r="V40" s="54">
        <f>IF(OR($E40=0,V41="",V$6&lt;&gt;1),0,1/$E40)</f>
        <v/>
      </c>
      <c r="W40" s="54">
        <f>IF(OR($E40=0,W41="",W$6&lt;&gt;1),0,1/$E40)</f>
        <v/>
      </c>
      <c r="X40" s="54">
        <f>IF(OR($E40=0,X41="",X$6&lt;&gt;1),0,1/$E40)</f>
        <v/>
      </c>
      <c r="Y40" s="54">
        <f>IF(OR($E40=0,Y41="",Y$6&lt;&gt;1),0,1/$E40)</f>
        <v/>
      </c>
      <c r="Z40" s="54">
        <f>IF(OR($E40=0,Z41="",Z$6&lt;&gt;1),0,1/$E40)</f>
        <v/>
      </c>
      <c r="AA40" s="54">
        <f>IF(OR($E40=0,AA41="",AA$6&lt;&gt;1),0,1/$E40)</f>
        <v/>
      </c>
      <c r="AB40" s="54">
        <f>IF(OR($E40=0,AB41="",AB$6&lt;&gt;1),0,1/$E40)</f>
        <v/>
      </c>
    </row>
    <row r="41">
      <c r="A41" s="70" t="n"/>
      <c r="B41" s="71" t="n"/>
      <c r="C41" s="72" t="inlineStr">
        <is>
          <t>工程</t>
        </is>
      </c>
      <c r="D41" s="73" t="n"/>
      <c r="E41" s="70" t="n"/>
      <c r="F41" s="74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</row>
    <row r="42">
      <c r="A42" s="70" t="n"/>
      <c r="B42" s="71" t="n"/>
      <c r="C42" s="72" t="inlineStr">
        <is>
          <t>累計出来高率</t>
        </is>
      </c>
      <c r="D42" s="73" t="n"/>
      <c r="E42" s="70" t="n"/>
      <c r="F42" s="74" t="n"/>
      <c r="G42" s="61">
        <f>G40</f>
        <v/>
      </c>
      <c r="H42" s="61">
        <f>G42+H40</f>
        <v/>
      </c>
      <c r="I42" s="61">
        <f>H42+I40</f>
        <v/>
      </c>
      <c r="J42" s="61">
        <f>I42+J40</f>
        <v/>
      </c>
      <c r="K42" s="61">
        <f>J42+K40</f>
        <v/>
      </c>
      <c r="L42" s="61">
        <f>K42+L40</f>
        <v/>
      </c>
      <c r="M42" s="61">
        <f>L42+M40</f>
        <v/>
      </c>
      <c r="N42" s="61">
        <f>M42+N40</f>
        <v/>
      </c>
      <c r="O42" s="61">
        <f>N42+O40</f>
        <v/>
      </c>
      <c r="P42" s="61">
        <f>O42+P40</f>
        <v/>
      </c>
      <c r="Q42" s="61">
        <f>P42+Q40</f>
        <v/>
      </c>
      <c r="R42" s="61">
        <f>Q42+R40</f>
        <v/>
      </c>
      <c r="S42" s="61">
        <f>R42+S40</f>
        <v/>
      </c>
      <c r="T42" s="61">
        <f>S42+T40</f>
        <v/>
      </c>
      <c r="U42" s="61">
        <f>T42+U40</f>
        <v/>
      </c>
      <c r="V42" s="61">
        <f>U42+V40</f>
        <v/>
      </c>
      <c r="W42" s="61">
        <f>V42+W40</f>
        <v/>
      </c>
      <c r="X42" s="61">
        <f>W42+X40</f>
        <v/>
      </c>
      <c r="Y42" s="61">
        <f>X42+Y40</f>
        <v/>
      </c>
      <c r="Z42" s="61">
        <f>Y42+Z40</f>
        <v/>
      </c>
      <c r="AA42" s="61">
        <f>Z42+AA40</f>
        <v/>
      </c>
      <c r="AB42" s="61">
        <f>AA42+AB40</f>
        <v/>
      </c>
    </row>
    <row r="43">
      <c r="A43" s="65" t="inlineStr">
        <is>
          <t>4</t>
        </is>
      </c>
      <c r="B43" s="66" t="inlineStr">
        <is>
          <t>タイル工事</t>
        </is>
      </c>
      <c r="C43" s="67" t="inlineStr">
        <is>
          <t>今週出来高率</t>
        </is>
      </c>
      <c r="D43" s="68">
        <f>'金額リスト'!C18</f>
        <v/>
      </c>
      <c r="E43" s="65">
        <f>SUMPRODUCT((G44:AB44&lt;&gt;"")*(G$6:AB$6=1))</f>
        <v/>
      </c>
      <c r="F43" s="69">
        <f>SUM(G43:AB43)</f>
        <v/>
      </c>
      <c r="G43" s="54">
        <f>IF(OR($E43=0,G44="",G$6&lt;&gt;1),0,1/$E43)</f>
        <v/>
      </c>
      <c r="H43" s="54">
        <f>IF(OR($E43=0,H44="",H$6&lt;&gt;1),0,1/$E43)</f>
        <v/>
      </c>
      <c r="I43" s="54">
        <f>IF(OR($E43=0,I44="",I$6&lt;&gt;1),0,1/$E43)</f>
        <v/>
      </c>
      <c r="J43" s="54">
        <f>IF(OR($E43=0,J44="",J$6&lt;&gt;1),0,1/$E43)</f>
        <v/>
      </c>
      <c r="K43" s="54">
        <f>IF(OR($E43=0,K44="",K$6&lt;&gt;1),0,1/$E43)</f>
        <v/>
      </c>
      <c r="L43" s="54">
        <f>IF(OR($E43=0,L44="",L$6&lt;&gt;1),0,1/$E43)</f>
        <v/>
      </c>
      <c r="M43" s="54">
        <f>IF(OR($E43=0,M44="",M$6&lt;&gt;1),0,1/$E43)</f>
        <v/>
      </c>
      <c r="N43" s="54">
        <f>IF(OR($E43=0,N44="",N$6&lt;&gt;1),0,1/$E43)</f>
        <v/>
      </c>
      <c r="O43" s="54">
        <f>IF(OR($E43=0,O44="",O$6&lt;&gt;1),0,1/$E43)</f>
        <v/>
      </c>
      <c r="P43" s="54">
        <f>IF(OR($E43=0,P44="",P$6&lt;&gt;1),0,1/$E43)</f>
        <v/>
      </c>
      <c r="Q43" s="54">
        <f>IF(OR($E43=0,Q44="",Q$6&lt;&gt;1),0,1/$E43)</f>
        <v/>
      </c>
      <c r="R43" s="54">
        <f>IF(OR($E43=0,R44="",R$6&lt;&gt;1),0,1/$E43)</f>
        <v/>
      </c>
      <c r="S43" s="54">
        <f>IF(OR($E43=0,S44="",S$6&lt;&gt;1),0,1/$E43)</f>
        <v/>
      </c>
      <c r="T43" s="54">
        <f>IF(OR($E43=0,T44="",T$6&lt;&gt;1),0,1/$E43)</f>
        <v/>
      </c>
      <c r="U43" s="54">
        <f>IF(OR($E43=0,U44="",U$6&lt;&gt;1),0,1/$E43)</f>
        <v/>
      </c>
      <c r="V43" s="54">
        <f>IF(OR($E43=0,V44="",V$6&lt;&gt;1),0,1/$E43)</f>
        <v/>
      </c>
      <c r="W43" s="54">
        <f>IF(OR($E43=0,W44="",W$6&lt;&gt;1),0,1/$E43)</f>
        <v/>
      </c>
      <c r="X43" s="54">
        <f>IF(OR($E43=0,X44="",X$6&lt;&gt;1),0,1/$E43)</f>
        <v/>
      </c>
      <c r="Y43" s="54">
        <f>IF(OR($E43=0,Y44="",Y$6&lt;&gt;1),0,1/$E43)</f>
        <v/>
      </c>
      <c r="Z43" s="54">
        <f>IF(OR($E43=0,Z44="",Z$6&lt;&gt;1),0,1/$E43)</f>
        <v/>
      </c>
      <c r="AA43" s="54">
        <f>IF(OR($E43=0,AA44="",AA$6&lt;&gt;1),0,1/$E43)</f>
        <v/>
      </c>
      <c r="AB43" s="54">
        <f>IF(OR($E43=0,AB44="",AB$6&lt;&gt;1),0,1/$E43)</f>
        <v/>
      </c>
    </row>
    <row r="44">
      <c r="A44" s="70" t="n"/>
      <c r="B44" s="71" t="n"/>
      <c r="C44" s="72" t="inlineStr">
        <is>
          <t>工程</t>
        </is>
      </c>
      <c r="D44" s="73" t="n"/>
      <c r="E44" s="70" t="n"/>
      <c r="F44" s="74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>
        <v>1</v>
      </c>
      <c r="U44" s="60" t="n">
        <v>1</v>
      </c>
      <c r="V44" s="60" t="n">
        <v>1</v>
      </c>
      <c r="W44" s="60" t="n"/>
      <c r="X44" s="60" t="n">
        <v>1</v>
      </c>
      <c r="Y44" s="60" t="n">
        <v>1</v>
      </c>
      <c r="Z44" s="60" t="n">
        <v>1</v>
      </c>
      <c r="AA44" s="60" t="n"/>
      <c r="AB44" s="60" t="n"/>
    </row>
    <row r="45">
      <c r="A45" s="70" t="n"/>
      <c r="B45" s="71" t="n"/>
      <c r="C45" s="72" t="inlineStr">
        <is>
          <t>累計出来高率</t>
        </is>
      </c>
      <c r="D45" s="73" t="n"/>
      <c r="E45" s="70" t="n"/>
      <c r="F45" s="74" t="n"/>
      <c r="G45" s="61">
        <f>G43</f>
        <v/>
      </c>
      <c r="H45" s="61">
        <f>G45+H43</f>
        <v/>
      </c>
      <c r="I45" s="61">
        <f>H45+I43</f>
        <v/>
      </c>
      <c r="J45" s="61">
        <f>I45+J43</f>
        <v/>
      </c>
      <c r="K45" s="61">
        <f>J45+K43</f>
        <v/>
      </c>
      <c r="L45" s="61">
        <f>K45+L43</f>
        <v/>
      </c>
      <c r="M45" s="61">
        <f>L45+M43</f>
        <v/>
      </c>
      <c r="N45" s="61">
        <f>M45+N43</f>
        <v/>
      </c>
      <c r="O45" s="61">
        <f>N45+O43</f>
        <v/>
      </c>
      <c r="P45" s="61">
        <f>O45+P43</f>
        <v/>
      </c>
      <c r="Q45" s="61">
        <f>P45+Q43</f>
        <v/>
      </c>
      <c r="R45" s="61">
        <f>Q45+R43</f>
        <v/>
      </c>
      <c r="S45" s="61">
        <f>R45+S43</f>
        <v/>
      </c>
      <c r="T45" s="61">
        <f>S45+T43</f>
        <v/>
      </c>
      <c r="U45" s="61">
        <f>T45+U43</f>
        <v/>
      </c>
      <c r="V45" s="61">
        <f>U45+V43</f>
        <v/>
      </c>
      <c r="W45" s="61">
        <f>V45+W43</f>
        <v/>
      </c>
      <c r="X45" s="61">
        <f>W45+X43</f>
        <v/>
      </c>
      <c r="Y45" s="61">
        <f>X45+Y43</f>
        <v/>
      </c>
      <c r="Z45" s="61">
        <f>Y45+Z43</f>
        <v/>
      </c>
      <c r="AA45" s="61">
        <f>Z45+AA43</f>
        <v/>
      </c>
      <c r="AB45" s="61">
        <f>AA45+AB43</f>
        <v/>
      </c>
    </row>
    <row r="46">
      <c r="A46" s="65" t="inlineStr">
        <is>
          <t>5</t>
        </is>
      </c>
      <c r="B46" s="66" t="inlineStr">
        <is>
          <t>金属工事</t>
        </is>
      </c>
      <c r="C46" s="67" t="inlineStr">
        <is>
          <t>今週出来高率</t>
        </is>
      </c>
      <c r="D46" s="68">
        <f>'金額リスト'!C19</f>
        <v/>
      </c>
      <c r="E46" s="65">
        <f>SUMPRODUCT((G47:AB47&lt;&gt;"")*(G$6:AB$6=1))</f>
        <v/>
      </c>
      <c r="F46" s="69">
        <f>SUM(G46:AB46)</f>
        <v/>
      </c>
      <c r="G46" s="54">
        <f>IF(OR($E46=0,G47="",G$6&lt;&gt;1),0,1/$E46)</f>
        <v/>
      </c>
      <c r="H46" s="54">
        <f>IF(OR($E46=0,H47="",H$6&lt;&gt;1),0,1/$E46)</f>
        <v/>
      </c>
      <c r="I46" s="54">
        <f>IF(OR($E46=0,I47="",I$6&lt;&gt;1),0,1/$E46)</f>
        <v/>
      </c>
      <c r="J46" s="54">
        <f>IF(OR($E46=0,J47="",J$6&lt;&gt;1),0,1/$E46)</f>
        <v/>
      </c>
      <c r="K46" s="54">
        <f>IF(OR($E46=0,K47="",K$6&lt;&gt;1),0,1/$E46)</f>
        <v/>
      </c>
      <c r="L46" s="54">
        <f>IF(OR($E46=0,L47="",L$6&lt;&gt;1),0,1/$E46)</f>
        <v/>
      </c>
      <c r="M46" s="54">
        <f>IF(OR($E46=0,M47="",M$6&lt;&gt;1),0,1/$E46)</f>
        <v/>
      </c>
      <c r="N46" s="54">
        <f>IF(OR($E46=0,N47="",N$6&lt;&gt;1),0,1/$E46)</f>
        <v/>
      </c>
      <c r="O46" s="54">
        <f>IF(OR($E46=0,O47="",O$6&lt;&gt;1),0,1/$E46)</f>
        <v/>
      </c>
      <c r="P46" s="54">
        <f>IF(OR($E46=0,P47="",P$6&lt;&gt;1),0,1/$E46)</f>
        <v/>
      </c>
      <c r="Q46" s="54">
        <f>IF(OR($E46=0,Q47="",Q$6&lt;&gt;1),0,1/$E46)</f>
        <v/>
      </c>
      <c r="R46" s="54">
        <f>IF(OR($E46=0,R47="",R$6&lt;&gt;1),0,1/$E46)</f>
        <v/>
      </c>
      <c r="S46" s="54">
        <f>IF(OR($E46=0,S47="",S$6&lt;&gt;1),0,1/$E46)</f>
        <v/>
      </c>
      <c r="T46" s="54">
        <f>IF(OR($E46=0,T47="",T$6&lt;&gt;1),0,1/$E46)</f>
        <v/>
      </c>
      <c r="U46" s="54">
        <f>IF(OR($E46=0,U47="",U$6&lt;&gt;1),0,1/$E46)</f>
        <v/>
      </c>
      <c r="V46" s="54">
        <f>IF(OR($E46=0,V47="",V$6&lt;&gt;1),0,1/$E46)</f>
        <v/>
      </c>
      <c r="W46" s="54">
        <f>IF(OR($E46=0,W47="",W$6&lt;&gt;1),0,1/$E46)</f>
        <v/>
      </c>
      <c r="X46" s="54">
        <f>IF(OR($E46=0,X47="",X$6&lt;&gt;1),0,1/$E46)</f>
        <v/>
      </c>
      <c r="Y46" s="54">
        <f>IF(OR($E46=0,Y47="",Y$6&lt;&gt;1),0,1/$E46)</f>
        <v/>
      </c>
      <c r="Z46" s="54">
        <f>IF(OR($E46=0,Z47="",Z$6&lt;&gt;1),0,1/$E46)</f>
        <v/>
      </c>
      <c r="AA46" s="54">
        <f>IF(OR($E46=0,AA47="",AA$6&lt;&gt;1),0,1/$E46)</f>
        <v/>
      </c>
      <c r="AB46" s="54">
        <f>IF(OR($E46=0,AB47="",AB$6&lt;&gt;1),0,1/$E46)</f>
        <v/>
      </c>
    </row>
    <row r="47">
      <c r="A47" s="70" t="n"/>
      <c r="B47" s="71" t="n"/>
      <c r="C47" s="72" t="inlineStr">
        <is>
          <t>工程</t>
        </is>
      </c>
      <c r="D47" s="73" t="n"/>
      <c r="E47" s="70" t="n"/>
      <c r="F47" s="74" t="n"/>
      <c r="G47" s="60" t="n"/>
      <c r="H47" s="60" t="n"/>
      <c r="I47" s="60" t="n"/>
      <c r="J47" s="60" t="n"/>
      <c r="K47" s="60" t="n"/>
      <c r="L47" s="60" t="n">
        <v>1</v>
      </c>
      <c r="M47" s="60" t="n">
        <v>1</v>
      </c>
      <c r="N47" s="60" t="n">
        <v>1</v>
      </c>
      <c r="O47" s="60" t="n"/>
      <c r="P47" s="60" t="n"/>
      <c r="Q47" s="60" t="n"/>
      <c r="R47" s="60" t="n"/>
      <c r="S47" s="60" t="n"/>
      <c r="T47" s="60" t="n"/>
      <c r="U47" s="60" t="n">
        <v>1</v>
      </c>
      <c r="V47" s="60" t="n"/>
      <c r="W47" s="60" t="n">
        <v>1</v>
      </c>
      <c r="X47" s="60" t="n"/>
      <c r="Y47" s="60" t="n"/>
      <c r="Z47" s="60" t="n"/>
      <c r="AA47" s="60" t="n"/>
      <c r="AB47" s="60" t="n"/>
    </row>
    <row r="48">
      <c r="A48" s="70" t="n"/>
      <c r="B48" s="71" t="n"/>
      <c r="C48" s="72" t="inlineStr">
        <is>
          <t>累計出来高率</t>
        </is>
      </c>
      <c r="D48" s="73" t="n"/>
      <c r="E48" s="70" t="n"/>
      <c r="F48" s="74" t="n"/>
      <c r="G48" s="61">
        <f>G46</f>
        <v/>
      </c>
      <c r="H48" s="61">
        <f>G48+H46</f>
        <v/>
      </c>
      <c r="I48" s="61">
        <f>H48+I46</f>
        <v/>
      </c>
      <c r="J48" s="61">
        <f>I48+J46</f>
        <v/>
      </c>
      <c r="K48" s="61">
        <f>J48+K46</f>
        <v/>
      </c>
      <c r="L48" s="61">
        <f>K48+L46</f>
        <v/>
      </c>
      <c r="M48" s="61">
        <f>L48+M46</f>
        <v/>
      </c>
      <c r="N48" s="61">
        <f>M48+N46</f>
        <v/>
      </c>
      <c r="O48" s="61">
        <f>N48+O46</f>
        <v/>
      </c>
      <c r="P48" s="61">
        <f>O48+P46</f>
        <v/>
      </c>
      <c r="Q48" s="61">
        <f>P48+Q46</f>
        <v/>
      </c>
      <c r="R48" s="61">
        <f>Q48+R46</f>
        <v/>
      </c>
      <c r="S48" s="61">
        <f>R48+S46</f>
        <v/>
      </c>
      <c r="T48" s="61">
        <f>S48+T46</f>
        <v/>
      </c>
      <c r="U48" s="61">
        <f>T48+U46</f>
        <v/>
      </c>
      <c r="V48" s="61">
        <f>U48+V46</f>
        <v/>
      </c>
      <c r="W48" s="61">
        <f>V48+W46</f>
        <v/>
      </c>
      <c r="X48" s="61">
        <f>W48+X46</f>
        <v/>
      </c>
      <c r="Y48" s="61">
        <f>X48+Y46</f>
        <v/>
      </c>
      <c r="Z48" s="61">
        <f>Y48+Z46</f>
        <v/>
      </c>
      <c r="AA48" s="61">
        <f>Z48+AA46</f>
        <v/>
      </c>
      <c r="AB48" s="61">
        <f>AA48+AB46</f>
        <v/>
      </c>
    </row>
    <row r="49">
      <c r="A49" s="65" t="inlineStr">
        <is>
          <t>6</t>
        </is>
      </c>
      <c r="B49" s="66" t="inlineStr">
        <is>
          <t>金属製建具工事</t>
        </is>
      </c>
      <c r="C49" s="67" t="inlineStr">
        <is>
          <t>今週出来高率</t>
        </is>
      </c>
      <c r="D49" s="68">
        <f>'金額リスト'!C20</f>
        <v/>
      </c>
      <c r="E49" s="65">
        <f>SUMPRODUCT((G50:AB50&lt;&gt;"")*(G$6:AB$6=1))</f>
        <v/>
      </c>
      <c r="F49" s="69">
        <f>SUM(G49:AB49)</f>
        <v/>
      </c>
      <c r="G49" s="54">
        <f>IF(OR($E49=0,G50="",G$6&lt;&gt;1),0,1/$E49)</f>
        <v/>
      </c>
      <c r="H49" s="54">
        <f>IF(OR($E49=0,H50="",H$6&lt;&gt;1),0,1/$E49)</f>
        <v/>
      </c>
      <c r="I49" s="54">
        <f>IF(OR($E49=0,I50="",I$6&lt;&gt;1),0,1/$E49)</f>
        <v/>
      </c>
      <c r="J49" s="54">
        <f>IF(OR($E49=0,J50="",J$6&lt;&gt;1),0,1/$E49)</f>
        <v/>
      </c>
      <c r="K49" s="54">
        <f>IF(OR($E49=0,K50="",K$6&lt;&gt;1),0,1/$E49)</f>
        <v/>
      </c>
      <c r="L49" s="54">
        <f>IF(OR($E49=0,L50="",L$6&lt;&gt;1),0,1/$E49)</f>
        <v/>
      </c>
      <c r="M49" s="54">
        <f>IF(OR($E49=0,M50="",M$6&lt;&gt;1),0,1/$E49)</f>
        <v/>
      </c>
      <c r="N49" s="54">
        <f>IF(OR($E49=0,N50="",N$6&lt;&gt;1),0,1/$E49)</f>
        <v/>
      </c>
      <c r="O49" s="54">
        <f>IF(OR($E49=0,O50="",O$6&lt;&gt;1),0,1/$E49)</f>
        <v/>
      </c>
      <c r="P49" s="54">
        <f>IF(OR($E49=0,P50="",P$6&lt;&gt;1),0,1/$E49)</f>
        <v/>
      </c>
      <c r="Q49" s="54">
        <f>IF(OR($E49=0,Q50="",Q$6&lt;&gt;1),0,1/$E49)</f>
        <v/>
      </c>
      <c r="R49" s="54">
        <f>IF(OR($E49=0,R50="",R$6&lt;&gt;1),0,1/$E49)</f>
        <v/>
      </c>
      <c r="S49" s="54">
        <f>IF(OR($E49=0,S50="",S$6&lt;&gt;1),0,1/$E49)</f>
        <v/>
      </c>
      <c r="T49" s="54">
        <f>IF(OR($E49=0,T50="",T$6&lt;&gt;1),0,1/$E49)</f>
        <v/>
      </c>
      <c r="U49" s="54">
        <f>IF(OR($E49=0,U50="",U$6&lt;&gt;1),0,1/$E49)</f>
        <v/>
      </c>
      <c r="V49" s="54">
        <f>IF(OR($E49=0,V50="",V$6&lt;&gt;1),0,1/$E49)</f>
        <v/>
      </c>
      <c r="W49" s="54">
        <f>IF(OR($E49=0,W50="",W$6&lt;&gt;1),0,1/$E49)</f>
        <v/>
      </c>
      <c r="X49" s="54">
        <f>IF(OR($E49=0,X50="",X$6&lt;&gt;1),0,1/$E49)</f>
        <v/>
      </c>
      <c r="Y49" s="54">
        <f>IF(OR($E49=0,Y50="",Y$6&lt;&gt;1),0,1/$E49)</f>
        <v/>
      </c>
      <c r="Z49" s="54">
        <f>IF(OR($E49=0,Z50="",Z$6&lt;&gt;1),0,1/$E49)</f>
        <v/>
      </c>
      <c r="AA49" s="54">
        <f>IF(OR($E49=0,AA50="",AA$6&lt;&gt;1),0,1/$E49)</f>
        <v/>
      </c>
      <c r="AB49" s="54">
        <f>IF(OR($E49=0,AB50="",AB$6&lt;&gt;1),0,1/$E49)</f>
        <v/>
      </c>
    </row>
    <row r="50">
      <c r="A50" s="70" t="n"/>
      <c r="B50" s="71" t="n"/>
      <c r="C50" s="72" t="inlineStr">
        <is>
          <t>工程</t>
        </is>
      </c>
      <c r="D50" s="73" t="n"/>
      <c r="E50" s="70" t="n"/>
      <c r="F50" s="74" t="n"/>
      <c r="G50" s="60" t="n"/>
      <c r="H50" s="60" t="n"/>
      <c r="I50" s="60" t="n"/>
      <c r="J50" s="60" t="n"/>
      <c r="K50" s="60" t="n"/>
      <c r="L50" s="60" t="n"/>
      <c r="M50" s="60" t="n"/>
      <c r="N50" s="60" t="n">
        <v>1</v>
      </c>
      <c r="O50" s="60" t="n"/>
      <c r="P50" s="60" t="n">
        <v>1</v>
      </c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  <c r="Z50" s="60" t="n"/>
      <c r="AA50" s="60" t="n"/>
      <c r="AB50" s="60" t="n"/>
    </row>
    <row r="51">
      <c r="A51" s="70" t="n"/>
      <c r="B51" s="71" t="n"/>
      <c r="C51" s="72" t="inlineStr">
        <is>
          <t>累計出来高率</t>
        </is>
      </c>
      <c r="D51" s="73" t="n"/>
      <c r="E51" s="70" t="n"/>
      <c r="F51" s="74" t="n"/>
      <c r="G51" s="61">
        <f>G49</f>
        <v/>
      </c>
      <c r="H51" s="61">
        <f>G51+H49</f>
        <v/>
      </c>
      <c r="I51" s="61">
        <f>H51+I49</f>
        <v/>
      </c>
      <c r="J51" s="61">
        <f>I51+J49</f>
        <v/>
      </c>
      <c r="K51" s="61">
        <f>J51+K49</f>
        <v/>
      </c>
      <c r="L51" s="61">
        <f>K51+L49</f>
        <v/>
      </c>
      <c r="M51" s="61">
        <f>L51+M49</f>
        <v/>
      </c>
      <c r="N51" s="61">
        <f>M51+N49</f>
        <v/>
      </c>
      <c r="O51" s="61">
        <f>N51+O49</f>
        <v/>
      </c>
      <c r="P51" s="61">
        <f>O51+P49</f>
        <v/>
      </c>
      <c r="Q51" s="61">
        <f>P51+Q49</f>
        <v/>
      </c>
      <c r="R51" s="61">
        <f>Q51+R49</f>
        <v/>
      </c>
      <c r="S51" s="61">
        <f>R51+S49</f>
        <v/>
      </c>
      <c r="T51" s="61">
        <f>S51+T49</f>
        <v/>
      </c>
      <c r="U51" s="61">
        <f>T51+U49</f>
        <v/>
      </c>
      <c r="V51" s="61">
        <f>U51+V49</f>
        <v/>
      </c>
      <c r="W51" s="61">
        <f>V51+W49</f>
        <v/>
      </c>
      <c r="X51" s="61">
        <f>W51+X49</f>
        <v/>
      </c>
      <c r="Y51" s="61">
        <f>X51+Y49</f>
        <v/>
      </c>
      <c r="Z51" s="61">
        <f>Y51+Z49</f>
        <v/>
      </c>
      <c r="AA51" s="61">
        <f>Z51+AA49</f>
        <v/>
      </c>
      <c r="AB51" s="61">
        <f>AA51+AB49</f>
        <v/>
      </c>
    </row>
    <row r="52">
      <c r="A52" s="65" t="inlineStr">
        <is>
          <t>7</t>
        </is>
      </c>
      <c r="B52" s="66" t="inlineStr">
        <is>
          <t>ガラス工事</t>
        </is>
      </c>
      <c r="C52" s="67" t="inlineStr">
        <is>
          <t>今週出来高率</t>
        </is>
      </c>
      <c r="D52" s="68">
        <f>'金額リスト'!C21</f>
        <v/>
      </c>
      <c r="E52" s="65">
        <f>SUMPRODUCT((G53:AB53&lt;&gt;"")*(G$6:AB$6=1))</f>
        <v/>
      </c>
      <c r="F52" s="69">
        <f>SUM(G52:AB52)</f>
        <v/>
      </c>
      <c r="G52" s="54">
        <f>IF(OR($E52=0,G53="",G$6&lt;&gt;1),0,1/$E52)</f>
        <v/>
      </c>
      <c r="H52" s="54">
        <f>IF(OR($E52=0,H53="",H$6&lt;&gt;1),0,1/$E52)</f>
        <v/>
      </c>
      <c r="I52" s="54">
        <f>IF(OR($E52=0,I53="",I$6&lt;&gt;1),0,1/$E52)</f>
        <v/>
      </c>
      <c r="J52" s="54">
        <f>IF(OR($E52=0,J53="",J$6&lt;&gt;1),0,1/$E52)</f>
        <v/>
      </c>
      <c r="K52" s="54">
        <f>IF(OR($E52=0,K53="",K$6&lt;&gt;1),0,1/$E52)</f>
        <v/>
      </c>
      <c r="L52" s="54">
        <f>IF(OR($E52=0,L53="",L$6&lt;&gt;1),0,1/$E52)</f>
        <v/>
      </c>
      <c r="M52" s="54">
        <f>IF(OR($E52=0,M53="",M$6&lt;&gt;1),0,1/$E52)</f>
        <v/>
      </c>
      <c r="N52" s="54">
        <f>IF(OR($E52=0,N53="",N$6&lt;&gt;1),0,1/$E52)</f>
        <v/>
      </c>
      <c r="O52" s="54">
        <f>IF(OR($E52=0,O53="",O$6&lt;&gt;1),0,1/$E52)</f>
        <v/>
      </c>
      <c r="P52" s="54">
        <f>IF(OR($E52=0,P53="",P$6&lt;&gt;1),0,1/$E52)</f>
        <v/>
      </c>
      <c r="Q52" s="54">
        <f>IF(OR($E52=0,Q53="",Q$6&lt;&gt;1),0,1/$E52)</f>
        <v/>
      </c>
      <c r="R52" s="54">
        <f>IF(OR($E52=0,R53="",R$6&lt;&gt;1),0,1/$E52)</f>
        <v/>
      </c>
      <c r="S52" s="54">
        <f>IF(OR($E52=0,S53="",S$6&lt;&gt;1),0,1/$E52)</f>
        <v/>
      </c>
      <c r="T52" s="54">
        <f>IF(OR($E52=0,T53="",T$6&lt;&gt;1),0,1/$E52)</f>
        <v/>
      </c>
      <c r="U52" s="54">
        <f>IF(OR($E52=0,U53="",U$6&lt;&gt;1),0,1/$E52)</f>
        <v/>
      </c>
      <c r="V52" s="54">
        <f>IF(OR($E52=0,V53="",V$6&lt;&gt;1),0,1/$E52)</f>
        <v/>
      </c>
      <c r="W52" s="54">
        <f>IF(OR($E52=0,W53="",W$6&lt;&gt;1),0,1/$E52)</f>
        <v/>
      </c>
      <c r="X52" s="54">
        <f>IF(OR($E52=0,X53="",X$6&lt;&gt;1),0,1/$E52)</f>
        <v/>
      </c>
      <c r="Y52" s="54">
        <f>IF(OR($E52=0,Y53="",Y$6&lt;&gt;1),0,1/$E52)</f>
        <v/>
      </c>
      <c r="Z52" s="54">
        <f>IF(OR($E52=0,Z53="",Z$6&lt;&gt;1),0,1/$E52)</f>
        <v/>
      </c>
      <c r="AA52" s="54">
        <f>IF(OR($E52=0,AA53="",AA$6&lt;&gt;1),0,1/$E52)</f>
        <v/>
      </c>
      <c r="AB52" s="54">
        <f>IF(OR($E52=0,AB53="",AB$6&lt;&gt;1),0,1/$E52)</f>
        <v/>
      </c>
    </row>
    <row r="53">
      <c r="A53" s="70" t="n"/>
      <c r="B53" s="71" t="n"/>
      <c r="C53" s="72" t="inlineStr">
        <is>
          <t>工程</t>
        </is>
      </c>
      <c r="D53" s="73" t="n"/>
      <c r="E53" s="70" t="n"/>
      <c r="F53" s="74" t="n"/>
      <c r="G53" s="60" t="n"/>
      <c r="H53" s="60" t="n"/>
      <c r="I53" s="60" t="n"/>
      <c r="J53" s="60" t="n"/>
      <c r="K53" s="60" t="n"/>
      <c r="L53" s="60" t="n"/>
      <c r="M53" s="60" t="n"/>
      <c r="N53" s="60" t="n">
        <v>1</v>
      </c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  <c r="Z53" s="60" t="n"/>
      <c r="AA53" s="60" t="n"/>
      <c r="AB53" s="60" t="n"/>
    </row>
    <row r="54">
      <c r="A54" s="70" t="n"/>
      <c r="B54" s="71" t="n"/>
      <c r="C54" s="72" t="inlineStr">
        <is>
          <t>累計出来高率</t>
        </is>
      </c>
      <c r="D54" s="73" t="n"/>
      <c r="E54" s="70" t="n"/>
      <c r="F54" s="74" t="n"/>
      <c r="G54" s="61">
        <f>G52</f>
        <v/>
      </c>
      <c r="H54" s="61">
        <f>G54+H52</f>
        <v/>
      </c>
      <c r="I54" s="61">
        <f>H54+I52</f>
        <v/>
      </c>
      <c r="J54" s="61">
        <f>I54+J52</f>
        <v/>
      </c>
      <c r="K54" s="61">
        <f>J54+K52</f>
        <v/>
      </c>
      <c r="L54" s="61">
        <f>K54+L52</f>
        <v/>
      </c>
      <c r="M54" s="61">
        <f>L54+M52</f>
        <v/>
      </c>
      <c r="N54" s="61">
        <f>M54+N52</f>
        <v/>
      </c>
      <c r="O54" s="61">
        <f>N54+O52</f>
        <v/>
      </c>
      <c r="P54" s="61">
        <f>O54+P52</f>
        <v/>
      </c>
      <c r="Q54" s="61">
        <f>P54+Q52</f>
        <v/>
      </c>
      <c r="R54" s="61">
        <f>Q54+R52</f>
        <v/>
      </c>
      <c r="S54" s="61">
        <f>R54+S52</f>
        <v/>
      </c>
      <c r="T54" s="61">
        <f>S54+T52</f>
        <v/>
      </c>
      <c r="U54" s="61">
        <f>T54+U52</f>
        <v/>
      </c>
      <c r="V54" s="61">
        <f>U54+V52</f>
        <v/>
      </c>
      <c r="W54" s="61">
        <f>V54+W52</f>
        <v/>
      </c>
      <c r="X54" s="61">
        <f>W54+X52</f>
        <v/>
      </c>
      <c r="Y54" s="61">
        <f>X54+Y52</f>
        <v/>
      </c>
      <c r="Z54" s="61">
        <f>Y54+Z52</f>
        <v/>
      </c>
      <c r="AA54" s="61">
        <f>Z54+AA52</f>
        <v/>
      </c>
      <c r="AB54" s="61">
        <f>AA54+AB52</f>
        <v/>
      </c>
    </row>
    <row r="55">
      <c r="A55" s="65" t="inlineStr">
        <is>
          <t>8</t>
        </is>
      </c>
      <c r="B55" s="66" t="inlineStr">
        <is>
          <t>木工事</t>
        </is>
      </c>
      <c r="C55" s="67" t="inlineStr">
        <is>
          <t>今週出来高率</t>
        </is>
      </c>
      <c r="D55" s="68">
        <f>'金額リスト'!C22</f>
        <v/>
      </c>
      <c r="E55" s="65">
        <f>SUMPRODUCT((G56:AB56&lt;&gt;"")*(G$6:AB$6=1))</f>
        <v/>
      </c>
      <c r="F55" s="69">
        <f>SUM(G55:AB55)</f>
        <v/>
      </c>
      <c r="G55" s="54">
        <f>IF(OR($E55=0,G56="",G$6&lt;&gt;1),0,1/$E55)</f>
        <v/>
      </c>
      <c r="H55" s="54">
        <f>IF(OR($E55=0,H56="",H$6&lt;&gt;1),0,1/$E55)</f>
        <v/>
      </c>
      <c r="I55" s="54">
        <f>IF(OR($E55=0,I56="",I$6&lt;&gt;1),0,1/$E55)</f>
        <v/>
      </c>
      <c r="J55" s="54">
        <f>IF(OR($E55=0,J56="",J$6&lt;&gt;1),0,1/$E55)</f>
        <v/>
      </c>
      <c r="K55" s="54">
        <f>IF(OR($E55=0,K56="",K$6&lt;&gt;1),0,1/$E55)</f>
        <v/>
      </c>
      <c r="L55" s="54">
        <f>IF(OR($E55=0,L56="",L$6&lt;&gt;1),0,1/$E55)</f>
        <v/>
      </c>
      <c r="M55" s="54">
        <f>IF(OR($E55=0,M56="",M$6&lt;&gt;1),0,1/$E55)</f>
        <v/>
      </c>
      <c r="N55" s="54">
        <f>IF(OR($E55=0,N56="",N$6&lt;&gt;1),0,1/$E55)</f>
        <v/>
      </c>
      <c r="O55" s="54">
        <f>IF(OR($E55=0,O56="",O$6&lt;&gt;1),0,1/$E55)</f>
        <v/>
      </c>
      <c r="P55" s="54">
        <f>IF(OR($E55=0,P56="",P$6&lt;&gt;1),0,1/$E55)</f>
        <v/>
      </c>
      <c r="Q55" s="54">
        <f>IF(OR($E55=0,Q56="",Q$6&lt;&gt;1),0,1/$E55)</f>
        <v/>
      </c>
      <c r="R55" s="54">
        <f>IF(OR($E55=0,R56="",R$6&lt;&gt;1),0,1/$E55)</f>
        <v/>
      </c>
      <c r="S55" s="54">
        <f>IF(OR($E55=0,S56="",S$6&lt;&gt;1),0,1/$E55)</f>
        <v/>
      </c>
      <c r="T55" s="54">
        <f>IF(OR($E55=0,T56="",T$6&lt;&gt;1),0,1/$E55)</f>
        <v/>
      </c>
      <c r="U55" s="54">
        <f>IF(OR($E55=0,U56="",U$6&lt;&gt;1),0,1/$E55)</f>
        <v/>
      </c>
      <c r="V55" s="54">
        <f>IF(OR($E55=0,V56="",V$6&lt;&gt;1),0,1/$E55)</f>
        <v/>
      </c>
      <c r="W55" s="54">
        <f>IF(OR($E55=0,W56="",W$6&lt;&gt;1),0,1/$E55)</f>
        <v/>
      </c>
      <c r="X55" s="54">
        <f>IF(OR($E55=0,X56="",X$6&lt;&gt;1),0,1/$E55)</f>
        <v/>
      </c>
      <c r="Y55" s="54">
        <f>IF(OR($E55=0,Y56="",Y$6&lt;&gt;1),0,1/$E55)</f>
        <v/>
      </c>
      <c r="Z55" s="54">
        <f>IF(OR($E55=0,Z56="",Z$6&lt;&gt;1),0,1/$E55)</f>
        <v/>
      </c>
      <c r="AA55" s="54">
        <f>IF(OR($E55=0,AA56="",AA$6&lt;&gt;1),0,1/$E55)</f>
        <v/>
      </c>
      <c r="AB55" s="54">
        <f>IF(OR($E55=0,AB56="",AB$6&lt;&gt;1),0,1/$E55)</f>
        <v/>
      </c>
    </row>
    <row r="56">
      <c r="A56" s="70" t="n"/>
      <c r="B56" s="71" t="n"/>
      <c r="C56" s="72" t="inlineStr">
        <is>
          <t>工程</t>
        </is>
      </c>
      <c r="D56" s="73" t="n"/>
      <c r="E56" s="70" t="n"/>
      <c r="F56" s="74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>
        <v>1</v>
      </c>
      <c r="R56" s="60" t="n">
        <v>1</v>
      </c>
      <c r="S56" s="60" t="n">
        <v>1</v>
      </c>
      <c r="T56" s="60" t="n"/>
      <c r="U56" s="60" t="n">
        <v>1</v>
      </c>
      <c r="V56" s="60" t="n">
        <v>1</v>
      </c>
      <c r="W56" s="60" t="n">
        <v>1</v>
      </c>
      <c r="X56" s="60" t="n">
        <v>1</v>
      </c>
      <c r="Y56" s="60" t="n"/>
      <c r="Z56" s="60" t="n">
        <v>1</v>
      </c>
      <c r="AA56" s="60" t="n"/>
      <c r="AB56" s="60" t="n"/>
    </row>
    <row r="57">
      <c r="A57" s="70" t="n"/>
      <c r="B57" s="71" t="n"/>
      <c r="C57" s="72" t="inlineStr">
        <is>
          <t>累計出来高率</t>
        </is>
      </c>
      <c r="D57" s="73" t="n"/>
      <c r="E57" s="70" t="n"/>
      <c r="F57" s="74" t="n"/>
      <c r="G57" s="61">
        <f>G55</f>
        <v/>
      </c>
      <c r="H57" s="61">
        <f>G57+H55</f>
        <v/>
      </c>
      <c r="I57" s="61">
        <f>H57+I55</f>
        <v/>
      </c>
      <c r="J57" s="61">
        <f>I57+J55</f>
        <v/>
      </c>
      <c r="K57" s="61">
        <f>J57+K55</f>
        <v/>
      </c>
      <c r="L57" s="61">
        <f>K57+L55</f>
        <v/>
      </c>
      <c r="M57" s="61">
        <f>L57+M55</f>
        <v/>
      </c>
      <c r="N57" s="61">
        <f>M57+N55</f>
        <v/>
      </c>
      <c r="O57" s="61">
        <f>N57+O55</f>
        <v/>
      </c>
      <c r="P57" s="61">
        <f>O57+P55</f>
        <v/>
      </c>
      <c r="Q57" s="61">
        <f>P57+Q55</f>
        <v/>
      </c>
      <c r="R57" s="61">
        <f>Q57+R55</f>
        <v/>
      </c>
      <c r="S57" s="61">
        <f>R57+S55</f>
        <v/>
      </c>
      <c r="T57" s="61">
        <f>S57+T55</f>
        <v/>
      </c>
      <c r="U57" s="61">
        <f>T57+U55</f>
        <v/>
      </c>
      <c r="V57" s="61">
        <f>U57+V55</f>
        <v/>
      </c>
      <c r="W57" s="61">
        <f>V57+W55</f>
        <v/>
      </c>
      <c r="X57" s="61">
        <f>W57+X55</f>
        <v/>
      </c>
      <c r="Y57" s="61">
        <f>X57+Y55</f>
        <v/>
      </c>
      <c r="Z57" s="61">
        <f>Y57+Z55</f>
        <v/>
      </c>
      <c r="AA57" s="61">
        <f>Z57+AA55</f>
        <v/>
      </c>
      <c r="AB57" s="61">
        <f>AA57+AB55</f>
        <v/>
      </c>
    </row>
    <row r="58">
      <c r="A58" s="65" t="inlineStr">
        <is>
          <t>9</t>
        </is>
      </c>
      <c r="B58" s="66" t="inlineStr">
        <is>
          <t>左官工事</t>
        </is>
      </c>
      <c r="C58" s="67" t="inlineStr">
        <is>
          <t>今週出来高率</t>
        </is>
      </c>
      <c r="D58" s="68">
        <f>'金額リスト'!C23</f>
        <v/>
      </c>
      <c r="E58" s="65">
        <f>SUMPRODUCT((G59:AB59&lt;&gt;"")*(G$6:AB$6=1))</f>
        <v/>
      </c>
      <c r="F58" s="69">
        <f>SUM(G58:AB58)</f>
        <v/>
      </c>
      <c r="G58" s="54">
        <f>IF(OR($E58=0,G59="",G$6&lt;&gt;1),0,1/$E58)</f>
        <v/>
      </c>
      <c r="H58" s="54">
        <f>IF(OR($E58=0,H59="",H$6&lt;&gt;1),0,1/$E58)</f>
        <v/>
      </c>
      <c r="I58" s="54">
        <f>IF(OR($E58=0,I59="",I$6&lt;&gt;1),0,1/$E58)</f>
        <v/>
      </c>
      <c r="J58" s="54">
        <f>IF(OR($E58=0,J59="",J$6&lt;&gt;1),0,1/$E58)</f>
        <v/>
      </c>
      <c r="K58" s="54">
        <f>IF(OR($E58=0,K59="",K$6&lt;&gt;1),0,1/$E58)</f>
        <v/>
      </c>
      <c r="L58" s="54">
        <f>IF(OR($E58=0,L59="",L$6&lt;&gt;1),0,1/$E58)</f>
        <v/>
      </c>
      <c r="M58" s="54">
        <f>IF(OR($E58=0,M59="",M$6&lt;&gt;1),0,1/$E58)</f>
        <v/>
      </c>
      <c r="N58" s="54">
        <f>IF(OR($E58=0,N59="",N$6&lt;&gt;1),0,1/$E58)</f>
        <v/>
      </c>
      <c r="O58" s="54">
        <f>IF(OR($E58=0,O59="",O$6&lt;&gt;1),0,1/$E58)</f>
        <v/>
      </c>
      <c r="P58" s="54">
        <f>IF(OR($E58=0,P59="",P$6&lt;&gt;1),0,1/$E58)</f>
        <v/>
      </c>
      <c r="Q58" s="54">
        <f>IF(OR($E58=0,Q59="",Q$6&lt;&gt;1),0,1/$E58)</f>
        <v/>
      </c>
      <c r="R58" s="54">
        <f>IF(OR($E58=0,R59="",R$6&lt;&gt;1),0,1/$E58)</f>
        <v/>
      </c>
      <c r="S58" s="54">
        <f>IF(OR($E58=0,S59="",S$6&lt;&gt;1),0,1/$E58)</f>
        <v/>
      </c>
      <c r="T58" s="54">
        <f>IF(OR($E58=0,T59="",T$6&lt;&gt;1),0,1/$E58)</f>
        <v/>
      </c>
      <c r="U58" s="54">
        <f>IF(OR($E58=0,U59="",U$6&lt;&gt;1),0,1/$E58)</f>
        <v/>
      </c>
      <c r="V58" s="54">
        <f>IF(OR($E58=0,V59="",V$6&lt;&gt;1),0,1/$E58)</f>
        <v/>
      </c>
      <c r="W58" s="54">
        <f>IF(OR($E58=0,W59="",W$6&lt;&gt;1),0,1/$E58)</f>
        <v/>
      </c>
      <c r="X58" s="54">
        <f>IF(OR($E58=0,X59="",X$6&lt;&gt;1),0,1/$E58)</f>
        <v/>
      </c>
      <c r="Y58" s="54">
        <f>IF(OR($E58=0,Y59="",Y$6&lt;&gt;1),0,1/$E58)</f>
        <v/>
      </c>
      <c r="Z58" s="54">
        <f>IF(OR($E58=0,Z59="",Z$6&lt;&gt;1),0,1/$E58)</f>
        <v/>
      </c>
      <c r="AA58" s="54">
        <f>IF(OR($E58=0,AA59="",AA$6&lt;&gt;1),0,1/$E58)</f>
        <v/>
      </c>
      <c r="AB58" s="54">
        <f>IF(OR($E58=0,AB59="",AB$6&lt;&gt;1),0,1/$E58)</f>
        <v/>
      </c>
    </row>
    <row r="59">
      <c r="A59" s="70" t="n"/>
      <c r="B59" s="71" t="n"/>
      <c r="C59" s="72" t="inlineStr">
        <is>
          <t>工程</t>
        </is>
      </c>
      <c r="D59" s="73" t="n"/>
      <c r="E59" s="70" t="n"/>
      <c r="F59" s="74" t="n"/>
      <c r="G59" s="60" t="n"/>
      <c r="H59" s="60" t="n"/>
      <c r="I59" s="60" t="n"/>
      <c r="J59" s="60" t="n"/>
      <c r="K59" s="60" t="n"/>
      <c r="L59" s="60" t="n"/>
      <c r="M59" s="60" t="n">
        <v>1</v>
      </c>
      <c r="N59" s="60" t="n">
        <v>1</v>
      </c>
      <c r="O59" s="60" t="n"/>
      <c r="P59" s="60" t="n">
        <v>1</v>
      </c>
      <c r="Q59" s="60" t="n">
        <v>1</v>
      </c>
      <c r="R59" s="60" t="n">
        <v>1</v>
      </c>
      <c r="S59" s="60" t="n">
        <v>1</v>
      </c>
      <c r="T59" s="60" t="n"/>
      <c r="U59" s="60" t="n">
        <v>1</v>
      </c>
      <c r="V59" s="60" t="n">
        <v>1</v>
      </c>
      <c r="W59" s="60" t="n">
        <v>1</v>
      </c>
      <c r="X59" s="60" t="n">
        <v>1</v>
      </c>
      <c r="Y59" s="60" t="n">
        <v>1</v>
      </c>
      <c r="Z59" s="60" t="n"/>
      <c r="AA59" s="60" t="n"/>
      <c r="AB59" s="60" t="n"/>
    </row>
    <row r="60">
      <c r="A60" s="70" t="n"/>
      <c r="B60" s="71" t="n"/>
      <c r="C60" s="72" t="inlineStr">
        <is>
          <t>累計出来高率</t>
        </is>
      </c>
      <c r="D60" s="73" t="n"/>
      <c r="E60" s="70" t="n"/>
      <c r="F60" s="74" t="n"/>
      <c r="G60" s="61">
        <f>G58</f>
        <v/>
      </c>
      <c r="H60" s="61">
        <f>G60+H58</f>
        <v/>
      </c>
      <c r="I60" s="61">
        <f>H60+I58</f>
        <v/>
      </c>
      <c r="J60" s="61">
        <f>I60+J58</f>
        <v/>
      </c>
      <c r="K60" s="61">
        <f>J60+K58</f>
        <v/>
      </c>
      <c r="L60" s="61">
        <f>K60+L58</f>
        <v/>
      </c>
      <c r="M60" s="61">
        <f>L60+M58</f>
        <v/>
      </c>
      <c r="N60" s="61">
        <f>M60+N58</f>
        <v/>
      </c>
      <c r="O60" s="61">
        <f>N60+O58</f>
        <v/>
      </c>
      <c r="P60" s="61">
        <f>O60+P58</f>
        <v/>
      </c>
      <c r="Q60" s="61">
        <f>P60+Q58</f>
        <v/>
      </c>
      <c r="R60" s="61">
        <f>Q60+R58</f>
        <v/>
      </c>
      <c r="S60" s="61">
        <f>R60+S58</f>
        <v/>
      </c>
      <c r="T60" s="61">
        <f>S60+T58</f>
        <v/>
      </c>
      <c r="U60" s="61">
        <f>T60+U58</f>
        <v/>
      </c>
      <c r="V60" s="61">
        <f>U60+V58</f>
        <v/>
      </c>
      <c r="W60" s="61">
        <f>V60+W58</f>
        <v/>
      </c>
      <c r="X60" s="61">
        <f>W60+X58</f>
        <v/>
      </c>
      <c r="Y60" s="61">
        <f>X60+Y58</f>
        <v/>
      </c>
      <c r="Z60" s="61">
        <f>Y60+Z58</f>
        <v/>
      </c>
      <c r="AA60" s="61">
        <f>Z60+AA58</f>
        <v/>
      </c>
      <c r="AB60" s="61">
        <f>AA60+AB58</f>
        <v/>
      </c>
    </row>
    <row r="61">
      <c r="A61" s="65" t="inlineStr">
        <is>
          <t>10</t>
        </is>
      </c>
      <c r="B61" s="66" t="inlineStr">
        <is>
          <t>塗装工事</t>
        </is>
      </c>
      <c r="C61" s="67" t="inlineStr">
        <is>
          <t>今週出来高率</t>
        </is>
      </c>
      <c r="D61" s="68">
        <f>'金額リスト'!C24</f>
        <v/>
      </c>
      <c r="E61" s="65">
        <f>SUMPRODUCT((G62:AB62&lt;&gt;"")*(G$6:AB$6=1))</f>
        <v/>
      </c>
      <c r="F61" s="69">
        <f>SUM(G61:AB61)</f>
        <v/>
      </c>
      <c r="G61" s="54">
        <f>IF(OR($E61=0,G62="",G$6&lt;&gt;1),0,1/$E61)</f>
        <v/>
      </c>
      <c r="H61" s="54">
        <f>IF(OR($E61=0,H62="",H$6&lt;&gt;1),0,1/$E61)</f>
        <v/>
      </c>
      <c r="I61" s="54">
        <f>IF(OR($E61=0,I62="",I$6&lt;&gt;1),0,1/$E61)</f>
        <v/>
      </c>
      <c r="J61" s="54">
        <f>IF(OR($E61=0,J62="",J$6&lt;&gt;1),0,1/$E61)</f>
        <v/>
      </c>
      <c r="K61" s="54">
        <f>IF(OR($E61=0,K62="",K$6&lt;&gt;1),0,1/$E61)</f>
        <v/>
      </c>
      <c r="L61" s="54">
        <f>IF(OR($E61=0,L62="",L$6&lt;&gt;1),0,1/$E61)</f>
        <v/>
      </c>
      <c r="M61" s="54">
        <f>IF(OR($E61=0,M62="",M$6&lt;&gt;1),0,1/$E61)</f>
        <v/>
      </c>
      <c r="N61" s="54">
        <f>IF(OR($E61=0,N62="",N$6&lt;&gt;1),0,1/$E61)</f>
        <v/>
      </c>
      <c r="O61" s="54">
        <f>IF(OR($E61=0,O62="",O$6&lt;&gt;1),0,1/$E61)</f>
        <v/>
      </c>
      <c r="P61" s="54">
        <f>IF(OR($E61=0,P62="",P$6&lt;&gt;1),0,1/$E61)</f>
        <v/>
      </c>
      <c r="Q61" s="54">
        <f>IF(OR($E61=0,Q62="",Q$6&lt;&gt;1),0,1/$E61)</f>
        <v/>
      </c>
      <c r="R61" s="54">
        <f>IF(OR($E61=0,R62="",R$6&lt;&gt;1),0,1/$E61)</f>
        <v/>
      </c>
      <c r="S61" s="54">
        <f>IF(OR($E61=0,S62="",S$6&lt;&gt;1),0,1/$E61)</f>
        <v/>
      </c>
      <c r="T61" s="54">
        <f>IF(OR($E61=0,T62="",T$6&lt;&gt;1),0,1/$E61)</f>
        <v/>
      </c>
      <c r="U61" s="54">
        <f>IF(OR($E61=0,U62="",U$6&lt;&gt;1),0,1/$E61)</f>
        <v/>
      </c>
      <c r="V61" s="54">
        <f>IF(OR($E61=0,V62="",V$6&lt;&gt;1),0,1/$E61)</f>
        <v/>
      </c>
      <c r="W61" s="54">
        <f>IF(OR($E61=0,W62="",W$6&lt;&gt;1),0,1/$E61)</f>
        <v/>
      </c>
      <c r="X61" s="54">
        <f>IF(OR($E61=0,X62="",X$6&lt;&gt;1),0,1/$E61)</f>
        <v/>
      </c>
      <c r="Y61" s="54">
        <f>IF(OR($E61=0,Y62="",Y$6&lt;&gt;1),0,1/$E61)</f>
        <v/>
      </c>
      <c r="Z61" s="54">
        <f>IF(OR($E61=0,Z62="",Z$6&lt;&gt;1),0,1/$E61)</f>
        <v/>
      </c>
      <c r="AA61" s="54">
        <f>IF(OR($E61=0,AA62="",AA$6&lt;&gt;1),0,1/$E61)</f>
        <v/>
      </c>
      <c r="AB61" s="54">
        <f>IF(OR($E61=0,AB62="",AB$6&lt;&gt;1),0,1/$E61)</f>
        <v/>
      </c>
    </row>
    <row r="62">
      <c r="A62" s="70" t="n"/>
      <c r="B62" s="71" t="n"/>
      <c r="C62" s="72" t="inlineStr">
        <is>
          <t>工程</t>
        </is>
      </c>
      <c r="D62" s="73" t="n"/>
      <c r="E62" s="70" t="n"/>
      <c r="F62" s="74" t="n"/>
      <c r="G62" s="60" t="n"/>
      <c r="H62" s="60" t="n"/>
      <c r="I62" s="60" t="n"/>
      <c r="J62" s="60" t="n"/>
      <c r="K62" s="60" t="n"/>
      <c r="L62" s="60" t="n"/>
      <c r="M62" s="60" t="n">
        <v>1</v>
      </c>
      <c r="N62" s="60" t="n">
        <v>1</v>
      </c>
      <c r="O62" s="60" t="n"/>
      <c r="P62" s="60" t="n">
        <v>1</v>
      </c>
      <c r="Q62" s="60" t="n"/>
      <c r="R62" s="60" t="n"/>
      <c r="S62" s="60" t="n"/>
      <c r="T62" s="60" t="n">
        <v>1</v>
      </c>
      <c r="U62" s="60" t="n">
        <v>1</v>
      </c>
      <c r="V62" s="60" t="n"/>
      <c r="W62" s="60" t="n"/>
      <c r="X62" s="60" t="n"/>
      <c r="Y62" s="60" t="n"/>
      <c r="Z62" s="60" t="n"/>
      <c r="AA62" s="60" t="n"/>
      <c r="AB62" s="60" t="n"/>
    </row>
    <row r="63">
      <c r="A63" s="70" t="n"/>
      <c r="B63" s="71" t="n"/>
      <c r="C63" s="72" t="inlineStr">
        <is>
          <t>累計出来高率</t>
        </is>
      </c>
      <c r="D63" s="73" t="n"/>
      <c r="E63" s="70" t="n"/>
      <c r="F63" s="74" t="n"/>
      <c r="G63" s="61">
        <f>G61</f>
        <v/>
      </c>
      <c r="H63" s="61">
        <f>G63+H61</f>
        <v/>
      </c>
      <c r="I63" s="61">
        <f>H63+I61</f>
        <v/>
      </c>
      <c r="J63" s="61">
        <f>I63+J61</f>
        <v/>
      </c>
      <c r="K63" s="61">
        <f>J63+K61</f>
        <v/>
      </c>
      <c r="L63" s="61">
        <f>K63+L61</f>
        <v/>
      </c>
      <c r="M63" s="61">
        <f>L63+M61</f>
        <v/>
      </c>
      <c r="N63" s="61">
        <f>M63+N61</f>
        <v/>
      </c>
      <c r="O63" s="61">
        <f>N63+O61</f>
        <v/>
      </c>
      <c r="P63" s="61">
        <f>O63+P61</f>
        <v/>
      </c>
      <c r="Q63" s="61">
        <f>P63+Q61</f>
        <v/>
      </c>
      <c r="R63" s="61">
        <f>Q63+R61</f>
        <v/>
      </c>
      <c r="S63" s="61">
        <f>R63+S61</f>
        <v/>
      </c>
      <c r="T63" s="61">
        <f>S63+T61</f>
        <v/>
      </c>
      <c r="U63" s="61">
        <f>T63+U61</f>
        <v/>
      </c>
      <c r="V63" s="61">
        <f>U63+V61</f>
        <v/>
      </c>
      <c r="W63" s="61">
        <f>V63+W61</f>
        <v/>
      </c>
      <c r="X63" s="61">
        <f>W63+X61</f>
        <v/>
      </c>
      <c r="Y63" s="61">
        <f>X63+Y61</f>
        <v/>
      </c>
      <c r="Z63" s="61">
        <f>Y63+Z61</f>
        <v/>
      </c>
      <c r="AA63" s="61">
        <f>Z63+AA61</f>
        <v/>
      </c>
      <c r="AB63" s="61">
        <f>AA63+AB61</f>
        <v/>
      </c>
    </row>
    <row r="64">
      <c r="A64" s="65" t="inlineStr">
        <is>
          <t>11</t>
        </is>
      </c>
      <c r="B64" s="66" t="inlineStr">
        <is>
          <t>内装工事</t>
        </is>
      </c>
      <c r="C64" s="67" t="inlineStr">
        <is>
          <t>今週出来高率</t>
        </is>
      </c>
      <c r="D64" s="68">
        <f>'金額リスト'!C25</f>
        <v/>
      </c>
      <c r="E64" s="65">
        <f>SUMPRODUCT((G65:AB65&lt;&gt;"")*(G$6:AB$6=1))</f>
        <v/>
      </c>
      <c r="F64" s="69">
        <f>SUM(G64:AB64)</f>
        <v/>
      </c>
      <c r="G64" s="54">
        <f>IF(OR($E64=0,G65="",G$6&lt;&gt;1),0,1/$E64)</f>
        <v/>
      </c>
      <c r="H64" s="54">
        <f>IF(OR($E64=0,H65="",H$6&lt;&gt;1),0,1/$E64)</f>
        <v/>
      </c>
      <c r="I64" s="54">
        <f>IF(OR($E64=0,I65="",I$6&lt;&gt;1),0,1/$E64)</f>
        <v/>
      </c>
      <c r="J64" s="54">
        <f>IF(OR($E64=0,J65="",J$6&lt;&gt;1),0,1/$E64)</f>
        <v/>
      </c>
      <c r="K64" s="54">
        <f>IF(OR($E64=0,K65="",K$6&lt;&gt;1),0,1/$E64)</f>
        <v/>
      </c>
      <c r="L64" s="54">
        <f>IF(OR($E64=0,L65="",L$6&lt;&gt;1),0,1/$E64)</f>
        <v/>
      </c>
      <c r="M64" s="54">
        <f>IF(OR($E64=0,M65="",M$6&lt;&gt;1),0,1/$E64)</f>
        <v/>
      </c>
      <c r="N64" s="54">
        <f>IF(OR($E64=0,N65="",N$6&lt;&gt;1),0,1/$E64)</f>
        <v/>
      </c>
      <c r="O64" s="54">
        <f>IF(OR($E64=0,O65="",O$6&lt;&gt;1),0,1/$E64)</f>
        <v/>
      </c>
      <c r="P64" s="54">
        <f>IF(OR($E64=0,P65="",P$6&lt;&gt;1),0,1/$E64)</f>
        <v/>
      </c>
      <c r="Q64" s="54">
        <f>IF(OR($E64=0,Q65="",Q$6&lt;&gt;1),0,1/$E64)</f>
        <v/>
      </c>
      <c r="R64" s="54">
        <f>IF(OR($E64=0,R65="",R$6&lt;&gt;1),0,1/$E64)</f>
        <v/>
      </c>
      <c r="S64" s="54">
        <f>IF(OR($E64=0,S65="",S$6&lt;&gt;1),0,1/$E64)</f>
        <v/>
      </c>
      <c r="T64" s="54">
        <f>IF(OR($E64=0,T65="",T$6&lt;&gt;1),0,1/$E64)</f>
        <v/>
      </c>
      <c r="U64" s="54">
        <f>IF(OR($E64=0,U65="",U$6&lt;&gt;1),0,1/$E64)</f>
        <v/>
      </c>
      <c r="V64" s="54">
        <f>IF(OR($E64=0,V65="",V$6&lt;&gt;1),0,1/$E64)</f>
        <v/>
      </c>
      <c r="W64" s="54">
        <f>IF(OR($E64=0,W65="",W$6&lt;&gt;1),0,1/$E64)</f>
        <v/>
      </c>
      <c r="X64" s="54">
        <f>IF(OR($E64=0,X65="",X$6&lt;&gt;1),0,1/$E64)</f>
        <v/>
      </c>
      <c r="Y64" s="54">
        <f>IF(OR($E64=0,Y65="",Y$6&lt;&gt;1),0,1/$E64)</f>
        <v/>
      </c>
      <c r="Z64" s="54">
        <f>IF(OR($E64=0,Z65="",Z$6&lt;&gt;1),0,1/$E64)</f>
        <v/>
      </c>
      <c r="AA64" s="54">
        <f>IF(OR($E64=0,AA65="",AA$6&lt;&gt;1),0,1/$E64)</f>
        <v/>
      </c>
      <c r="AB64" s="54">
        <f>IF(OR($E64=0,AB65="",AB$6&lt;&gt;1),0,1/$E64)</f>
        <v/>
      </c>
    </row>
    <row r="65">
      <c r="A65" s="70" t="n"/>
      <c r="B65" s="71" t="n"/>
      <c r="C65" s="72" t="inlineStr">
        <is>
          <t>工程</t>
        </is>
      </c>
      <c r="D65" s="73" t="n"/>
      <c r="E65" s="70" t="n"/>
      <c r="F65" s="74" t="n"/>
      <c r="G65" s="60" t="n"/>
      <c r="H65" s="60" t="n"/>
      <c r="I65" s="60" t="n"/>
      <c r="J65" s="60" t="n"/>
      <c r="K65" s="60" t="n">
        <v>1</v>
      </c>
      <c r="L65" s="60" t="n">
        <v>1</v>
      </c>
      <c r="M65" s="60" t="n">
        <v>1</v>
      </c>
      <c r="N65" s="60" t="n">
        <v>1</v>
      </c>
      <c r="O65" s="60" t="n"/>
      <c r="P65" s="60" t="n">
        <v>1</v>
      </c>
      <c r="Q65" s="60" t="n">
        <v>1</v>
      </c>
      <c r="R65" s="60" t="n">
        <v>1</v>
      </c>
      <c r="S65" s="60" t="n">
        <v>1</v>
      </c>
      <c r="T65" s="60" t="n">
        <v>1</v>
      </c>
      <c r="U65" s="60" t="n"/>
      <c r="V65" s="60" t="n"/>
      <c r="W65" s="60" t="n"/>
      <c r="X65" s="60" t="n"/>
      <c r="Y65" s="60" t="n"/>
      <c r="Z65" s="60" t="n"/>
      <c r="AA65" s="60" t="n"/>
      <c r="AB65" s="60" t="n"/>
    </row>
    <row r="66">
      <c r="A66" s="70" t="n"/>
      <c r="B66" s="71" t="n"/>
      <c r="C66" s="72" t="inlineStr">
        <is>
          <t>累計出来高率</t>
        </is>
      </c>
      <c r="D66" s="73" t="n"/>
      <c r="E66" s="70" t="n"/>
      <c r="F66" s="74" t="n"/>
      <c r="G66" s="61">
        <f>G64</f>
        <v/>
      </c>
      <c r="H66" s="61">
        <f>G66+H64</f>
        <v/>
      </c>
      <c r="I66" s="61">
        <f>H66+I64</f>
        <v/>
      </c>
      <c r="J66" s="61">
        <f>I66+J64</f>
        <v/>
      </c>
      <c r="K66" s="61">
        <f>J66+K64</f>
        <v/>
      </c>
      <c r="L66" s="61">
        <f>K66+L64</f>
        <v/>
      </c>
      <c r="M66" s="61">
        <f>L66+M64</f>
        <v/>
      </c>
      <c r="N66" s="61">
        <f>M66+N64</f>
        <v/>
      </c>
      <c r="O66" s="61">
        <f>N66+O64</f>
        <v/>
      </c>
      <c r="P66" s="61">
        <f>O66+P64</f>
        <v/>
      </c>
      <c r="Q66" s="61">
        <f>P66+Q64</f>
        <v/>
      </c>
      <c r="R66" s="61">
        <f>Q66+R64</f>
        <v/>
      </c>
      <c r="S66" s="61">
        <f>R66+S64</f>
        <v/>
      </c>
      <c r="T66" s="61">
        <f>S66+T64</f>
        <v/>
      </c>
      <c r="U66" s="61">
        <f>T66+U64</f>
        <v/>
      </c>
      <c r="V66" s="61">
        <f>U66+V64</f>
        <v/>
      </c>
      <c r="W66" s="61">
        <f>V66+W64</f>
        <v/>
      </c>
      <c r="X66" s="61">
        <f>W66+X64</f>
        <v/>
      </c>
      <c r="Y66" s="61">
        <f>X66+Y64</f>
        <v/>
      </c>
      <c r="Z66" s="61">
        <f>Y66+Z64</f>
        <v/>
      </c>
      <c r="AA66" s="61">
        <f>Z66+AA64</f>
        <v/>
      </c>
      <c r="AB66" s="61">
        <f>AA66+AB64</f>
        <v/>
      </c>
    </row>
    <row r="67">
      <c r="A67" s="65" t="inlineStr">
        <is>
          <t>12</t>
        </is>
      </c>
      <c r="B67" s="66" t="inlineStr">
        <is>
          <t>雑工事</t>
        </is>
      </c>
      <c r="C67" s="67" t="inlineStr">
        <is>
          <t>今週出来高率</t>
        </is>
      </c>
      <c r="D67" s="68">
        <f>'金額リスト'!C26</f>
        <v/>
      </c>
      <c r="E67" s="65">
        <f>SUMPRODUCT((G68:AB68&lt;&gt;"")*(G$6:AB$6=1))</f>
        <v/>
      </c>
      <c r="F67" s="69">
        <f>SUM(G67:AB67)</f>
        <v/>
      </c>
      <c r="G67" s="54">
        <f>IF(OR($E67=0,G68="",G$6&lt;&gt;1),0,1/$E67)</f>
        <v/>
      </c>
      <c r="H67" s="54">
        <f>IF(OR($E67=0,H68="",H$6&lt;&gt;1),0,1/$E67)</f>
        <v/>
      </c>
      <c r="I67" s="54">
        <f>IF(OR($E67=0,I68="",I$6&lt;&gt;1),0,1/$E67)</f>
        <v/>
      </c>
      <c r="J67" s="54">
        <f>IF(OR($E67=0,J68="",J$6&lt;&gt;1),0,1/$E67)</f>
        <v/>
      </c>
      <c r="K67" s="54">
        <f>IF(OR($E67=0,K68="",K$6&lt;&gt;1),0,1/$E67)</f>
        <v/>
      </c>
      <c r="L67" s="54">
        <f>IF(OR($E67=0,L68="",L$6&lt;&gt;1),0,1/$E67)</f>
        <v/>
      </c>
      <c r="M67" s="54">
        <f>IF(OR($E67=0,M68="",M$6&lt;&gt;1),0,1/$E67)</f>
        <v/>
      </c>
      <c r="N67" s="54">
        <f>IF(OR($E67=0,N68="",N$6&lt;&gt;1),0,1/$E67)</f>
        <v/>
      </c>
      <c r="O67" s="54">
        <f>IF(OR($E67=0,O68="",O$6&lt;&gt;1),0,1/$E67)</f>
        <v/>
      </c>
      <c r="P67" s="54">
        <f>IF(OR($E67=0,P68="",P$6&lt;&gt;1),0,1/$E67)</f>
        <v/>
      </c>
      <c r="Q67" s="54">
        <f>IF(OR($E67=0,Q68="",Q$6&lt;&gt;1),0,1/$E67)</f>
        <v/>
      </c>
      <c r="R67" s="54">
        <f>IF(OR($E67=0,R68="",R$6&lt;&gt;1),0,1/$E67)</f>
        <v/>
      </c>
      <c r="S67" s="54">
        <f>IF(OR($E67=0,S68="",S$6&lt;&gt;1),0,1/$E67)</f>
        <v/>
      </c>
      <c r="T67" s="54">
        <f>IF(OR($E67=0,T68="",T$6&lt;&gt;1),0,1/$E67)</f>
        <v/>
      </c>
      <c r="U67" s="54">
        <f>IF(OR($E67=0,U68="",U$6&lt;&gt;1),0,1/$E67)</f>
        <v/>
      </c>
      <c r="V67" s="54">
        <f>IF(OR($E67=0,V68="",V$6&lt;&gt;1),0,1/$E67)</f>
        <v/>
      </c>
      <c r="W67" s="54">
        <f>IF(OR($E67=0,W68="",W$6&lt;&gt;1),0,1/$E67)</f>
        <v/>
      </c>
      <c r="X67" s="54">
        <f>IF(OR($E67=0,X68="",X$6&lt;&gt;1),0,1/$E67)</f>
        <v/>
      </c>
      <c r="Y67" s="54">
        <f>IF(OR($E67=0,Y68="",Y$6&lt;&gt;1),0,1/$E67)</f>
        <v/>
      </c>
      <c r="Z67" s="54">
        <f>IF(OR($E67=0,Z68="",Z$6&lt;&gt;1),0,1/$E67)</f>
        <v/>
      </c>
      <c r="AA67" s="54">
        <f>IF(OR($E67=0,AA68="",AA$6&lt;&gt;1),0,1/$E67)</f>
        <v/>
      </c>
      <c r="AB67" s="54">
        <f>IF(OR($E67=0,AB68="",AB$6&lt;&gt;1),0,1/$E67)</f>
        <v/>
      </c>
    </row>
    <row r="68">
      <c r="A68" s="70" t="n"/>
      <c r="B68" s="71" t="n"/>
      <c r="C68" s="72" t="inlineStr">
        <is>
          <t>工程</t>
        </is>
      </c>
      <c r="D68" s="73" t="n"/>
      <c r="E68" s="70" t="n"/>
      <c r="F68" s="74" t="n"/>
      <c r="G68" s="60" t="n"/>
      <c r="H68" s="60" t="n"/>
      <c r="I68" s="60" t="n"/>
      <c r="J68" s="60" t="n"/>
      <c r="K68" s="60" t="n"/>
      <c r="L68" s="60" t="n"/>
      <c r="M68" s="60" t="n">
        <v>1</v>
      </c>
      <c r="N68" s="60" t="n"/>
      <c r="O68" s="60" t="n"/>
      <c r="P68" s="60" t="n">
        <v>1</v>
      </c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  <c r="Z68" s="60" t="n">
        <v>1</v>
      </c>
      <c r="AA68" s="60" t="n">
        <v>1</v>
      </c>
      <c r="AB68" s="60" t="n">
        <v>1</v>
      </c>
    </row>
    <row r="69">
      <c r="A69" s="70" t="n"/>
      <c r="B69" s="71" t="n"/>
      <c r="C69" s="72" t="inlineStr">
        <is>
          <t>累計出来高率</t>
        </is>
      </c>
      <c r="D69" s="73" t="n"/>
      <c r="E69" s="70" t="n"/>
      <c r="F69" s="74" t="n"/>
      <c r="G69" s="61">
        <f>G67</f>
        <v/>
      </c>
      <c r="H69" s="61">
        <f>G69+H67</f>
        <v/>
      </c>
      <c r="I69" s="61">
        <f>H69+I67</f>
        <v/>
      </c>
      <c r="J69" s="61">
        <f>I69+J67</f>
        <v/>
      </c>
      <c r="K69" s="61">
        <f>J69+K67</f>
        <v/>
      </c>
      <c r="L69" s="61">
        <f>K69+L67</f>
        <v/>
      </c>
      <c r="M69" s="61">
        <f>L69+M67</f>
        <v/>
      </c>
      <c r="N69" s="61">
        <f>M69+N67</f>
        <v/>
      </c>
      <c r="O69" s="61">
        <f>N69+O67</f>
        <v/>
      </c>
      <c r="P69" s="61">
        <f>O69+P67</f>
        <v/>
      </c>
      <c r="Q69" s="61">
        <f>P69+Q67</f>
        <v/>
      </c>
      <c r="R69" s="61">
        <f>Q69+R67</f>
        <v/>
      </c>
      <c r="S69" s="61">
        <f>R69+S67</f>
        <v/>
      </c>
      <c r="T69" s="61">
        <f>S69+T67</f>
        <v/>
      </c>
      <c r="U69" s="61">
        <f>T69+U67</f>
        <v/>
      </c>
      <c r="V69" s="61">
        <f>U69+V67</f>
        <v/>
      </c>
      <c r="W69" s="61">
        <f>V69+W67</f>
        <v/>
      </c>
      <c r="X69" s="61">
        <f>W69+X67</f>
        <v/>
      </c>
      <c r="Y69" s="61">
        <f>X69+Y67</f>
        <v/>
      </c>
      <c r="Z69" s="61">
        <f>Y69+Z67</f>
        <v/>
      </c>
      <c r="AA69" s="61">
        <f>Z69+AA67</f>
        <v/>
      </c>
      <c r="AB69" s="61">
        <f>AA69+AB67</f>
        <v/>
      </c>
    </row>
    <row r="70">
      <c r="A70" s="49" t="inlineStr">
        <is>
          <t>c)-2</t>
        </is>
      </c>
      <c r="B70" s="50" t="inlineStr">
        <is>
          <t>電気設備工事</t>
        </is>
      </c>
      <c r="C70" s="51" t="inlineStr">
        <is>
          <t>今週出来高率</t>
        </is>
      </c>
      <c r="D70" s="52">
        <f>'金額リスト'!C28</f>
        <v/>
      </c>
      <c r="E70" s="49">
        <f>SUMPRODUCT((G71:AB71&lt;&gt;"")*(G$6:AB$6=1))</f>
        <v/>
      </c>
      <c r="F70" s="53">
        <f>SUM(G70:AB70)</f>
        <v/>
      </c>
      <c r="G70" s="54">
        <f>IF(OR($E70=0,G71="",G$6&lt;&gt;1),0,1/$E70)</f>
        <v/>
      </c>
      <c r="H70" s="54">
        <f>IF(OR($E70=0,H71="",H$6&lt;&gt;1),0,1/$E70)</f>
        <v/>
      </c>
      <c r="I70" s="54">
        <f>IF(OR($E70=0,I71="",I$6&lt;&gt;1),0,1/$E70)</f>
        <v/>
      </c>
      <c r="J70" s="54">
        <f>IF(OR($E70=0,J71="",J$6&lt;&gt;1),0,1/$E70)</f>
        <v/>
      </c>
      <c r="K70" s="54">
        <f>IF(OR($E70=0,K71="",K$6&lt;&gt;1),0,1/$E70)</f>
        <v/>
      </c>
      <c r="L70" s="54">
        <f>IF(OR($E70=0,L71="",L$6&lt;&gt;1),0,1/$E70)</f>
        <v/>
      </c>
      <c r="M70" s="54">
        <f>IF(OR($E70=0,M71="",M$6&lt;&gt;1),0,1/$E70)</f>
        <v/>
      </c>
      <c r="N70" s="54">
        <f>IF(OR($E70=0,N71="",N$6&lt;&gt;1),0,1/$E70)</f>
        <v/>
      </c>
      <c r="O70" s="54">
        <f>IF(OR($E70=0,O71="",O$6&lt;&gt;1),0,1/$E70)</f>
        <v/>
      </c>
      <c r="P70" s="54">
        <f>IF(OR($E70=0,P71="",P$6&lt;&gt;1),0,1/$E70)</f>
        <v/>
      </c>
      <c r="Q70" s="54">
        <f>IF(OR($E70=0,Q71="",Q$6&lt;&gt;1),0,1/$E70)</f>
        <v/>
      </c>
      <c r="R70" s="54">
        <f>IF(OR($E70=0,R71="",R$6&lt;&gt;1),0,1/$E70)</f>
        <v/>
      </c>
      <c r="S70" s="54">
        <f>IF(OR($E70=0,S71="",S$6&lt;&gt;1),0,1/$E70)</f>
        <v/>
      </c>
      <c r="T70" s="54">
        <f>IF(OR($E70=0,T71="",T$6&lt;&gt;1),0,1/$E70)</f>
        <v/>
      </c>
      <c r="U70" s="54">
        <f>IF(OR($E70=0,U71="",U$6&lt;&gt;1),0,1/$E70)</f>
        <v/>
      </c>
      <c r="V70" s="54">
        <f>IF(OR($E70=0,V71="",V$6&lt;&gt;1),0,1/$E70)</f>
        <v/>
      </c>
      <c r="W70" s="54">
        <f>IF(OR($E70=0,W71="",W$6&lt;&gt;1),0,1/$E70)</f>
        <v/>
      </c>
      <c r="X70" s="54">
        <f>IF(OR($E70=0,X71="",X$6&lt;&gt;1),0,1/$E70)</f>
        <v/>
      </c>
      <c r="Y70" s="54">
        <f>IF(OR($E70=0,Y71="",Y$6&lt;&gt;1),0,1/$E70)</f>
        <v/>
      </c>
      <c r="Z70" s="54">
        <f>IF(OR($E70=0,Z71="",Z$6&lt;&gt;1),0,1/$E70)</f>
        <v/>
      </c>
      <c r="AA70" s="54">
        <f>IF(OR($E70=0,AA71="",AA$6&lt;&gt;1),0,1/$E70)</f>
        <v/>
      </c>
      <c r="AB70" s="54">
        <f>IF(OR($E70=0,AB71="",AB$6&lt;&gt;1),0,1/$E70)</f>
        <v/>
      </c>
    </row>
    <row r="71">
      <c r="A71" s="55" t="n"/>
      <c r="B71" s="56" t="n"/>
      <c r="C71" s="57" t="inlineStr">
        <is>
          <t>工程</t>
        </is>
      </c>
      <c r="D71" s="58" t="n"/>
      <c r="E71" s="55" t="n"/>
      <c r="F71" s="59" t="n"/>
      <c r="G71" s="60" t="n"/>
      <c r="H71" s="60" t="n"/>
      <c r="I71" s="60" t="n"/>
      <c r="J71" s="60" t="n">
        <v>1</v>
      </c>
      <c r="K71" s="60" t="n">
        <v>1</v>
      </c>
      <c r="L71" s="60" t="n"/>
      <c r="M71" s="60" t="n">
        <v>1</v>
      </c>
      <c r="N71" s="60" t="n">
        <v>1</v>
      </c>
      <c r="O71" s="60" t="n"/>
      <c r="P71" s="60" t="n">
        <v>1</v>
      </c>
      <c r="Q71" s="60" t="n">
        <v>1</v>
      </c>
      <c r="R71" s="60" t="n"/>
      <c r="S71" s="60" t="n"/>
      <c r="T71" s="60" t="n">
        <v>1</v>
      </c>
      <c r="U71" s="60" t="n">
        <v>1</v>
      </c>
      <c r="V71" s="60" t="n">
        <v>1</v>
      </c>
      <c r="W71" s="60" t="n"/>
      <c r="X71" s="60" t="n"/>
      <c r="Y71" s="60" t="n"/>
      <c r="Z71" s="60" t="n">
        <v>1</v>
      </c>
      <c r="AA71" s="60" t="n">
        <v>1</v>
      </c>
      <c r="AB71" s="60" t="n">
        <v>1</v>
      </c>
    </row>
    <row r="72">
      <c r="A72" s="55" t="n"/>
      <c r="B72" s="56" t="n"/>
      <c r="C72" s="57" t="inlineStr">
        <is>
          <t>累計出来高率</t>
        </is>
      </c>
      <c r="D72" s="58" t="n"/>
      <c r="E72" s="55" t="n"/>
      <c r="F72" s="59" t="n"/>
      <c r="G72" s="61">
        <f>G70</f>
        <v/>
      </c>
      <c r="H72" s="61">
        <f>G72+H70</f>
        <v/>
      </c>
      <c r="I72" s="61">
        <f>H72+I70</f>
        <v/>
      </c>
      <c r="J72" s="61">
        <f>I72+J70</f>
        <v/>
      </c>
      <c r="K72" s="61">
        <f>J72+K70</f>
        <v/>
      </c>
      <c r="L72" s="61">
        <f>K72+L70</f>
        <v/>
      </c>
      <c r="M72" s="61">
        <f>L72+M70</f>
        <v/>
      </c>
      <c r="N72" s="61">
        <f>M72+N70</f>
        <v/>
      </c>
      <c r="O72" s="61">
        <f>N72+O70</f>
        <v/>
      </c>
      <c r="P72" s="61">
        <f>O72+P70</f>
        <v/>
      </c>
      <c r="Q72" s="61">
        <f>P72+Q70</f>
        <v/>
      </c>
      <c r="R72" s="61">
        <f>Q72+R70</f>
        <v/>
      </c>
      <c r="S72" s="61">
        <f>R72+S70</f>
        <v/>
      </c>
      <c r="T72" s="61">
        <f>S72+T70</f>
        <v/>
      </c>
      <c r="U72" s="61">
        <f>T72+U70</f>
        <v/>
      </c>
      <c r="V72" s="61">
        <f>U72+V70</f>
        <v/>
      </c>
      <c r="W72" s="61">
        <f>V72+W70</f>
        <v/>
      </c>
      <c r="X72" s="61">
        <f>W72+X70</f>
        <v/>
      </c>
      <c r="Y72" s="61">
        <f>X72+Y70</f>
        <v/>
      </c>
      <c r="Z72" s="61">
        <f>Y72+Z70</f>
        <v/>
      </c>
      <c r="AA72" s="61">
        <f>Z72+AA70</f>
        <v/>
      </c>
      <c r="AB72" s="61">
        <f>AA72+AB70</f>
        <v/>
      </c>
    </row>
    <row r="73">
      <c r="A73" s="49" t="inlineStr">
        <is>
          <t>c)-3</t>
        </is>
      </c>
      <c r="B73" s="50" t="inlineStr">
        <is>
          <t>空気調和設備工事</t>
        </is>
      </c>
      <c r="C73" s="51" t="inlineStr">
        <is>
          <t>今週出来高率</t>
        </is>
      </c>
      <c r="D73" s="52">
        <f>'金額リスト'!C29</f>
        <v/>
      </c>
      <c r="E73" s="49">
        <f>SUMPRODUCT((G74:AB74&lt;&gt;"")*(G$6:AB$6=1))</f>
        <v/>
      </c>
      <c r="F73" s="53">
        <f>SUM(G73:AB73)</f>
        <v/>
      </c>
      <c r="G73" s="54">
        <f>IF(OR($E73=0,G74="",G$6&lt;&gt;1),0,1/$E73)</f>
        <v/>
      </c>
      <c r="H73" s="54">
        <f>IF(OR($E73=0,H74="",H$6&lt;&gt;1),0,1/$E73)</f>
        <v/>
      </c>
      <c r="I73" s="54">
        <f>IF(OR($E73=0,I74="",I$6&lt;&gt;1),0,1/$E73)</f>
        <v/>
      </c>
      <c r="J73" s="54">
        <f>IF(OR($E73=0,J74="",J$6&lt;&gt;1),0,1/$E73)</f>
        <v/>
      </c>
      <c r="K73" s="54">
        <f>IF(OR($E73=0,K74="",K$6&lt;&gt;1),0,1/$E73)</f>
        <v/>
      </c>
      <c r="L73" s="54">
        <f>IF(OR($E73=0,L74="",L$6&lt;&gt;1),0,1/$E73)</f>
        <v/>
      </c>
      <c r="M73" s="54">
        <f>IF(OR($E73=0,M74="",M$6&lt;&gt;1),0,1/$E73)</f>
        <v/>
      </c>
      <c r="N73" s="54">
        <f>IF(OR($E73=0,N74="",N$6&lt;&gt;1),0,1/$E73)</f>
        <v/>
      </c>
      <c r="O73" s="54">
        <f>IF(OR($E73=0,O74="",O$6&lt;&gt;1),0,1/$E73)</f>
        <v/>
      </c>
      <c r="P73" s="54">
        <f>IF(OR($E73=0,P74="",P$6&lt;&gt;1),0,1/$E73)</f>
        <v/>
      </c>
      <c r="Q73" s="54">
        <f>IF(OR($E73=0,Q74="",Q$6&lt;&gt;1),0,1/$E73)</f>
        <v/>
      </c>
      <c r="R73" s="54">
        <f>IF(OR($E73=0,R74="",R$6&lt;&gt;1),0,1/$E73)</f>
        <v/>
      </c>
      <c r="S73" s="54">
        <f>IF(OR($E73=0,S74="",S$6&lt;&gt;1),0,1/$E73)</f>
        <v/>
      </c>
      <c r="T73" s="54">
        <f>IF(OR($E73=0,T74="",T$6&lt;&gt;1),0,1/$E73)</f>
        <v/>
      </c>
      <c r="U73" s="54">
        <f>IF(OR($E73=0,U74="",U$6&lt;&gt;1),0,1/$E73)</f>
        <v/>
      </c>
      <c r="V73" s="54">
        <f>IF(OR($E73=0,V74="",V$6&lt;&gt;1),0,1/$E73)</f>
        <v/>
      </c>
      <c r="W73" s="54">
        <f>IF(OR($E73=0,W74="",W$6&lt;&gt;1),0,1/$E73)</f>
        <v/>
      </c>
      <c r="X73" s="54">
        <f>IF(OR($E73=0,X74="",X$6&lt;&gt;1),0,1/$E73)</f>
        <v/>
      </c>
      <c r="Y73" s="54">
        <f>IF(OR($E73=0,Y74="",Y$6&lt;&gt;1),0,1/$E73)</f>
        <v/>
      </c>
      <c r="Z73" s="54">
        <f>IF(OR($E73=0,Z74="",Z$6&lt;&gt;1),0,1/$E73)</f>
        <v/>
      </c>
      <c r="AA73" s="54">
        <f>IF(OR($E73=0,AA74="",AA$6&lt;&gt;1),0,1/$E73)</f>
        <v/>
      </c>
      <c r="AB73" s="54">
        <f>IF(OR($E73=0,AB74="",AB$6&lt;&gt;1),0,1/$E73)</f>
        <v/>
      </c>
    </row>
    <row r="74">
      <c r="A74" s="55" t="n"/>
      <c r="B74" s="56" t="n"/>
      <c r="C74" s="57" t="inlineStr">
        <is>
          <t>工程</t>
        </is>
      </c>
      <c r="D74" s="58" t="n"/>
      <c r="E74" s="55" t="n"/>
      <c r="F74" s="59" t="n"/>
      <c r="G74" s="60" t="n"/>
      <c r="H74" s="60" t="n"/>
      <c r="I74" s="60" t="n"/>
      <c r="J74" s="60" t="n">
        <v>1</v>
      </c>
      <c r="K74" s="60" t="n">
        <v>1</v>
      </c>
      <c r="L74" s="60" t="n"/>
      <c r="M74" s="60" t="n">
        <v>1</v>
      </c>
      <c r="N74" s="60" t="n">
        <v>1</v>
      </c>
      <c r="O74" s="60" t="n"/>
      <c r="P74" s="60" t="n">
        <v>1</v>
      </c>
      <c r="Q74" s="60" t="n">
        <v>1</v>
      </c>
      <c r="R74" s="60" t="n"/>
      <c r="S74" s="60" t="n"/>
      <c r="T74" s="60" t="n">
        <v>1</v>
      </c>
      <c r="U74" s="60" t="n">
        <v>1</v>
      </c>
      <c r="V74" s="60" t="n">
        <v>1</v>
      </c>
      <c r="W74" s="60" t="n"/>
      <c r="X74" s="60" t="n"/>
      <c r="Y74" s="60" t="n"/>
      <c r="Z74" s="60" t="n">
        <v>1</v>
      </c>
      <c r="AA74" s="60" t="n">
        <v>1</v>
      </c>
      <c r="AB74" s="60" t="n">
        <v>1</v>
      </c>
    </row>
    <row r="75">
      <c r="A75" s="55" t="n"/>
      <c r="B75" s="56" t="n"/>
      <c r="C75" s="57" t="inlineStr">
        <is>
          <t>累計出来高率</t>
        </is>
      </c>
      <c r="D75" s="58" t="n"/>
      <c r="E75" s="55" t="n"/>
      <c r="F75" s="59" t="n"/>
      <c r="G75" s="61">
        <f>G73</f>
        <v/>
      </c>
      <c r="H75" s="61">
        <f>G75+H73</f>
        <v/>
      </c>
      <c r="I75" s="61">
        <f>H75+I73</f>
        <v/>
      </c>
      <c r="J75" s="61">
        <f>I75+J73</f>
        <v/>
      </c>
      <c r="K75" s="61">
        <f>J75+K73</f>
        <v/>
      </c>
      <c r="L75" s="61">
        <f>K75+L73</f>
        <v/>
      </c>
      <c r="M75" s="61">
        <f>L75+M73</f>
        <v/>
      </c>
      <c r="N75" s="61">
        <f>M75+N73</f>
        <v/>
      </c>
      <c r="O75" s="61">
        <f>N75+O73</f>
        <v/>
      </c>
      <c r="P75" s="61">
        <f>O75+P73</f>
        <v/>
      </c>
      <c r="Q75" s="61">
        <f>P75+Q73</f>
        <v/>
      </c>
      <c r="R75" s="61">
        <f>Q75+R73</f>
        <v/>
      </c>
      <c r="S75" s="61">
        <f>R75+S73</f>
        <v/>
      </c>
      <c r="T75" s="61">
        <f>S75+T73</f>
        <v/>
      </c>
      <c r="U75" s="61">
        <f>T75+U73</f>
        <v/>
      </c>
      <c r="V75" s="61">
        <f>U75+V73</f>
        <v/>
      </c>
      <c r="W75" s="61">
        <f>V75+W73</f>
        <v/>
      </c>
      <c r="X75" s="61">
        <f>W75+X73</f>
        <v/>
      </c>
      <c r="Y75" s="61">
        <f>X75+Y73</f>
        <v/>
      </c>
      <c r="Z75" s="61">
        <f>Y75+Z73</f>
        <v/>
      </c>
      <c r="AA75" s="61">
        <f>Z75+AA73</f>
        <v/>
      </c>
      <c r="AB75" s="61">
        <f>AA75+AB73</f>
        <v/>
      </c>
    </row>
    <row r="76">
      <c r="A76" s="49" t="inlineStr">
        <is>
          <t>c)-4</t>
        </is>
      </c>
      <c r="B76" s="50" t="inlineStr">
        <is>
          <t>衛生設備工事</t>
        </is>
      </c>
      <c r="C76" s="51" t="inlineStr">
        <is>
          <t>今週出来高率</t>
        </is>
      </c>
      <c r="D76" s="52">
        <f>'金額リスト'!C30</f>
        <v/>
      </c>
      <c r="E76" s="49">
        <f>SUMPRODUCT((G77:AB77&lt;&gt;"")*(G$6:AB$6=1))</f>
        <v/>
      </c>
      <c r="F76" s="53">
        <f>SUM(G76:AB76)</f>
        <v/>
      </c>
      <c r="G76" s="54">
        <f>IF(OR($E76=0,G77="",G$6&lt;&gt;1),0,1/$E76)</f>
        <v/>
      </c>
      <c r="H76" s="54">
        <f>IF(OR($E76=0,H77="",H$6&lt;&gt;1),0,1/$E76)</f>
        <v/>
      </c>
      <c r="I76" s="54">
        <f>IF(OR($E76=0,I77="",I$6&lt;&gt;1),0,1/$E76)</f>
        <v/>
      </c>
      <c r="J76" s="54">
        <f>IF(OR($E76=0,J77="",J$6&lt;&gt;1),0,1/$E76)</f>
        <v/>
      </c>
      <c r="K76" s="54">
        <f>IF(OR($E76=0,K77="",K$6&lt;&gt;1),0,1/$E76)</f>
        <v/>
      </c>
      <c r="L76" s="54">
        <f>IF(OR($E76=0,L77="",L$6&lt;&gt;1),0,1/$E76)</f>
        <v/>
      </c>
      <c r="M76" s="54">
        <f>IF(OR($E76=0,M77="",M$6&lt;&gt;1),0,1/$E76)</f>
        <v/>
      </c>
      <c r="N76" s="54">
        <f>IF(OR($E76=0,N77="",N$6&lt;&gt;1),0,1/$E76)</f>
        <v/>
      </c>
      <c r="O76" s="54">
        <f>IF(OR($E76=0,O77="",O$6&lt;&gt;1),0,1/$E76)</f>
        <v/>
      </c>
      <c r="P76" s="54">
        <f>IF(OR($E76=0,P77="",P$6&lt;&gt;1),0,1/$E76)</f>
        <v/>
      </c>
      <c r="Q76" s="54">
        <f>IF(OR($E76=0,Q77="",Q$6&lt;&gt;1),0,1/$E76)</f>
        <v/>
      </c>
      <c r="R76" s="54">
        <f>IF(OR($E76=0,R77="",R$6&lt;&gt;1),0,1/$E76)</f>
        <v/>
      </c>
      <c r="S76" s="54">
        <f>IF(OR($E76=0,S77="",S$6&lt;&gt;1),0,1/$E76)</f>
        <v/>
      </c>
      <c r="T76" s="54">
        <f>IF(OR($E76=0,T77="",T$6&lt;&gt;1),0,1/$E76)</f>
        <v/>
      </c>
      <c r="U76" s="54">
        <f>IF(OR($E76=0,U77="",U$6&lt;&gt;1),0,1/$E76)</f>
        <v/>
      </c>
      <c r="V76" s="54">
        <f>IF(OR($E76=0,V77="",V$6&lt;&gt;1),0,1/$E76)</f>
        <v/>
      </c>
      <c r="W76" s="54">
        <f>IF(OR($E76=0,W77="",W$6&lt;&gt;1),0,1/$E76)</f>
        <v/>
      </c>
      <c r="X76" s="54">
        <f>IF(OR($E76=0,X77="",X$6&lt;&gt;1),0,1/$E76)</f>
        <v/>
      </c>
      <c r="Y76" s="54">
        <f>IF(OR($E76=0,Y77="",Y$6&lt;&gt;1),0,1/$E76)</f>
        <v/>
      </c>
      <c r="Z76" s="54">
        <f>IF(OR($E76=0,Z77="",Z$6&lt;&gt;1),0,1/$E76)</f>
        <v/>
      </c>
      <c r="AA76" s="54">
        <f>IF(OR($E76=0,AA77="",AA$6&lt;&gt;1),0,1/$E76)</f>
        <v/>
      </c>
      <c r="AB76" s="54">
        <f>IF(OR($E76=0,AB77="",AB$6&lt;&gt;1),0,1/$E76)</f>
        <v/>
      </c>
    </row>
    <row r="77">
      <c r="A77" s="55" t="n"/>
      <c r="B77" s="56" t="n"/>
      <c r="C77" s="57" t="inlineStr">
        <is>
          <t>工程</t>
        </is>
      </c>
      <c r="D77" s="58" t="n"/>
      <c r="E77" s="55" t="n"/>
      <c r="F77" s="59" t="n"/>
      <c r="G77" s="60" t="n"/>
      <c r="H77" s="60" t="n"/>
      <c r="I77" s="60" t="n"/>
      <c r="J77" s="60" t="n">
        <v>1</v>
      </c>
      <c r="K77" s="60" t="n">
        <v>1</v>
      </c>
      <c r="L77" s="60" t="n"/>
      <c r="M77" s="60" t="n">
        <v>1</v>
      </c>
      <c r="N77" s="60" t="n">
        <v>1</v>
      </c>
      <c r="O77" s="60" t="n"/>
      <c r="P77" s="60" t="n">
        <v>1</v>
      </c>
      <c r="Q77" s="60" t="n">
        <v>1</v>
      </c>
      <c r="R77" s="60" t="n"/>
      <c r="S77" s="60" t="n"/>
      <c r="T77" s="60" t="n">
        <v>1</v>
      </c>
      <c r="U77" s="60" t="n">
        <v>1</v>
      </c>
      <c r="V77" s="60" t="n">
        <v>1</v>
      </c>
      <c r="W77" s="60" t="n"/>
      <c r="X77" s="60" t="n"/>
      <c r="Y77" s="60" t="n"/>
      <c r="Z77" s="60" t="n">
        <v>1</v>
      </c>
      <c r="AA77" s="60" t="n">
        <v>1</v>
      </c>
      <c r="AB77" s="60" t="n">
        <v>1</v>
      </c>
    </row>
    <row r="78">
      <c r="A78" s="55" t="n"/>
      <c r="B78" s="56" t="n"/>
      <c r="C78" s="57" t="inlineStr">
        <is>
          <t>累計出来高率</t>
        </is>
      </c>
      <c r="D78" s="58" t="n"/>
      <c r="E78" s="55" t="n"/>
      <c r="F78" s="59" t="n"/>
      <c r="G78" s="61">
        <f>G76</f>
        <v/>
      </c>
      <c r="H78" s="61">
        <f>G78+H76</f>
        <v/>
      </c>
      <c r="I78" s="61">
        <f>H78+I76</f>
        <v/>
      </c>
      <c r="J78" s="61">
        <f>I78+J76</f>
        <v/>
      </c>
      <c r="K78" s="61">
        <f>J78+K76</f>
        <v/>
      </c>
      <c r="L78" s="61">
        <f>K78+L76</f>
        <v/>
      </c>
      <c r="M78" s="61">
        <f>L78+M76</f>
        <v/>
      </c>
      <c r="N78" s="61">
        <f>M78+N76</f>
        <v/>
      </c>
      <c r="O78" s="61">
        <f>N78+O76</f>
        <v/>
      </c>
      <c r="P78" s="61">
        <f>O78+P76</f>
        <v/>
      </c>
      <c r="Q78" s="61">
        <f>P78+Q76</f>
        <v/>
      </c>
      <c r="R78" s="61">
        <f>Q78+R76</f>
        <v/>
      </c>
      <c r="S78" s="61">
        <f>R78+S76</f>
        <v/>
      </c>
      <c r="T78" s="61">
        <f>S78+T76</f>
        <v/>
      </c>
      <c r="U78" s="61">
        <f>T78+U76</f>
        <v/>
      </c>
      <c r="V78" s="61">
        <f>U78+V76</f>
        <v/>
      </c>
      <c r="W78" s="61">
        <f>V78+W76</f>
        <v/>
      </c>
      <c r="X78" s="61">
        <f>W78+X76</f>
        <v/>
      </c>
      <c r="Y78" s="61">
        <f>X78+Y76</f>
        <v/>
      </c>
      <c r="Z78" s="61">
        <f>Y78+Z76</f>
        <v/>
      </c>
      <c r="AA78" s="61">
        <f>Z78+AA76</f>
        <v/>
      </c>
      <c r="AB78" s="61">
        <f>AA78+AB76</f>
        <v/>
      </c>
    </row>
    <row r="79">
      <c r="A79" s="36" t="inlineStr">
        <is>
          <t>d)</t>
        </is>
      </c>
      <c r="B79" s="37" t="inlineStr">
        <is>
          <t>諸経費</t>
        </is>
      </c>
      <c r="C79" s="38" t="inlineStr">
        <is>
          <t>今週出来高率</t>
        </is>
      </c>
      <c r="D79" s="39">
        <f>'金額リスト'!C31</f>
        <v/>
      </c>
      <c r="E79" s="36">
        <f>SUMPRODUCT((G80:AB80&lt;&gt;"")*(G$6:AB$6=1))</f>
        <v/>
      </c>
      <c r="F79" s="40">
        <f>SUM(G79:AB79)</f>
        <v/>
      </c>
      <c r="G79" s="29">
        <f>IF(OR($E79=0,G80="",G$6&lt;&gt;1),0,1/$E79)</f>
        <v/>
      </c>
      <c r="H79" s="29">
        <f>IF(OR($E79=0,H80="",H$6&lt;&gt;1),0,1/$E79)</f>
        <v/>
      </c>
      <c r="I79" s="29">
        <f>IF(OR($E79=0,I80="",I$6&lt;&gt;1),0,1/$E79)</f>
        <v/>
      </c>
      <c r="J79" s="29">
        <f>IF(OR($E79=0,J80="",J$6&lt;&gt;1),0,1/$E79)</f>
        <v/>
      </c>
      <c r="K79" s="29">
        <f>IF(OR($E79=0,K80="",K$6&lt;&gt;1),0,1/$E79)</f>
        <v/>
      </c>
      <c r="L79" s="29">
        <f>IF(OR($E79=0,L80="",L$6&lt;&gt;1),0,1/$E79)</f>
        <v/>
      </c>
      <c r="M79" s="29">
        <f>IF(OR($E79=0,M80="",M$6&lt;&gt;1),0,1/$E79)</f>
        <v/>
      </c>
      <c r="N79" s="29">
        <f>IF(OR($E79=0,N80="",N$6&lt;&gt;1),0,1/$E79)</f>
        <v/>
      </c>
      <c r="O79" s="29">
        <f>IF(OR($E79=0,O80="",O$6&lt;&gt;1),0,1/$E79)</f>
        <v/>
      </c>
      <c r="P79" s="29">
        <f>IF(OR($E79=0,P80="",P$6&lt;&gt;1),0,1/$E79)</f>
        <v/>
      </c>
      <c r="Q79" s="29">
        <f>IF(OR($E79=0,Q80="",Q$6&lt;&gt;1),0,1/$E79)</f>
        <v/>
      </c>
      <c r="R79" s="29">
        <f>IF(OR($E79=0,R80="",R$6&lt;&gt;1),0,1/$E79)</f>
        <v/>
      </c>
      <c r="S79" s="29">
        <f>IF(OR($E79=0,S80="",S$6&lt;&gt;1),0,1/$E79)</f>
        <v/>
      </c>
      <c r="T79" s="29">
        <f>IF(OR($E79=0,T80="",T$6&lt;&gt;1),0,1/$E79)</f>
        <v/>
      </c>
      <c r="U79" s="29">
        <f>IF(OR($E79=0,U80="",U$6&lt;&gt;1),0,1/$E79)</f>
        <v/>
      </c>
      <c r="V79" s="29">
        <f>IF(OR($E79=0,V80="",V$6&lt;&gt;1),0,1/$E79)</f>
        <v/>
      </c>
      <c r="W79" s="29">
        <f>IF(OR($E79=0,W80="",W$6&lt;&gt;1),0,1/$E79)</f>
        <v/>
      </c>
      <c r="X79" s="29">
        <f>IF(OR($E79=0,X80="",X$6&lt;&gt;1),0,1/$E79)</f>
        <v/>
      </c>
      <c r="Y79" s="29">
        <f>IF(OR($E79=0,Y80="",Y$6&lt;&gt;1),0,1/$E79)</f>
        <v/>
      </c>
      <c r="Z79" s="29">
        <f>IF(OR($E79=0,Z80="",Z$6&lt;&gt;1),0,1/$E79)</f>
        <v/>
      </c>
      <c r="AA79" s="29">
        <f>IF(OR($E79=0,AA80="",AA$6&lt;&gt;1),0,1/$E79)</f>
        <v/>
      </c>
      <c r="AB79" s="29">
        <f>IF(OR($E79=0,AB80="",AB$6&lt;&gt;1),0,1/$E79)</f>
        <v/>
      </c>
    </row>
    <row r="80">
      <c r="A80" s="41" t="n"/>
      <c r="B80" s="42" t="n"/>
      <c r="C80" s="43" t="inlineStr">
        <is>
          <t>工程</t>
        </is>
      </c>
      <c r="D80" s="44" t="n"/>
      <c r="E80" s="41" t="n"/>
      <c r="F80" s="45" t="n"/>
      <c r="G80" s="46" t="n"/>
      <c r="H80" s="46" t="n">
        <v>1</v>
      </c>
      <c r="I80" s="46" t="n">
        <v>1</v>
      </c>
      <c r="J80" s="46" t="n">
        <v>1</v>
      </c>
      <c r="K80" s="46" t="n">
        <v>1</v>
      </c>
      <c r="L80" s="46" t="n">
        <v>1</v>
      </c>
      <c r="M80" s="46" t="n">
        <v>1</v>
      </c>
      <c r="N80" s="46" t="n">
        <v>1</v>
      </c>
      <c r="O80" s="46" t="n">
        <v>1</v>
      </c>
      <c r="P80" s="46" t="n">
        <v>1</v>
      </c>
      <c r="Q80" s="46" t="n">
        <v>1</v>
      </c>
      <c r="R80" s="46" t="n">
        <v>1</v>
      </c>
      <c r="S80" s="46" t="n">
        <v>1</v>
      </c>
      <c r="T80" s="46" t="n">
        <v>1</v>
      </c>
      <c r="U80" s="46" t="n">
        <v>1</v>
      </c>
      <c r="V80" s="46" t="n">
        <v>1</v>
      </c>
      <c r="W80" s="46" t="n">
        <v>1</v>
      </c>
      <c r="X80" s="46" t="n">
        <v>1</v>
      </c>
      <c r="Y80" s="46" t="n">
        <v>1</v>
      </c>
      <c r="Z80" s="46" t="n">
        <v>1</v>
      </c>
      <c r="AA80" s="46" t="n">
        <v>1</v>
      </c>
      <c r="AB80" s="46" t="n">
        <v>1</v>
      </c>
    </row>
    <row r="81">
      <c r="A81" s="41" t="n"/>
      <c r="B81" s="42" t="n"/>
      <c r="C81" s="43" t="inlineStr">
        <is>
          <t>累計出来高率</t>
        </is>
      </c>
      <c r="D81" s="44" t="n"/>
      <c r="E81" s="41" t="n"/>
      <c r="F81" s="45" t="n"/>
      <c r="G81" s="35">
        <f>G79</f>
        <v/>
      </c>
      <c r="H81" s="35">
        <f>G81+H79</f>
        <v/>
      </c>
      <c r="I81" s="35">
        <f>H81+I79</f>
        <v/>
      </c>
      <c r="J81" s="35">
        <f>I81+J79</f>
        <v/>
      </c>
      <c r="K81" s="35">
        <f>J81+K79</f>
        <v/>
      </c>
      <c r="L81" s="35">
        <f>K81+L79</f>
        <v/>
      </c>
      <c r="M81" s="35">
        <f>L81+M79</f>
        <v/>
      </c>
      <c r="N81" s="35">
        <f>M81+N79</f>
        <v/>
      </c>
      <c r="O81" s="35">
        <f>N81+O79</f>
        <v/>
      </c>
      <c r="P81" s="35">
        <f>O81+P79</f>
        <v/>
      </c>
      <c r="Q81" s="35">
        <f>P81+Q79</f>
        <v/>
      </c>
      <c r="R81" s="35">
        <f>Q81+R79</f>
        <v/>
      </c>
      <c r="S81" s="35">
        <f>R81+S79</f>
        <v/>
      </c>
      <c r="T81" s="35">
        <f>S81+T79</f>
        <v/>
      </c>
      <c r="U81" s="35">
        <f>T81+U79</f>
        <v/>
      </c>
      <c r="V81" s="35">
        <f>U81+V79</f>
        <v/>
      </c>
      <c r="W81" s="35">
        <f>V81+W79</f>
        <v/>
      </c>
      <c r="X81" s="35">
        <f>W81+X79</f>
        <v/>
      </c>
      <c r="Y81" s="35">
        <f>X81+Y79</f>
        <v/>
      </c>
      <c r="Z81" s="35">
        <f>Y81+Z79</f>
        <v/>
      </c>
      <c r="AA81" s="35">
        <f>Z81+AA79</f>
        <v/>
      </c>
      <c r="AB81" s="35">
        <f>AA81+AB79</f>
        <v/>
      </c>
    </row>
    <row r="83">
      <c r="B83" s="2" t="inlineStr">
        <is>
          <t>出典：週区分は工程表（2026年5月19日作成）の工期 11月～3月に基づく月曜～日曜。契約金額は金額リスト（見積書）より。各週の出来高金額は後日追加予定。</t>
        </is>
      </c>
    </row>
    <row r="84">
      <c r="B84" s="2" t="inlineStr">
        <is>
          <t>工程の読取り元（工程表 2026年5月19日作成の黒塗り、西側＋東側エリア）：</t>
        </is>
      </c>
    </row>
    <row r="85">
      <c r="B85" s="2" t="inlineStr">
        <is>
          <t>・共通仮設工事・諸経費＝全工期（11/9～3/31）　・直接仮設＝仮設工事　・解体撤去 建築＝解体撤去工事</t>
        </is>
      </c>
    </row>
    <row r="86">
      <c r="B86" s="2" t="inlineStr">
        <is>
          <t>・解体撤去 電気／空調・衛生＝設備工事(電気)／(機械)の「既存撤去工事」　・改修 電気／空調・衛生＝同 撤去以降</t>
        </is>
      </c>
    </row>
    <row r="87">
      <c r="B87" s="2" t="inlineStr">
        <is>
          <t>・金属＝金属工事＋鋼製床工事　・金属製建具＝鋼製建具工事　・ガラス＝SSD1ガラス嵌込み（12/23～25）</t>
        </is>
      </c>
    </row>
    <row r="88">
      <c r="B88" s="2" t="inlineStr">
        <is>
          <t>・タイル＝タイル工事（東側は試焼・作図期間を除き「腰壁・床」3/4以降）　・木／左官／塗装／内装仕上／雑＝同名の工事</t>
        </is>
      </c>
    </row>
    <row r="89">
      <c r="B89" s="2" t="inlineStr">
        <is>
          <t>・躯体工事・防水工事は工程表に該当行がないため未設定（要確認）</t>
        </is>
      </c>
    </row>
  </sheetData>
  <mergeCells count="131">
    <mergeCell ref="B34:B36"/>
    <mergeCell ref="D25:D27"/>
    <mergeCell ref="B55:B57"/>
    <mergeCell ref="D55:D57"/>
    <mergeCell ref="A13:A15"/>
    <mergeCell ref="F61:F63"/>
    <mergeCell ref="E7:E9"/>
    <mergeCell ref="A43:A45"/>
    <mergeCell ref="A58:A60"/>
    <mergeCell ref="E16:E18"/>
    <mergeCell ref="A52:A54"/>
    <mergeCell ref="B7:B9"/>
    <mergeCell ref="A49:A51"/>
    <mergeCell ref="B22:B24"/>
    <mergeCell ref="E58:E60"/>
    <mergeCell ref="D22:D24"/>
    <mergeCell ref="B31:B33"/>
    <mergeCell ref="A70:A72"/>
    <mergeCell ref="D31:D33"/>
    <mergeCell ref="E73:E75"/>
    <mergeCell ref="B70:B72"/>
    <mergeCell ref="D70:D72"/>
    <mergeCell ref="F70:F72"/>
    <mergeCell ref="F79:F81"/>
    <mergeCell ref="B10:B12"/>
    <mergeCell ref="E34:E36"/>
    <mergeCell ref="D7:D9"/>
    <mergeCell ref="D16:D18"/>
    <mergeCell ref="E61:E63"/>
    <mergeCell ref="D4:D6"/>
    <mergeCell ref="F13:F15"/>
    <mergeCell ref="B49:B51"/>
    <mergeCell ref="C4:C5"/>
    <mergeCell ref="D43:D45"/>
    <mergeCell ref="F43:F45"/>
    <mergeCell ref="F52:F54"/>
    <mergeCell ref="F49:F51"/>
    <mergeCell ref="E22:E24"/>
    <mergeCell ref="A4:A6"/>
    <mergeCell ref="B76:B78"/>
    <mergeCell ref="B25:B27"/>
    <mergeCell ref="D19:D21"/>
    <mergeCell ref="A31:A33"/>
    <mergeCell ref="F19:F21"/>
    <mergeCell ref="A40:A42"/>
    <mergeCell ref="A73:A75"/>
    <mergeCell ref="F25:F27"/>
    <mergeCell ref="D61:D63"/>
    <mergeCell ref="E64:E66"/>
    <mergeCell ref="B46:B48"/>
    <mergeCell ref="D46:D48"/>
    <mergeCell ref="E79:E81"/>
    <mergeCell ref="B61:B63"/>
    <mergeCell ref="A7:A9"/>
    <mergeCell ref="A16:A18"/>
    <mergeCell ref="E49:E51"/>
    <mergeCell ref="A25:A27"/>
    <mergeCell ref="E10:E12"/>
    <mergeCell ref="E19:E21"/>
    <mergeCell ref="A55:A57"/>
    <mergeCell ref="B40:B42"/>
    <mergeCell ref="E76:E78"/>
    <mergeCell ref="A22:A24"/>
    <mergeCell ref="D58:D60"/>
    <mergeCell ref="F58:F60"/>
    <mergeCell ref="D67:D69"/>
    <mergeCell ref="F67:F69"/>
    <mergeCell ref="A34:A36"/>
    <mergeCell ref="D73:D75"/>
    <mergeCell ref="A28:A30"/>
    <mergeCell ref="F73:F75"/>
    <mergeCell ref="A64:A66"/>
    <mergeCell ref="A79:A81"/>
    <mergeCell ref="B16:B18"/>
    <mergeCell ref="E37:E39"/>
    <mergeCell ref="D10:D12"/>
    <mergeCell ref="E55:E57"/>
    <mergeCell ref="D34:D36"/>
    <mergeCell ref="F7:F9"/>
    <mergeCell ref="B43:B45"/>
    <mergeCell ref="F34:F36"/>
    <mergeCell ref="F16:F18"/>
    <mergeCell ref="B52:B54"/>
    <mergeCell ref="D52:D54"/>
    <mergeCell ref="F55:F57"/>
    <mergeCell ref="A61:A63"/>
    <mergeCell ref="E13:E15"/>
    <mergeCell ref="B13:B15"/>
    <mergeCell ref="D13:D15"/>
    <mergeCell ref="B19:B21"/>
    <mergeCell ref="B28:B30"/>
    <mergeCell ref="D28:D30"/>
    <mergeCell ref="B37:B39"/>
    <mergeCell ref="F22:F24"/>
    <mergeCell ref="D37:D39"/>
    <mergeCell ref="F31:F33"/>
    <mergeCell ref="E70:E72"/>
    <mergeCell ref="A76:A78"/>
    <mergeCell ref="F46:F48"/>
    <mergeCell ref="F28:F30"/>
    <mergeCell ref="D64:D66"/>
    <mergeCell ref="F37:F39"/>
    <mergeCell ref="F64:F66"/>
    <mergeCell ref="A67:A69"/>
    <mergeCell ref="B4:B6"/>
    <mergeCell ref="E25:E27"/>
    <mergeCell ref="B64:B66"/>
    <mergeCell ref="F10:F12"/>
    <mergeCell ref="A10:A12"/>
    <mergeCell ref="E43:E45"/>
    <mergeCell ref="A19:A21"/>
    <mergeCell ref="E52:E54"/>
    <mergeCell ref="B79:B81"/>
    <mergeCell ref="D79:D81"/>
    <mergeCell ref="F4:F6"/>
    <mergeCell ref="D40:D42"/>
    <mergeCell ref="F40:F42"/>
    <mergeCell ref="D49:D51"/>
    <mergeCell ref="E4:E6"/>
    <mergeCell ref="E67:E69"/>
    <mergeCell ref="E28:E30"/>
    <mergeCell ref="B58:B60"/>
    <mergeCell ref="B67:B69"/>
    <mergeCell ref="B73:B75"/>
    <mergeCell ref="D76:D78"/>
    <mergeCell ref="F76:F78"/>
    <mergeCell ref="A37:A39"/>
    <mergeCell ref="A46:A48"/>
    <mergeCell ref="E31:E33"/>
    <mergeCell ref="E46:E48"/>
    <mergeCell ref="E40:E42"/>
  </mergeCells>
  <conditionalFormatting sqref="G7:AB81">
    <cfRule type="expression" priority="1" dxfId="0" stopIfTrue="1">
      <formula>G$6&lt;&gt;1</formula>
    </cfRule>
  </conditionalFormatting>
  <conditionalFormatting sqref="G8:AB8">
    <cfRule type="expression" priority="2" dxfId="1">
      <formula>G8&lt;&gt;""</formula>
    </cfRule>
  </conditionalFormatting>
  <conditionalFormatting sqref="G11:AB11">
    <cfRule type="expression" priority="3" dxfId="2">
      <formula>G11&lt;&gt;""</formula>
    </cfRule>
  </conditionalFormatting>
  <conditionalFormatting sqref="G14:AB14">
    <cfRule type="expression" priority="4" dxfId="1">
      <formula>G14&lt;&gt;""</formula>
    </cfRule>
  </conditionalFormatting>
  <conditionalFormatting sqref="G17:AB17">
    <cfRule type="expression" priority="5" dxfId="2">
      <formula>G17&lt;&gt;""</formula>
    </cfRule>
  </conditionalFormatting>
  <conditionalFormatting sqref="G20:AB20">
    <cfRule type="expression" priority="6" dxfId="2">
      <formula>G20&lt;&gt;""</formula>
    </cfRule>
  </conditionalFormatting>
  <conditionalFormatting sqref="G23:AB23">
    <cfRule type="expression" priority="7" dxfId="2">
      <formula>G23&lt;&gt;""</formula>
    </cfRule>
  </conditionalFormatting>
  <conditionalFormatting sqref="G26:AB26">
    <cfRule type="expression" priority="8" dxfId="2">
      <formula>G26&lt;&gt;""</formula>
    </cfRule>
  </conditionalFormatting>
  <conditionalFormatting sqref="G29:AB29">
    <cfRule type="expression" priority="9" dxfId="1">
      <formula>G29&lt;&gt;""</formula>
    </cfRule>
  </conditionalFormatting>
  <conditionalFormatting sqref="G32:AB32">
    <cfRule type="expression" priority="10" dxfId="1">
      <formula>G32&lt;&gt;""</formula>
    </cfRule>
  </conditionalFormatting>
  <conditionalFormatting sqref="G35:AB35">
    <cfRule type="expression" priority="11" dxfId="2">
      <formula>G35&lt;&gt;""</formula>
    </cfRule>
  </conditionalFormatting>
  <conditionalFormatting sqref="G38:AB38">
    <cfRule type="expression" priority="12" dxfId="2">
      <formula>G38&lt;&gt;""</formula>
    </cfRule>
  </conditionalFormatting>
  <conditionalFormatting sqref="G41:AB41">
    <cfRule type="expression" priority="13" dxfId="2">
      <formula>G41&lt;&gt;""</formula>
    </cfRule>
  </conditionalFormatting>
  <conditionalFormatting sqref="G44:AB44">
    <cfRule type="expression" priority="14" dxfId="2">
      <formula>G44&lt;&gt;""</formula>
    </cfRule>
  </conditionalFormatting>
  <conditionalFormatting sqref="G47:AB47">
    <cfRule type="expression" priority="15" dxfId="2">
      <formula>G47&lt;&gt;""</formula>
    </cfRule>
  </conditionalFormatting>
  <conditionalFormatting sqref="G50:AB50">
    <cfRule type="expression" priority="16" dxfId="2">
      <formula>G50&lt;&gt;""</formula>
    </cfRule>
  </conditionalFormatting>
  <conditionalFormatting sqref="G53:AB53">
    <cfRule type="expression" priority="17" dxfId="2">
      <formula>G53&lt;&gt;""</formula>
    </cfRule>
  </conditionalFormatting>
  <conditionalFormatting sqref="G56:AB56">
    <cfRule type="expression" priority="18" dxfId="2">
      <formula>G56&lt;&gt;""</formula>
    </cfRule>
  </conditionalFormatting>
  <conditionalFormatting sqref="G59:AB59">
    <cfRule type="expression" priority="19" dxfId="2">
      <formula>G59&lt;&gt;""</formula>
    </cfRule>
  </conditionalFormatting>
  <conditionalFormatting sqref="G62:AB62">
    <cfRule type="expression" priority="20" dxfId="2">
      <formula>G62&lt;&gt;""</formula>
    </cfRule>
  </conditionalFormatting>
  <conditionalFormatting sqref="G65:AB65">
    <cfRule type="expression" priority="21" dxfId="2">
      <formula>G65&lt;&gt;""</formula>
    </cfRule>
  </conditionalFormatting>
  <conditionalFormatting sqref="G68:AB68">
    <cfRule type="expression" priority="22" dxfId="2">
      <formula>G68&lt;&gt;""</formula>
    </cfRule>
  </conditionalFormatting>
  <conditionalFormatting sqref="G71:AB71">
    <cfRule type="expression" priority="23" dxfId="2">
      <formula>G71&lt;&gt;""</formula>
    </cfRule>
  </conditionalFormatting>
  <conditionalFormatting sqref="G74:AB74">
    <cfRule type="expression" priority="24" dxfId="2">
      <formula>G74&lt;&gt;""</formula>
    </cfRule>
  </conditionalFormatting>
  <conditionalFormatting sqref="G77:AB77">
    <cfRule type="expression" priority="25" dxfId="2">
      <formula>G77&lt;&gt;""</formula>
    </cfRule>
  </conditionalFormatting>
  <conditionalFormatting sqref="G80:AB80">
    <cfRule type="expression" priority="26" dxfId="2">
      <formula>G80&lt;&gt;""</formula>
    </cfRule>
  </conditionalFormatting>
  <conditionalFormatting sqref="F7:F81">
    <cfRule type="expression" priority="27" dxfId="3">
      <formula>AND($E7&gt;0,ABS($F7-1)&gt;0.0001)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2026-09-27T07:52:09Z</dcterms:created>
  <dcterms:modified xsi:type="dcterms:W3CDTF">2026-09-27T07:52:09Z</dcterms:modified>
</cp:coreProperties>
</file>