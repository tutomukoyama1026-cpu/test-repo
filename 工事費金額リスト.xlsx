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&quot;-&quot;"/>
  </numFmts>
  <fonts count="8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404040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65" fontId="3" fillId="3" borderId="1" pivotButton="0" quotePrefix="0" xfId="0"/>
    <xf numFmtId="164" fontId="3" fillId="3" borderId="2" pivotButton="0" quotePrefix="0" xfId="0"/>
    <xf numFmtId="164" fontId="7" fillId="4" borderId="1" pivotButton="0" quotePrefix="0" xfId="0"/>
    <xf numFmtId="165" fontId="3" fillId="4" borderId="1" pivotButton="0" quotePrefix="0" xfId="0"/>
    <xf numFmtId="164" fontId="5" fillId="7" borderId="2" pivotButton="0" quotePrefix="0" xfId="0"/>
    <xf numFmtId="164" fontId="3" fillId="4" borderId="2" pivotButton="0" quotePrefix="0" xfId="0"/>
    <xf numFmtId="164" fontId="7" fillId="0" borderId="1" pivotButton="0" quotePrefix="0" xfId="0"/>
    <xf numFmtId="165" fontId="6" fillId="0" borderId="1" pivotButton="0" quotePrefix="0" xfId="0"/>
    <xf numFmtId="164" fontId="4" fillId="7" borderId="2" pivotButton="0" quotePrefix="0" xfId="0"/>
    <xf numFmtId="165" fontId="6" fillId="5" borderId="1" pivotButton="0" quotePrefix="0" xfId="0"/>
    <xf numFmtId="164" fontId="6" fillId="5" borderId="2" pivotButton="0" quotePrefix="0" xfId="0"/>
    <xf numFmtId="0" fontId="6" fillId="0" borderId="1" applyAlignment="1" pivotButton="0" quotePrefix="0" xfId="0">
      <alignment indent="4"/>
    </xf>
  </cellXfs>
  <cellStyles count="1">
    <cellStyle name="Normal" xfId="0" builtinId="0" hidden="0"/>
  </cellStyles>
  <dxfs count="1"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T32"/>
  <sheetViews>
    <sheetView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14" customWidth="1" min="4" max="4"/>
    <col width="14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13" customWidth="1" min="11" max="11"/>
    <col width="8" customWidth="1" min="12" max="12"/>
    <col width="13" customWidth="1" min="13" max="13"/>
    <col width="13" customWidth="1" min="14" max="14"/>
    <col width="8" customWidth="1" min="15" max="15"/>
    <col width="13" customWidth="1" min="16" max="16"/>
    <col width="13" customWidth="1" min="17" max="17"/>
    <col width="8" customWidth="1" min="18" max="18"/>
    <col width="13" customWidth="1" min="19" max="19"/>
    <col width="13" customWidth="1" min="20" max="20"/>
    <col width="8" customWidth="1" min="21" max="21"/>
    <col width="13" customWidth="1" min="22" max="22"/>
    <col width="13" customWidth="1" min="23" max="23"/>
    <col width="8" customWidth="1" min="24" max="24"/>
    <col width="13" customWidth="1" min="25" max="25"/>
    <col width="13" customWidth="1" min="26" max="26"/>
    <col width="8" customWidth="1" min="27" max="27"/>
    <col width="13" customWidth="1" min="28" max="28"/>
    <col width="13" customWidth="1" min="29" max="29"/>
    <col width="8" customWidth="1" min="30" max="30"/>
    <col width="13" customWidth="1" min="31" max="31"/>
    <col width="13" customWidth="1" min="32" max="32"/>
    <col width="8" customWidth="1" min="33" max="33"/>
    <col width="13" customWidth="1" min="34" max="34"/>
    <col width="13" customWidth="1" min="35" max="35"/>
    <col width="8" customWidth="1" min="36" max="36"/>
    <col width="13" customWidth="1" min="37" max="37"/>
    <col width="13" customWidth="1" min="38" max="38"/>
    <col width="8" customWidth="1" min="39" max="39"/>
    <col width="13" customWidth="1" min="40" max="40"/>
    <col width="13" customWidth="1" min="41" max="41"/>
    <col width="8" customWidth="1" min="42" max="42"/>
    <col width="13" customWidth="1" min="43" max="43"/>
    <col width="13" customWidth="1" min="44" max="44"/>
    <col width="8" customWidth="1" min="45" max="45"/>
    <col width="13" customWidth="1" min="46" max="46"/>
    <col width="13" customWidth="1" min="47" max="47"/>
    <col width="8" customWidth="1" min="48" max="48"/>
    <col width="13" customWidth="1" min="49" max="49"/>
    <col width="13" customWidth="1" min="50" max="50"/>
    <col width="8" customWidth="1" min="51" max="51"/>
    <col width="13" customWidth="1" min="52" max="52"/>
    <col width="13" customWidth="1" min="53" max="53"/>
    <col width="8" customWidth="1" min="54" max="54"/>
    <col width="13" customWidth="1" min="55" max="55"/>
    <col width="13" customWidth="1" min="56" max="56"/>
    <col width="8" customWidth="1" min="57" max="57"/>
    <col width="13" customWidth="1" min="58" max="58"/>
    <col width="13" customWidth="1" min="59" max="59"/>
    <col width="8" customWidth="1" min="60" max="60"/>
    <col width="13" customWidth="1" min="61" max="61"/>
    <col width="13" customWidth="1" min="62" max="62"/>
    <col width="8" customWidth="1" min="63" max="63"/>
    <col width="13" customWidth="1" min="64" max="64"/>
    <col width="13" customWidth="1" min="65" max="65"/>
    <col width="8" customWidth="1" min="66" max="66"/>
    <col width="13" customWidth="1" min="67" max="67"/>
    <col width="13" customWidth="1" min="68" max="68"/>
    <col width="8" customWidth="1" min="69" max="69"/>
    <col width="13" customWidth="1" min="70" max="70"/>
    <col width="13" customWidth="1" min="71" max="71"/>
    <col width="8" customWidth="1" min="72" max="72"/>
  </cols>
  <sheetData>
    <row r="1">
      <c r="A1" s="1" t="inlineStr">
        <is>
          <t>週間出来高 入力リスト</t>
        </is>
      </c>
    </row>
    <row r="2">
      <c r="A2" s="2" t="inlineStr">
        <is>
          <t>凡例： 薄黄色セル（今週出来高）に各週の出来高金額（円）を入力。累計・進捗率・合計は自動計算。契約金額は「金額リスト」シートと連動（緑字）。進捗率が100%を超えると赤字表示。</t>
        </is>
      </c>
    </row>
    <row r="4" ht="30" customHeight="1">
      <c r="A4" s="23" t="inlineStr">
        <is>
          <t>項</t>
        </is>
      </c>
      <c r="B4" s="23" t="inlineStr">
        <is>
          <t>名称</t>
        </is>
      </c>
      <c r="C4" s="23" t="inlineStr">
        <is>
          <t>契約金額（円）</t>
        </is>
      </c>
      <c r="D4" s="23" t="inlineStr">
        <is>
          <t>累計出来高（円）</t>
        </is>
      </c>
      <c r="E4" s="23" t="inlineStr">
        <is>
          <t>残額（円）</t>
        </is>
      </c>
      <c r="F4" s="23" t="inlineStr">
        <is>
          <t>進捗率</t>
        </is>
      </c>
      <c r="G4" s="24" t="inlineStr">
        <is>
          <t>11月第1週（11/2～11/8）</t>
        </is>
      </c>
      <c r="H4" s="25" t="n"/>
      <c r="I4" s="25" t="n"/>
      <c r="J4" s="26" t="inlineStr">
        <is>
          <t>11月第2週（11/9～11/15）</t>
        </is>
      </c>
      <c r="K4" s="27" t="n"/>
      <c r="L4" s="27" t="n"/>
      <c r="M4" s="24" t="inlineStr">
        <is>
          <t>11月第3週（11/16～11/22）</t>
        </is>
      </c>
      <c r="N4" s="25" t="n"/>
      <c r="O4" s="25" t="n"/>
      <c r="P4" s="26" t="inlineStr">
        <is>
          <t>11月第4週（11/23～11/29）</t>
        </is>
      </c>
      <c r="Q4" s="27" t="n"/>
      <c r="R4" s="27" t="n"/>
      <c r="S4" s="24" t="inlineStr">
        <is>
          <t>11月第5週（11/30～12/6）</t>
        </is>
      </c>
      <c r="T4" s="25" t="n"/>
      <c r="U4" s="25" t="n"/>
      <c r="V4" s="26" t="inlineStr">
        <is>
          <t>12月第1週（12/7～12/13）</t>
        </is>
      </c>
      <c r="W4" s="27" t="n"/>
      <c r="X4" s="27" t="n"/>
      <c r="Y4" s="24" t="inlineStr">
        <is>
          <t>12月第2週（12/14～12/20）</t>
        </is>
      </c>
      <c r="Z4" s="25" t="n"/>
      <c r="AA4" s="25" t="n"/>
      <c r="AB4" s="26" t="inlineStr">
        <is>
          <t>12月第3週（12/21～12/27）　※年末年始休暇 12/26～1/4</t>
        </is>
      </c>
      <c r="AC4" s="27" t="n"/>
      <c r="AD4" s="27" t="n"/>
      <c r="AE4" s="24" t="inlineStr">
        <is>
          <t>12月第4週（12/28～1/3）　※年末年始休暇 12/26～1/4</t>
        </is>
      </c>
      <c r="AF4" s="25" t="n"/>
      <c r="AG4" s="25" t="n"/>
      <c r="AH4" s="26" t="inlineStr">
        <is>
          <t>1月第1週（1/4～1/10）　※年末年始休暇 12/26～1/4</t>
        </is>
      </c>
      <c r="AI4" s="27" t="n"/>
      <c r="AJ4" s="27" t="n"/>
      <c r="AK4" s="24" t="inlineStr">
        <is>
          <t>1月第2週（1/11～1/17）</t>
        </is>
      </c>
      <c r="AL4" s="25" t="n"/>
      <c r="AM4" s="25" t="n"/>
      <c r="AN4" s="26" t="inlineStr">
        <is>
          <t>1月第3週（1/18～1/24）</t>
        </is>
      </c>
      <c r="AO4" s="27" t="n"/>
      <c r="AP4" s="27" t="n"/>
      <c r="AQ4" s="24" t="inlineStr">
        <is>
          <t>1月第4週（1/25～1/31）</t>
        </is>
      </c>
      <c r="AR4" s="25" t="n"/>
      <c r="AS4" s="25" t="n"/>
      <c r="AT4" s="26" t="inlineStr">
        <is>
          <t>2月第1週（2/1～2/7）</t>
        </is>
      </c>
      <c r="AU4" s="27" t="n"/>
      <c r="AV4" s="27" t="n"/>
      <c r="AW4" s="24" t="inlineStr">
        <is>
          <t>2月第2週（2/8～2/14）</t>
        </is>
      </c>
      <c r="AX4" s="25" t="n"/>
      <c r="AY4" s="25" t="n"/>
      <c r="AZ4" s="26" t="inlineStr">
        <is>
          <t>2月第3週（2/15～2/21）</t>
        </is>
      </c>
      <c r="BA4" s="27" t="n"/>
      <c r="BB4" s="27" t="n"/>
      <c r="BC4" s="24" t="inlineStr">
        <is>
          <t>2月第4週（2/22～2/28）</t>
        </is>
      </c>
      <c r="BD4" s="25" t="n"/>
      <c r="BE4" s="25" t="n"/>
      <c r="BF4" s="26" t="inlineStr">
        <is>
          <t>3月第1週（3/1～3/7）</t>
        </is>
      </c>
      <c r="BG4" s="27" t="n"/>
      <c r="BH4" s="27" t="n"/>
      <c r="BI4" s="24" t="inlineStr">
        <is>
          <t>3月第2週（3/8～3/14）</t>
        </is>
      </c>
      <c r="BJ4" s="25" t="n"/>
      <c r="BK4" s="25" t="n"/>
      <c r="BL4" s="26" t="inlineStr">
        <is>
          <t>3月第3週（3/15～3/21）</t>
        </is>
      </c>
      <c r="BM4" s="27" t="n"/>
      <c r="BN4" s="27" t="n"/>
      <c r="BO4" s="24" t="inlineStr">
        <is>
          <t>3月第4週（3/22～3/28）</t>
        </is>
      </c>
      <c r="BP4" s="25" t="n"/>
      <c r="BQ4" s="25" t="n"/>
      <c r="BR4" s="26" t="inlineStr">
        <is>
          <t>3月第5週（3/29～4/4）</t>
        </is>
      </c>
      <c r="BS4" s="27" t="n"/>
      <c r="BT4" s="27" t="n"/>
    </row>
    <row r="5" ht="28" customHeight="1">
      <c r="A5" s="23" t="n"/>
      <c r="B5" s="23" t="n"/>
      <c r="C5" s="23" t="n"/>
      <c r="D5" s="23" t="n"/>
      <c r="E5" s="23" t="n"/>
      <c r="F5" s="23" t="n"/>
      <c r="G5" s="24" t="inlineStr">
        <is>
          <t>今週出来高（円）</t>
        </is>
      </c>
      <c r="H5" s="25" t="inlineStr">
        <is>
          <t>累計出来高（円）</t>
        </is>
      </c>
      <c r="I5" s="25" t="inlineStr">
        <is>
          <t>累計進捗率</t>
        </is>
      </c>
      <c r="J5" s="26" t="inlineStr">
        <is>
          <t>今週出来高（円）</t>
        </is>
      </c>
      <c r="K5" s="27" t="inlineStr">
        <is>
          <t>累計出来高（円）</t>
        </is>
      </c>
      <c r="L5" s="27" t="inlineStr">
        <is>
          <t>累計進捗率</t>
        </is>
      </c>
      <c r="M5" s="24" t="inlineStr">
        <is>
          <t>今週出来高（円）</t>
        </is>
      </c>
      <c r="N5" s="25" t="inlineStr">
        <is>
          <t>累計出来高（円）</t>
        </is>
      </c>
      <c r="O5" s="25" t="inlineStr">
        <is>
          <t>累計進捗率</t>
        </is>
      </c>
      <c r="P5" s="26" t="inlineStr">
        <is>
          <t>今週出来高（円）</t>
        </is>
      </c>
      <c r="Q5" s="27" t="inlineStr">
        <is>
          <t>累計出来高（円）</t>
        </is>
      </c>
      <c r="R5" s="27" t="inlineStr">
        <is>
          <t>累計進捗率</t>
        </is>
      </c>
      <c r="S5" s="24" t="inlineStr">
        <is>
          <t>今週出来高（円）</t>
        </is>
      </c>
      <c r="T5" s="25" t="inlineStr">
        <is>
          <t>累計出来高（円）</t>
        </is>
      </c>
      <c r="U5" s="25" t="inlineStr">
        <is>
          <t>累計進捗率</t>
        </is>
      </c>
      <c r="V5" s="26" t="inlineStr">
        <is>
          <t>今週出来高（円）</t>
        </is>
      </c>
      <c r="W5" s="27" t="inlineStr">
        <is>
          <t>累計出来高（円）</t>
        </is>
      </c>
      <c r="X5" s="27" t="inlineStr">
        <is>
          <t>累計進捗率</t>
        </is>
      </c>
      <c r="Y5" s="24" t="inlineStr">
        <is>
          <t>今週出来高（円）</t>
        </is>
      </c>
      <c r="Z5" s="25" t="inlineStr">
        <is>
          <t>累計出来高（円）</t>
        </is>
      </c>
      <c r="AA5" s="25" t="inlineStr">
        <is>
          <t>累計進捗率</t>
        </is>
      </c>
      <c r="AB5" s="26" t="inlineStr">
        <is>
          <t>今週出来高（円）</t>
        </is>
      </c>
      <c r="AC5" s="27" t="inlineStr">
        <is>
          <t>累計出来高（円）</t>
        </is>
      </c>
      <c r="AD5" s="27" t="inlineStr">
        <is>
          <t>累計進捗率</t>
        </is>
      </c>
      <c r="AE5" s="24" t="inlineStr">
        <is>
          <t>今週出来高（円）</t>
        </is>
      </c>
      <c r="AF5" s="25" t="inlineStr">
        <is>
          <t>累計出来高（円）</t>
        </is>
      </c>
      <c r="AG5" s="25" t="inlineStr">
        <is>
          <t>累計進捗率</t>
        </is>
      </c>
      <c r="AH5" s="26" t="inlineStr">
        <is>
          <t>今週出来高（円）</t>
        </is>
      </c>
      <c r="AI5" s="27" t="inlineStr">
        <is>
          <t>累計出来高（円）</t>
        </is>
      </c>
      <c r="AJ5" s="27" t="inlineStr">
        <is>
          <t>累計進捗率</t>
        </is>
      </c>
      <c r="AK5" s="24" t="inlineStr">
        <is>
          <t>今週出来高（円）</t>
        </is>
      </c>
      <c r="AL5" s="25" t="inlineStr">
        <is>
          <t>累計出来高（円）</t>
        </is>
      </c>
      <c r="AM5" s="25" t="inlineStr">
        <is>
          <t>累計進捗率</t>
        </is>
      </c>
      <c r="AN5" s="26" t="inlineStr">
        <is>
          <t>今週出来高（円）</t>
        </is>
      </c>
      <c r="AO5" s="27" t="inlineStr">
        <is>
          <t>累計出来高（円）</t>
        </is>
      </c>
      <c r="AP5" s="27" t="inlineStr">
        <is>
          <t>累計進捗率</t>
        </is>
      </c>
      <c r="AQ5" s="24" t="inlineStr">
        <is>
          <t>今週出来高（円）</t>
        </is>
      </c>
      <c r="AR5" s="25" t="inlineStr">
        <is>
          <t>累計出来高（円）</t>
        </is>
      </c>
      <c r="AS5" s="25" t="inlineStr">
        <is>
          <t>累計進捗率</t>
        </is>
      </c>
      <c r="AT5" s="26" t="inlineStr">
        <is>
          <t>今週出来高（円）</t>
        </is>
      </c>
      <c r="AU5" s="27" t="inlineStr">
        <is>
          <t>累計出来高（円）</t>
        </is>
      </c>
      <c r="AV5" s="27" t="inlineStr">
        <is>
          <t>累計進捗率</t>
        </is>
      </c>
      <c r="AW5" s="24" t="inlineStr">
        <is>
          <t>今週出来高（円）</t>
        </is>
      </c>
      <c r="AX5" s="25" t="inlineStr">
        <is>
          <t>累計出来高（円）</t>
        </is>
      </c>
      <c r="AY5" s="25" t="inlineStr">
        <is>
          <t>累計進捗率</t>
        </is>
      </c>
      <c r="AZ5" s="26" t="inlineStr">
        <is>
          <t>今週出来高（円）</t>
        </is>
      </c>
      <c r="BA5" s="27" t="inlineStr">
        <is>
          <t>累計出来高（円）</t>
        </is>
      </c>
      <c r="BB5" s="27" t="inlineStr">
        <is>
          <t>累計進捗率</t>
        </is>
      </c>
      <c r="BC5" s="24" t="inlineStr">
        <is>
          <t>今週出来高（円）</t>
        </is>
      </c>
      <c r="BD5" s="25" t="inlineStr">
        <is>
          <t>累計出来高（円）</t>
        </is>
      </c>
      <c r="BE5" s="25" t="inlineStr">
        <is>
          <t>累計進捗率</t>
        </is>
      </c>
      <c r="BF5" s="26" t="inlineStr">
        <is>
          <t>今週出来高（円）</t>
        </is>
      </c>
      <c r="BG5" s="27" t="inlineStr">
        <is>
          <t>累計出来高（円）</t>
        </is>
      </c>
      <c r="BH5" s="27" t="inlineStr">
        <is>
          <t>累計進捗率</t>
        </is>
      </c>
      <c r="BI5" s="24" t="inlineStr">
        <is>
          <t>今週出来高（円）</t>
        </is>
      </c>
      <c r="BJ5" s="25" t="inlineStr">
        <is>
          <t>累計出来高（円）</t>
        </is>
      </c>
      <c r="BK5" s="25" t="inlineStr">
        <is>
          <t>累計進捗率</t>
        </is>
      </c>
      <c r="BL5" s="26" t="inlineStr">
        <is>
          <t>今週出来高（円）</t>
        </is>
      </c>
      <c r="BM5" s="27" t="inlineStr">
        <is>
          <t>累計出来高（円）</t>
        </is>
      </c>
      <c r="BN5" s="27" t="inlineStr">
        <is>
          <t>累計進捗率</t>
        </is>
      </c>
      <c r="BO5" s="24" t="inlineStr">
        <is>
          <t>今週出来高（円）</t>
        </is>
      </c>
      <c r="BP5" s="25" t="inlineStr">
        <is>
          <t>累計出来高（円）</t>
        </is>
      </c>
      <c r="BQ5" s="25" t="inlineStr">
        <is>
          <t>累計進捗率</t>
        </is>
      </c>
      <c r="BR5" s="26" t="inlineStr">
        <is>
          <t>今週出来高（円）</t>
        </is>
      </c>
      <c r="BS5" s="27" t="inlineStr">
        <is>
          <t>累計出来高（円）</t>
        </is>
      </c>
      <c r="BT5" s="27" t="inlineStr">
        <is>
          <t>累計進捗率</t>
        </is>
      </c>
    </row>
    <row r="6">
      <c r="A6" s="4" t="inlineStr"/>
      <c r="B6" s="4" t="inlineStr">
        <is>
          <t>工事費 合計</t>
        </is>
      </c>
      <c r="C6" s="5">
        <f>C7+C8+C13+C30</f>
        <v/>
      </c>
      <c r="D6" s="5">
        <f>BS6</f>
        <v/>
      </c>
      <c r="E6" s="5">
        <f>C6-D6</f>
        <v/>
      </c>
      <c r="F6" s="28">
        <f>IF(C6=0,0,D6/C6)</f>
        <v/>
      </c>
      <c r="G6" s="29">
        <f>G7+G8+G13+G30</f>
        <v/>
      </c>
      <c r="H6" s="5">
        <f>G6</f>
        <v/>
      </c>
      <c r="I6" s="28">
        <f>IF($C6=0,0,H6/$C6)</f>
        <v/>
      </c>
      <c r="J6" s="29">
        <f>J7+J8+J13+J30</f>
        <v/>
      </c>
      <c r="K6" s="5">
        <f>H6+J6</f>
        <v/>
      </c>
      <c r="L6" s="28">
        <f>IF($C6=0,0,K6/$C6)</f>
        <v/>
      </c>
      <c r="M6" s="29">
        <f>M7+M8+M13+M30</f>
        <v/>
      </c>
      <c r="N6" s="5">
        <f>K6+M6</f>
        <v/>
      </c>
      <c r="O6" s="28">
        <f>IF($C6=0,0,N6/$C6)</f>
        <v/>
      </c>
      <c r="P6" s="29">
        <f>P7+P8+P13+P30</f>
        <v/>
      </c>
      <c r="Q6" s="5">
        <f>N6+P6</f>
        <v/>
      </c>
      <c r="R6" s="28">
        <f>IF($C6=0,0,Q6/$C6)</f>
        <v/>
      </c>
      <c r="S6" s="29">
        <f>S7+S8+S13+S30</f>
        <v/>
      </c>
      <c r="T6" s="5">
        <f>Q6+S6</f>
        <v/>
      </c>
      <c r="U6" s="28">
        <f>IF($C6=0,0,T6/$C6)</f>
        <v/>
      </c>
      <c r="V6" s="29">
        <f>V7+V8+V13+V30</f>
        <v/>
      </c>
      <c r="W6" s="5">
        <f>T6+V6</f>
        <v/>
      </c>
      <c r="X6" s="28">
        <f>IF($C6=0,0,W6/$C6)</f>
        <v/>
      </c>
      <c r="Y6" s="29">
        <f>Y7+Y8+Y13+Y30</f>
        <v/>
      </c>
      <c r="Z6" s="5">
        <f>W6+Y6</f>
        <v/>
      </c>
      <c r="AA6" s="28">
        <f>IF($C6=0,0,Z6/$C6)</f>
        <v/>
      </c>
      <c r="AB6" s="29">
        <f>AB7+AB8+AB13+AB30</f>
        <v/>
      </c>
      <c r="AC6" s="5">
        <f>Z6+AB6</f>
        <v/>
      </c>
      <c r="AD6" s="28">
        <f>IF($C6=0,0,AC6/$C6)</f>
        <v/>
      </c>
      <c r="AE6" s="29">
        <f>AE7+AE8+AE13+AE30</f>
        <v/>
      </c>
      <c r="AF6" s="5">
        <f>AC6+AE6</f>
        <v/>
      </c>
      <c r="AG6" s="28">
        <f>IF($C6=0,0,AF6/$C6)</f>
        <v/>
      </c>
      <c r="AH6" s="29">
        <f>AH7+AH8+AH13+AH30</f>
        <v/>
      </c>
      <c r="AI6" s="5">
        <f>AF6+AH6</f>
        <v/>
      </c>
      <c r="AJ6" s="28">
        <f>IF($C6=0,0,AI6/$C6)</f>
        <v/>
      </c>
      <c r="AK6" s="29">
        <f>AK7+AK8+AK13+AK30</f>
        <v/>
      </c>
      <c r="AL6" s="5">
        <f>AI6+AK6</f>
        <v/>
      </c>
      <c r="AM6" s="28">
        <f>IF($C6=0,0,AL6/$C6)</f>
        <v/>
      </c>
      <c r="AN6" s="29">
        <f>AN7+AN8+AN13+AN30</f>
        <v/>
      </c>
      <c r="AO6" s="5">
        <f>AL6+AN6</f>
        <v/>
      </c>
      <c r="AP6" s="28">
        <f>IF($C6=0,0,AO6/$C6)</f>
        <v/>
      </c>
      <c r="AQ6" s="29">
        <f>AQ7+AQ8+AQ13+AQ30</f>
        <v/>
      </c>
      <c r="AR6" s="5">
        <f>AO6+AQ6</f>
        <v/>
      </c>
      <c r="AS6" s="28">
        <f>IF($C6=0,0,AR6/$C6)</f>
        <v/>
      </c>
      <c r="AT6" s="29">
        <f>AT7+AT8+AT13+AT30</f>
        <v/>
      </c>
      <c r="AU6" s="5">
        <f>AR6+AT6</f>
        <v/>
      </c>
      <c r="AV6" s="28">
        <f>IF($C6=0,0,AU6/$C6)</f>
        <v/>
      </c>
      <c r="AW6" s="29">
        <f>AW7+AW8+AW13+AW30</f>
        <v/>
      </c>
      <c r="AX6" s="5">
        <f>AU6+AW6</f>
        <v/>
      </c>
      <c r="AY6" s="28">
        <f>IF($C6=0,0,AX6/$C6)</f>
        <v/>
      </c>
      <c r="AZ6" s="29">
        <f>AZ7+AZ8+AZ13+AZ30</f>
        <v/>
      </c>
      <c r="BA6" s="5">
        <f>AX6+AZ6</f>
        <v/>
      </c>
      <c r="BB6" s="28">
        <f>IF($C6=0,0,BA6/$C6)</f>
        <v/>
      </c>
      <c r="BC6" s="29">
        <f>BC7+BC8+BC13+BC30</f>
        <v/>
      </c>
      <c r="BD6" s="5">
        <f>BA6+BC6</f>
        <v/>
      </c>
      <c r="BE6" s="28">
        <f>IF($C6=0,0,BD6/$C6)</f>
        <v/>
      </c>
      <c r="BF6" s="29">
        <f>BF7+BF8+BF13+BF30</f>
        <v/>
      </c>
      <c r="BG6" s="5">
        <f>BD6+BF6</f>
        <v/>
      </c>
      <c r="BH6" s="28">
        <f>IF($C6=0,0,BG6/$C6)</f>
        <v/>
      </c>
      <c r="BI6" s="29">
        <f>BI7+BI8+BI13+BI30</f>
        <v/>
      </c>
      <c r="BJ6" s="5">
        <f>BG6+BI6</f>
        <v/>
      </c>
      <c r="BK6" s="28">
        <f>IF($C6=0,0,BJ6/$C6)</f>
        <v/>
      </c>
      <c r="BL6" s="29">
        <f>BL7+BL8+BL13+BL30</f>
        <v/>
      </c>
      <c r="BM6" s="5">
        <f>BJ6+BL6</f>
        <v/>
      </c>
      <c r="BN6" s="28">
        <f>IF($C6=0,0,BM6/$C6)</f>
        <v/>
      </c>
      <c r="BO6" s="29">
        <f>BO7+BO8+BO13+BO30</f>
        <v/>
      </c>
      <c r="BP6" s="5">
        <f>BM6+BO6</f>
        <v/>
      </c>
      <c r="BQ6" s="28">
        <f>IF($C6=0,0,BP6/$C6)</f>
        <v/>
      </c>
      <c r="BR6" s="29">
        <f>BR7+BR8+BR13+BR30</f>
        <v/>
      </c>
      <c r="BS6" s="5">
        <f>BP6+BR6</f>
        <v/>
      </c>
      <c r="BT6" s="28">
        <f>IF($C6=0,0,BS6/$C6)</f>
        <v/>
      </c>
    </row>
    <row r="7">
      <c r="A7" s="6" t="inlineStr">
        <is>
          <t>a)</t>
        </is>
      </c>
      <c r="B7" s="7" t="inlineStr">
        <is>
          <t>共通仮設工事</t>
        </is>
      </c>
      <c r="C7" s="30">
        <f>'金額リスト'!C6</f>
        <v/>
      </c>
      <c r="D7" s="10">
        <f>BS7</f>
        <v/>
      </c>
      <c r="E7" s="10">
        <f>C7-D7</f>
        <v/>
      </c>
      <c r="F7" s="31">
        <f>IF(C7=0,0,D7/C7)</f>
        <v/>
      </c>
      <c r="G7" s="32" t="n"/>
      <c r="H7" s="10">
        <f>G7</f>
        <v/>
      </c>
      <c r="I7" s="31">
        <f>IF($C7=0,0,H7/$C7)</f>
        <v/>
      </c>
      <c r="J7" s="32" t="n"/>
      <c r="K7" s="10">
        <f>H7+J7</f>
        <v/>
      </c>
      <c r="L7" s="31">
        <f>IF($C7=0,0,K7/$C7)</f>
        <v/>
      </c>
      <c r="M7" s="32" t="n"/>
      <c r="N7" s="10">
        <f>K7+M7</f>
        <v/>
      </c>
      <c r="O7" s="31">
        <f>IF($C7=0,0,N7/$C7)</f>
        <v/>
      </c>
      <c r="P7" s="32" t="n"/>
      <c r="Q7" s="10">
        <f>N7+P7</f>
        <v/>
      </c>
      <c r="R7" s="31">
        <f>IF($C7=0,0,Q7/$C7)</f>
        <v/>
      </c>
      <c r="S7" s="32" t="n"/>
      <c r="T7" s="10">
        <f>Q7+S7</f>
        <v/>
      </c>
      <c r="U7" s="31">
        <f>IF($C7=0,0,T7/$C7)</f>
        <v/>
      </c>
      <c r="V7" s="32" t="n"/>
      <c r="W7" s="10">
        <f>T7+V7</f>
        <v/>
      </c>
      <c r="X7" s="31">
        <f>IF($C7=0,0,W7/$C7)</f>
        <v/>
      </c>
      <c r="Y7" s="32" t="n"/>
      <c r="Z7" s="10">
        <f>W7+Y7</f>
        <v/>
      </c>
      <c r="AA7" s="31">
        <f>IF($C7=0,0,Z7/$C7)</f>
        <v/>
      </c>
      <c r="AB7" s="32" t="n"/>
      <c r="AC7" s="10">
        <f>Z7+AB7</f>
        <v/>
      </c>
      <c r="AD7" s="31">
        <f>IF($C7=0,0,AC7/$C7)</f>
        <v/>
      </c>
      <c r="AE7" s="32" t="n"/>
      <c r="AF7" s="10">
        <f>AC7+AE7</f>
        <v/>
      </c>
      <c r="AG7" s="31">
        <f>IF($C7=0,0,AF7/$C7)</f>
        <v/>
      </c>
      <c r="AH7" s="32" t="n"/>
      <c r="AI7" s="10">
        <f>AF7+AH7</f>
        <v/>
      </c>
      <c r="AJ7" s="31">
        <f>IF($C7=0,0,AI7/$C7)</f>
        <v/>
      </c>
      <c r="AK7" s="32" t="n"/>
      <c r="AL7" s="10">
        <f>AI7+AK7</f>
        <v/>
      </c>
      <c r="AM7" s="31">
        <f>IF($C7=0,0,AL7/$C7)</f>
        <v/>
      </c>
      <c r="AN7" s="32" t="n"/>
      <c r="AO7" s="10">
        <f>AL7+AN7</f>
        <v/>
      </c>
      <c r="AP7" s="31">
        <f>IF($C7=0,0,AO7/$C7)</f>
        <v/>
      </c>
      <c r="AQ7" s="32" t="n"/>
      <c r="AR7" s="10">
        <f>AO7+AQ7</f>
        <v/>
      </c>
      <c r="AS7" s="31">
        <f>IF($C7=0,0,AR7/$C7)</f>
        <v/>
      </c>
      <c r="AT7" s="32" t="n"/>
      <c r="AU7" s="10">
        <f>AR7+AT7</f>
        <v/>
      </c>
      <c r="AV7" s="31">
        <f>IF($C7=0,0,AU7/$C7)</f>
        <v/>
      </c>
      <c r="AW7" s="32" t="n"/>
      <c r="AX7" s="10">
        <f>AU7+AW7</f>
        <v/>
      </c>
      <c r="AY7" s="31">
        <f>IF($C7=0,0,AX7/$C7)</f>
        <v/>
      </c>
      <c r="AZ7" s="32" t="n"/>
      <c r="BA7" s="10">
        <f>AX7+AZ7</f>
        <v/>
      </c>
      <c r="BB7" s="31">
        <f>IF($C7=0,0,BA7/$C7)</f>
        <v/>
      </c>
      <c r="BC7" s="32" t="n"/>
      <c r="BD7" s="10">
        <f>BA7+BC7</f>
        <v/>
      </c>
      <c r="BE7" s="31">
        <f>IF($C7=0,0,BD7/$C7)</f>
        <v/>
      </c>
      <c r="BF7" s="32" t="n"/>
      <c r="BG7" s="10">
        <f>BD7+BF7</f>
        <v/>
      </c>
      <c r="BH7" s="31">
        <f>IF($C7=0,0,BG7/$C7)</f>
        <v/>
      </c>
      <c r="BI7" s="32" t="n"/>
      <c r="BJ7" s="10">
        <f>BG7+BI7</f>
        <v/>
      </c>
      <c r="BK7" s="31">
        <f>IF($C7=0,0,BJ7/$C7)</f>
        <v/>
      </c>
      <c r="BL7" s="32" t="n"/>
      <c r="BM7" s="10">
        <f>BJ7+BL7</f>
        <v/>
      </c>
      <c r="BN7" s="31">
        <f>IF($C7=0,0,BM7/$C7)</f>
        <v/>
      </c>
      <c r="BO7" s="32" t="n"/>
      <c r="BP7" s="10">
        <f>BM7+BO7</f>
        <v/>
      </c>
      <c r="BQ7" s="31">
        <f>IF($C7=0,0,BP7/$C7)</f>
        <v/>
      </c>
      <c r="BR7" s="32" t="n"/>
      <c r="BS7" s="10">
        <f>BP7+BR7</f>
        <v/>
      </c>
      <c r="BT7" s="31">
        <f>IF($C7=0,0,BS7/$C7)</f>
        <v/>
      </c>
    </row>
    <row r="8">
      <c r="A8" s="6" t="inlineStr">
        <is>
          <t>b)</t>
        </is>
      </c>
      <c r="B8" s="7" t="inlineStr">
        <is>
          <t>解体撤去工事</t>
        </is>
      </c>
      <c r="C8" s="10">
        <f>C9+C10+C11+C12</f>
        <v/>
      </c>
      <c r="D8" s="10">
        <f>BS8</f>
        <v/>
      </c>
      <c r="E8" s="10">
        <f>C8-D8</f>
        <v/>
      </c>
      <c r="F8" s="31">
        <f>IF(C8=0,0,D8/C8)</f>
        <v/>
      </c>
      <c r="G8" s="33">
        <f>G9+G10+G11+G12</f>
        <v/>
      </c>
      <c r="H8" s="10">
        <f>G8</f>
        <v/>
      </c>
      <c r="I8" s="31">
        <f>IF($C8=0,0,H8/$C8)</f>
        <v/>
      </c>
      <c r="J8" s="33">
        <f>J9+J10+J11+J12</f>
        <v/>
      </c>
      <c r="K8" s="10">
        <f>H8+J8</f>
        <v/>
      </c>
      <c r="L8" s="31">
        <f>IF($C8=0,0,K8/$C8)</f>
        <v/>
      </c>
      <c r="M8" s="33">
        <f>M9+M10+M11+M12</f>
        <v/>
      </c>
      <c r="N8" s="10">
        <f>K8+M8</f>
        <v/>
      </c>
      <c r="O8" s="31">
        <f>IF($C8=0,0,N8/$C8)</f>
        <v/>
      </c>
      <c r="P8" s="33">
        <f>P9+P10+P11+P12</f>
        <v/>
      </c>
      <c r="Q8" s="10">
        <f>N8+P8</f>
        <v/>
      </c>
      <c r="R8" s="31">
        <f>IF($C8=0,0,Q8/$C8)</f>
        <v/>
      </c>
      <c r="S8" s="33">
        <f>S9+S10+S11+S12</f>
        <v/>
      </c>
      <c r="T8" s="10">
        <f>Q8+S8</f>
        <v/>
      </c>
      <c r="U8" s="31">
        <f>IF($C8=0,0,T8/$C8)</f>
        <v/>
      </c>
      <c r="V8" s="33">
        <f>V9+V10+V11+V12</f>
        <v/>
      </c>
      <c r="W8" s="10">
        <f>T8+V8</f>
        <v/>
      </c>
      <c r="X8" s="31">
        <f>IF($C8=0,0,W8/$C8)</f>
        <v/>
      </c>
      <c r="Y8" s="33">
        <f>Y9+Y10+Y11+Y12</f>
        <v/>
      </c>
      <c r="Z8" s="10">
        <f>W8+Y8</f>
        <v/>
      </c>
      <c r="AA8" s="31">
        <f>IF($C8=0,0,Z8/$C8)</f>
        <v/>
      </c>
      <c r="AB8" s="33">
        <f>AB9+AB10+AB11+AB12</f>
        <v/>
      </c>
      <c r="AC8" s="10">
        <f>Z8+AB8</f>
        <v/>
      </c>
      <c r="AD8" s="31">
        <f>IF($C8=0,0,AC8/$C8)</f>
        <v/>
      </c>
      <c r="AE8" s="33">
        <f>AE9+AE10+AE11+AE12</f>
        <v/>
      </c>
      <c r="AF8" s="10">
        <f>AC8+AE8</f>
        <v/>
      </c>
      <c r="AG8" s="31">
        <f>IF($C8=0,0,AF8/$C8)</f>
        <v/>
      </c>
      <c r="AH8" s="33">
        <f>AH9+AH10+AH11+AH12</f>
        <v/>
      </c>
      <c r="AI8" s="10">
        <f>AF8+AH8</f>
        <v/>
      </c>
      <c r="AJ8" s="31">
        <f>IF($C8=0,0,AI8/$C8)</f>
        <v/>
      </c>
      <c r="AK8" s="33">
        <f>AK9+AK10+AK11+AK12</f>
        <v/>
      </c>
      <c r="AL8" s="10">
        <f>AI8+AK8</f>
        <v/>
      </c>
      <c r="AM8" s="31">
        <f>IF($C8=0,0,AL8/$C8)</f>
        <v/>
      </c>
      <c r="AN8" s="33">
        <f>AN9+AN10+AN11+AN12</f>
        <v/>
      </c>
      <c r="AO8" s="10">
        <f>AL8+AN8</f>
        <v/>
      </c>
      <c r="AP8" s="31">
        <f>IF($C8=0,0,AO8/$C8)</f>
        <v/>
      </c>
      <c r="AQ8" s="33">
        <f>AQ9+AQ10+AQ11+AQ12</f>
        <v/>
      </c>
      <c r="AR8" s="10">
        <f>AO8+AQ8</f>
        <v/>
      </c>
      <c r="AS8" s="31">
        <f>IF($C8=0,0,AR8/$C8)</f>
        <v/>
      </c>
      <c r="AT8" s="33">
        <f>AT9+AT10+AT11+AT12</f>
        <v/>
      </c>
      <c r="AU8" s="10">
        <f>AR8+AT8</f>
        <v/>
      </c>
      <c r="AV8" s="31">
        <f>IF($C8=0,0,AU8/$C8)</f>
        <v/>
      </c>
      <c r="AW8" s="33">
        <f>AW9+AW10+AW11+AW12</f>
        <v/>
      </c>
      <c r="AX8" s="10">
        <f>AU8+AW8</f>
        <v/>
      </c>
      <c r="AY8" s="31">
        <f>IF($C8=0,0,AX8/$C8)</f>
        <v/>
      </c>
      <c r="AZ8" s="33">
        <f>AZ9+AZ10+AZ11+AZ12</f>
        <v/>
      </c>
      <c r="BA8" s="10">
        <f>AX8+AZ8</f>
        <v/>
      </c>
      <c r="BB8" s="31">
        <f>IF($C8=0,0,BA8/$C8)</f>
        <v/>
      </c>
      <c r="BC8" s="33">
        <f>BC9+BC10+BC11+BC12</f>
        <v/>
      </c>
      <c r="BD8" s="10">
        <f>BA8+BC8</f>
        <v/>
      </c>
      <c r="BE8" s="31">
        <f>IF($C8=0,0,BD8/$C8)</f>
        <v/>
      </c>
      <c r="BF8" s="33">
        <f>BF9+BF10+BF11+BF12</f>
        <v/>
      </c>
      <c r="BG8" s="10">
        <f>BD8+BF8</f>
        <v/>
      </c>
      <c r="BH8" s="31">
        <f>IF($C8=0,0,BG8/$C8)</f>
        <v/>
      </c>
      <c r="BI8" s="33">
        <f>BI9+BI10+BI11+BI12</f>
        <v/>
      </c>
      <c r="BJ8" s="10">
        <f>BG8+BI8</f>
        <v/>
      </c>
      <c r="BK8" s="31">
        <f>IF($C8=0,0,BJ8/$C8)</f>
        <v/>
      </c>
      <c r="BL8" s="33">
        <f>BL9+BL10+BL11+BL12</f>
        <v/>
      </c>
      <c r="BM8" s="10">
        <f>BJ8+BL8</f>
        <v/>
      </c>
      <c r="BN8" s="31">
        <f>IF($C8=0,0,BM8/$C8)</f>
        <v/>
      </c>
      <c r="BO8" s="33">
        <f>BO9+BO10+BO11+BO12</f>
        <v/>
      </c>
      <c r="BP8" s="10">
        <f>BM8+BO8</f>
        <v/>
      </c>
      <c r="BQ8" s="31">
        <f>IF($C8=0,0,BP8/$C8)</f>
        <v/>
      </c>
      <c r="BR8" s="33">
        <f>BR9+BR10+BR11+BR12</f>
        <v/>
      </c>
      <c r="BS8" s="10">
        <f>BP8+BR8</f>
        <v/>
      </c>
      <c r="BT8" s="31">
        <f>IF($C8=0,0,BS8/$C8)</f>
        <v/>
      </c>
    </row>
    <row r="9">
      <c r="A9" s="15" t="inlineStr">
        <is>
          <t>b)-1</t>
        </is>
      </c>
      <c r="B9" s="16" t="inlineStr">
        <is>
          <t>建築工事</t>
        </is>
      </c>
      <c r="C9" s="34">
        <f>'金額リスト'!C8</f>
        <v/>
      </c>
      <c r="D9" s="19">
        <f>BS9</f>
        <v/>
      </c>
      <c r="E9" s="19">
        <f>C9-D9</f>
        <v/>
      </c>
      <c r="F9" s="35">
        <f>IF(C9=0,0,D9/C9)</f>
        <v/>
      </c>
      <c r="G9" s="36" t="n"/>
      <c r="H9" s="19">
        <f>G9</f>
        <v/>
      </c>
      <c r="I9" s="35">
        <f>IF($C9=0,0,H9/$C9)</f>
        <v/>
      </c>
      <c r="J9" s="36" t="n"/>
      <c r="K9" s="19">
        <f>H9+J9</f>
        <v/>
      </c>
      <c r="L9" s="35">
        <f>IF($C9=0,0,K9/$C9)</f>
        <v/>
      </c>
      <c r="M9" s="36" t="n"/>
      <c r="N9" s="19">
        <f>K9+M9</f>
        <v/>
      </c>
      <c r="O9" s="35">
        <f>IF($C9=0,0,N9/$C9)</f>
        <v/>
      </c>
      <c r="P9" s="36" t="n"/>
      <c r="Q9" s="19">
        <f>N9+P9</f>
        <v/>
      </c>
      <c r="R9" s="35">
        <f>IF($C9=0,0,Q9/$C9)</f>
        <v/>
      </c>
      <c r="S9" s="36" t="n"/>
      <c r="T9" s="19">
        <f>Q9+S9</f>
        <v/>
      </c>
      <c r="U9" s="35">
        <f>IF($C9=0,0,T9/$C9)</f>
        <v/>
      </c>
      <c r="V9" s="36" t="n"/>
      <c r="W9" s="19">
        <f>T9+V9</f>
        <v/>
      </c>
      <c r="X9" s="35">
        <f>IF($C9=0,0,W9/$C9)</f>
        <v/>
      </c>
      <c r="Y9" s="36" t="n"/>
      <c r="Z9" s="19">
        <f>W9+Y9</f>
        <v/>
      </c>
      <c r="AA9" s="35">
        <f>IF($C9=0,0,Z9/$C9)</f>
        <v/>
      </c>
      <c r="AB9" s="36" t="n"/>
      <c r="AC9" s="19">
        <f>Z9+AB9</f>
        <v/>
      </c>
      <c r="AD9" s="35">
        <f>IF($C9=0,0,AC9/$C9)</f>
        <v/>
      </c>
      <c r="AE9" s="36" t="n"/>
      <c r="AF9" s="19">
        <f>AC9+AE9</f>
        <v/>
      </c>
      <c r="AG9" s="35">
        <f>IF($C9=0,0,AF9/$C9)</f>
        <v/>
      </c>
      <c r="AH9" s="36" t="n"/>
      <c r="AI9" s="19">
        <f>AF9+AH9</f>
        <v/>
      </c>
      <c r="AJ9" s="35">
        <f>IF($C9=0,0,AI9/$C9)</f>
        <v/>
      </c>
      <c r="AK9" s="36" t="n"/>
      <c r="AL9" s="19">
        <f>AI9+AK9</f>
        <v/>
      </c>
      <c r="AM9" s="35">
        <f>IF($C9=0,0,AL9/$C9)</f>
        <v/>
      </c>
      <c r="AN9" s="36" t="n"/>
      <c r="AO9" s="19">
        <f>AL9+AN9</f>
        <v/>
      </c>
      <c r="AP9" s="35">
        <f>IF($C9=0,0,AO9/$C9)</f>
        <v/>
      </c>
      <c r="AQ9" s="36" t="n"/>
      <c r="AR9" s="19">
        <f>AO9+AQ9</f>
        <v/>
      </c>
      <c r="AS9" s="35">
        <f>IF($C9=0,0,AR9/$C9)</f>
        <v/>
      </c>
      <c r="AT9" s="36" t="n"/>
      <c r="AU9" s="19">
        <f>AR9+AT9</f>
        <v/>
      </c>
      <c r="AV9" s="35">
        <f>IF($C9=0,0,AU9/$C9)</f>
        <v/>
      </c>
      <c r="AW9" s="36" t="n"/>
      <c r="AX9" s="19">
        <f>AU9+AW9</f>
        <v/>
      </c>
      <c r="AY9" s="35">
        <f>IF($C9=0,0,AX9/$C9)</f>
        <v/>
      </c>
      <c r="AZ9" s="36" t="n"/>
      <c r="BA9" s="19">
        <f>AX9+AZ9</f>
        <v/>
      </c>
      <c r="BB9" s="35">
        <f>IF($C9=0,0,BA9/$C9)</f>
        <v/>
      </c>
      <c r="BC9" s="36" t="n"/>
      <c r="BD9" s="19">
        <f>BA9+BC9</f>
        <v/>
      </c>
      <c r="BE9" s="35">
        <f>IF($C9=0,0,BD9/$C9)</f>
        <v/>
      </c>
      <c r="BF9" s="36" t="n"/>
      <c r="BG9" s="19">
        <f>BD9+BF9</f>
        <v/>
      </c>
      <c r="BH9" s="35">
        <f>IF($C9=0,0,BG9/$C9)</f>
        <v/>
      </c>
      <c r="BI9" s="36" t="n"/>
      <c r="BJ9" s="19">
        <f>BG9+BI9</f>
        <v/>
      </c>
      <c r="BK9" s="35">
        <f>IF($C9=0,0,BJ9/$C9)</f>
        <v/>
      </c>
      <c r="BL9" s="36" t="n"/>
      <c r="BM9" s="19">
        <f>BJ9+BL9</f>
        <v/>
      </c>
      <c r="BN9" s="35">
        <f>IF($C9=0,0,BM9/$C9)</f>
        <v/>
      </c>
      <c r="BO9" s="36" t="n"/>
      <c r="BP9" s="19">
        <f>BM9+BO9</f>
        <v/>
      </c>
      <c r="BQ9" s="35">
        <f>IF($C9=0,0,BP9/$C9)</f>
        <v/>
      </c>
      <c r="BR9" s="36" t="n"/>
      <c r="BS9" s="19">
        <f>BP9+BR9</f>
        <v/>
      </c>
      <c r="BT9" s="35">
        <f>IF($C9=0,0,BS9/$C9)</f>
        <v/>
      </c>
    </row>
    <row r="10">
      <c r="A10" s="15" t="inlineStr"/>
      <c r="B10" s="16" t="inlineStr">
        <is>
          <t>電気設備工事</t>
        </is>
      </c>
      <c r="C10" s="34">
        <f>'金額リスト'!C10</f>
        <v/>
      </c>
      <c r="D10" s="19">
        <f>BS10</f>
        <v/>
      </c>
      <c r="E10" s="19">
        <f>C10-D10</f>
        <v/>
      </c>
      <c r="F10" s="35">
        <f>IF(C10=0,0,D10/C10)</f>
        <v/>
      </c>
      <c r="G10" s="36" t="n"/>
      <c r="H10" s="19">
        <f>G10</f>
        <v/>
      </c>
      <c r="I10" s="35">
        <f>IF($C10=0,0,H10/$C10)</f>
        <v/>
      </c>
      <c r="J10" s="36" t="n"/>
      <c r="K10" s="19">
        <f>H10+J10</f>
        <v/>
      </c>
      <c r="L10" s="35">
        <f>IF($C10=0,0,K10/$C10)</f>
        <v/>
      </c>
      <c r="M10" s="36" t="n"/>
      <c r="N10" s="19">
        <f>K10+M10</f>
        <v/>
      </c>
      <c r="O10" s="35">
        <f>IF($C10=0,0,N10/$C10)</f>
        <v/>
      </c>
      <c r="P10" s="36" t="n"/>
      <c r="Q10" s="19">
        <f>N10+P10</f>
        <v/>
      </c>
      <c r="R10" s="35">
        <f>IF($C10=0,0,Q10/$C10)</f>
        <v/>
      </c>
      <c r="S10" s="36" t="n"/>
      <c r="T10" s="19">
        <f>Q10+S10</f>
        <v/>
      </c>
      <c r="U10" s="35">
        <f>IF($C10=0,0,T10/$C10)</f>
        <v/>
      </c>
      <c r="V10" s="36" t="n"/>
      <c r="W10" s="19">
        <f>T10+V10</f>
        <v/>
      </c>
      <c r="X10" s="35">
        <f>IF($C10=0,0,W10/$C10)</f>
        <v/>
      </c>
      <c r="Y10" s="36" t="n"/>
      <c r="Z10" s="19">
        <f>W10+Y10</f>
        <v/>
      </c>
      <c r="AA10" s="35">
        <f>IF($C10=0,0,Z10/$C10)</f>
        <v/>
      </c>
      <c r="AB10" s="36" t="n"/>
      <c r="AC10" s="19">
        <f>Z10+AB10</f>
        <v/>
      </c>
      <c r="AD10" s="35">
        <f>IF($C10=0,0,AC10/$C10)</f>
        <v/>
      </c>
      <c r="AE10" s="36" t="n"/>
      <c r="AF10" s="19">
        <f>AC10+AE10</f>
        <v/>
      </c>
      <c r="AG10" s="35">
        <f>IF($C10=0,0,AF10/$C10)</f>
        <v/>
      </c>
      <c r="AH10" s="36" t="n"/>
      <c r="AI10" s="19">
        <f>AF10+AH10</f>
        <v/>
      </c>
      <c r="AJ10" s="35">
        <f>IF($C10=0,0,AI10/$C10)</f>
        <v/>
      </c>
      <c r="AK10" s="36" t="n"/>
      <c r="AL10" s="19">
        <f>AI10+AK10</f>
        <v/>
      </c>
      <c r="AM10" s="35">
        <f>IF($C10=0,0,AL10/$C10)</f>
        <v/>
      </c>
      <c r="AN10" s="36" t="n"/>
      <c r="AO10" s="19">
        <f>AL10+AN10</f>
        <v/>
      </c>
      <c r="AP10" s="35">
        <f>IF($C10=0,0,AO10/$C10)</f>
        <v/>
      </c>
      <c r="AQ10" s="36" t="n"/>
      <c r="AR10" s="19">
        <f>AO10+AQ10</f>
        <v/>
      </c>
      <c r="AS10" s="35">
        <f>IF($C10=0,0,AR10/$C10)</f>
        <v/>
      </c>
      <c r="AT10" s="36" t="n"/>
      <c r="AU10" s="19">
        <f>AR10+AT10</f>
        <v/>
      </c>
      <c r="AV10" s="35">
        <f>IF($C10=0,0,AU10/$C10)</f>
        <v/>
      </c>
      <c r="AW10" s="36" t="n"/>
      <c r="AX10" s="19">
        <f>AU10+AW10</f>
        <v/>
      </c>
      <c r="AY10" s="35">
        <f>IF($C10=0,0,AX10/$C10)</f>
        <v/>
      </c>
      <c r="AZ10" s="36" t="n"/>
      <c r="BA10" s="19">
        <f>AX10+AZ10</f>
        <v/>
      </c>
      <c r="BB10" s="35">
        <f>IF($C10=0,0,BA10/$C10)</f>
        <v/>
      </c>
      <c r="BC10" s="36" t="n"/>
      <c r="BD10" s="19">
        <f>BA10+BC10</f>
        <v/>
      </c>
      <c r="BE10" s="35">
        <f>IF($C10=0,0,BD10/$C10)</f>
        <v/>
      </c>
      <c r="BF10" s="36" t="n"/>
      <c r="BG10" s="19">
        <f>BD10+BF10</f>
        <v/>
      </c>
      <c r="BH10" s="35">
        <f>IF($C10=0,0,BG10/$C10)</f>
        <v/>
      </c>
      <c r="BI10" s="36" t="n"/>
      <c r="BJ10" s="19">
        <f>BG10+BI10</f>
        <v/>
      </c>
      <c r="BK10" s="35">
        <f>IF($C10=0,0,BJ10/$C10)</f>
        <v/>
      </c>
      <c r="BL10" s="36" t="n"/>
      <c r="BM10" s="19">
        <f>BJ10+BL10</f>
        <v/>
      </c>
      <c r="BN10" s="35">
        <f>IF($C10=0,0,BM10/$C10)</f>
        <v/>
      </c>
      <c r="BO10" s="36" t="n"/>
      <c r="BP10" s="19">
        <f>BM10+BO10</f>
        <v/>
      </c>
      <c r="BQ10" s="35">
        <f>IF($C10=0,0,BP10/$C10)</f>
        <v/>
      </c>
      <c r="BR10" s="36" t="n"/>
      <c r="BS10" s="19">
        <f>BP10+BR10</f>
        <v/>
      </c>
      <c r="BT10" s="35">
        <f>IF($C10=0,0,BS10/$C10)</f>
        <v/>
      </c>
    </row>
    <row r="11">
      <c r="A11" s="15" t="inlineStr"/>
      <c r="B11" s="16" t="inlineStr">
        <is>
          <t>空気調和設備工事</t>
        </is>
      </c>
      <c r="C11" s="34">
        <f>'金額リスト'!C11</f>
        <v/>
      </c>
      <c r="D11" s="19">
        <f>BS11</f>
        <v/>
      </c>
      <c r="E11" s="19">
        <f>C11-D11</f>
        <v/>
      </c>
      <c r="F11" s="35">
        <f>IF(C11=0,0,D11/C11)</f>
        <v/>
      </c>
      <c r="G11" s="36" t="n"/>
      <c r="H11" s="19">
        <f>G11</f>
        <v/>
      </c>
      <c r="I11" s="35">
        <f>IF($C11=0,0,H11/$C11)</f>
        <v/>
      </c>
      <c r="J11" s="36" t="n"/>
      <c r="K11" s="19">
        <f>H11+J11</f>
        <v/>
      </c>
      <c r="L11" s="35">
        <f>IF($C11=0,0,K11/$C11)</f>
        <v/>
      </c>
      <c r="M11" s="36" t="n"/>
      <c r="N11" s="19">
        <f>K11+M11</f>
        <v/>
      </c>
      <c r="O11" s="35">
        <f>IF($C11=0,0,N11/$C11)</f>
        <v/>
      </c>
      <c r="P11" s="36" t="n"/>
      <c r="Q11" s="19">
        <f>N11+P11</f>
        <v/>
      </c>
      <c r="R11" s="35">
        <f>IF($C11=0,0,Q11/$C11)</f>
        <v/>
      </c>
      <c r="S11" s="36" t="n"/>
      <c r="T11" s="19">
        <f>Q11+S11</f>
        <v/>
      </c>
      <c r="U11" s="35">
        <f>IF($C11=0,0,T11/$C11)</f>
        <v/>
      </c>
      <c r="V11" s="36" t="n"/>
      <c r="W11" s="19">
        <f>T11+V11</f>
        <v/>
      </c>
      <c r="X11" s="35">
        <f>IF($C11=0,0,W11/$C11)</f>
        <v/>
      </c>
      <c r="Y11" s="36" t="n"/>
      <c r="Z11" s="19">
        <f>W11+Y11</f>
        <v/>
      </c>
      <c r="AA11" s="35">
        <f>IF($C11=0,0,Z11/$C11)</f>
        <v/>
      </c>
      <c r="AB11" s="36" t="n"/>
      <c r="AC11" s="19">
        <f>Z11+AB11</f>
        <v/>
      </c>
      <c r="AD11" s="35">
        <f>IF($C11=0,0,AC11/$C11)</f>
        <v/>
      </c>
      <c r="AE11" s="36" t="n"/>
      <c r="AF11" s="19">
        <f>AC11+AE11</f>
        <v/>
      </c>
      <c r="AG11" s="35">
        <f>IF($C11=0,0,AF11/$C11)</f>
        <v/>
      </c>
      <c r="AH11" s="36" t="n"/>
      <c r="AI11" s="19">
        <f>AF11+AH11</f>
        <v/>
      </c>
      <c r="AJ11" s="35">
        <f>IF($C11=0,0,AI11/$C11)</f>
        <v/>
      </c>
      <c r="AK11" s="36" t="n"/>
      <c r="AL11" s="19">
        <f>AI11+AK11</f>
        <v/>
      </c>
      <c r="AM11" s="35">
        <f>IF($C11=0,0,AL11/$C11)</f>
        <v/>
      </c>
      <c r="AN11" s="36" t="n"/>
      <c r="AO11" s="19">
        <f>AL11+AN11</f>
        <v/>
      </c>
      <c r="AP11" s="35">
        <f>IF($C11=0,0,AO11/$C11)</f>
        <v/>
      </c>
      <c r="AQ11" s="36" t="n"/>
      <c r="AR11" s="19">
        <f>AO11+AQ11</f>
        <v/>
      </c>
      <c r="AS11" s="35">
        <f>IF($C11=0,0,AR11/$C11)</f>
        <v/>
      </c>
      <c r="AT11" s="36" t="n"/>
      <c r="AU11" s="19">
        <f>AR11+AT11</f>
        <v/>
      </c>
      <c r="AV11" s="35">
        <f>IF($C11=0,0,AU11/$C11)</f>
        <v/>
      </c>
      <c r="AW11" s="36" t="n"/>
      <c r="AX11" s="19">
        <f>AU11+AW11</f>
        <v/>
      </c>
      <c r="AY11" s="35">
        <f>IF($C11=0,0,AX11/$C11)</f>
        <v/>
      </c>
      <c r="AZ11" s="36" t="n"/>
      <c r="BA11" s="19">
        <f>AX11+AZ11</f>
        <v/>
      </c>
      <c r="BB11" s="35">
        <f>IF($C11=0,0,BA11/$C11)</f>
        <v/>
      </c>
      <c r="BC11" s="36" t="n"/>
      <c r="BD11" s="19">
        <f>BA11+BC11</f>
        <v/>
      </c>
      <c r="BE11" s="35">
        <f>IF($C11=0,0,BD11/$C11)</f>
        <v/>
      </c>
      <c r="BF11" s="36" t="n"/>
      <c r="BG11" s="19">
        <f>BD11+BF11</f>
        <v/>
      </c>
      <c r="BH11" s="35">
        <f>IF($C11=0,0,BG11/$C11)</f>
        <v/>
      </c>
      <c r="BI11" s="36" t="n"/>
      <c r="BJ11" s="19">
        <f>BG11+BI11</f>
        <v/>
      </c>
      <c r="BK11" s="35">
        <f>IF($C11=0,0,BJ11/$C11)</f>
        <v/>
      </c>
      <c r="BL11" s="36" t="n"/>
      <c r="BM11" s="19">
        <f>BJ11+BL11</f>
        <v/>
      </c>
      <c r="BN11" s="35">
        <f>IF($C11=0,0,BM11/$C11)</f>
        <v/>
      </c>
      <c r="BO11" s="36" t="n"/>
      <c r="BP11" s="19">
        <f>BM11+BO11</f>
        <v/>
      </c>
      <c r="BQ11" s="35">
        <f>IF($C11=0,0,BP11/$C11)</f>
        <v/>
      </c>
      <c r="BR11" s="36" t="n"/>
      <c r="BS11" s="19">
        <f>BP11+BR11</f>
        <v/>
      </c>
      <c r="BT11" s="35">
        <f>IF($C11=0,0,BS11/$C11)</f>
        <v/>
      </c>
    </row>
    <row r="12">
      <c r="A12" s="15" t="inlineStr"/>
      <c r="B12" s="16" t="inlineStr">
        <is>
          <t>衛生設備工事</t>
        </is>
      </c>
      <c r="C12" s="34">
        <f>'金額リスト'!C12</f>
        <v/>
      </c>
      <c r="D12" s="19">
        <f>BS12</f>
        <v/>
      </c>
      <c r="E12" s="19">
        <f>C12-D12</f>
        <v/>
      </c>
      <c r="F12" s="35">
        <f>IF(C12=0,0,D12/C12)</f>
        <v/>
      </c>
      <c r="G12" s="36" t="n"/>
      <c r="H12" s="19">
        <f>G12</f>
        <v/>
      </c>
      <c r="I12" s="35">
        <f>IF($C12=0,0,H12/$C12)</f>
        <v/>
      </c>
      <c r="J12" s="36" t="n"/>
      <c r="K12" s="19">
        <f>H12+J12</f>
        <v/>
      </c>
      <c r="L12" s="35">
        <f>IF($C12=0,0,K12/$C12)</f>
        <v/>
      </c>
      <c r="M12" s="36" t="n"/>
      <c r="N12" s="19">
        <f>K12+M12</f>
        <v/>
      </c>
      <c r="O12" s="35">
        <f>IF($C12=0,0,N12/$C12)</f>
        <v/>
      </c>
      <c r="P12" s="36" t="n"/>
      <c r="Q12" s="19">
        <f>N12+P12</f>
        <v/>
      </c>
      <c r="R12" s="35">
        <f>IF($C12=0,0,Q12/$C12)</f>
        <v/>
      </c>
      <c r="S12" s="36" t="n"/>
      <c r="T12" s="19">
        <f>Q12+S12</f>
        <v/>
      </c>
      <c r="U12" s="35">
        <f>IF($C12=0,0,T12/$C12)</f>
        <v/>
      </c>
      <c r="V12" s="36" t="n"/>
      <c r="W12" s="19">
        <f>T12+V12</f>
        <v/>
      </c>
      <c r="X12" s="35">
        <f>IF($C12=0,0,W12/$C12)</f>
        <v/>
      </c>
      <c r="Y12" s="36" t="n"/>
      <c r="Z12" s="19">
        <f>W12+Y12</f>
        <v/>
      </c>
      <c r="AA12" s="35">
        <f>IF($C12=0,0,Z12/$C12)</f>
        <v/>
      </c>
      <c r="AB12" s="36" t="n"/>
      <c r="AC12" s="19">
        <f>Z12+AB12</f>
        <v/>
      </c>
      <c r="AD12" s="35">
        <f>IF($C12=0,0,AC12/$C12)</f>
        <v/>
      </c>
      <c r="AE12" s="36" t="n"/>
      <c r="AF12" s="19">
        <f>AC12+AE12</f>
        <v/>
      </c>
      <c r="AG12" s="35">
        <f>IF($C12=0,0,AF12/$C12)</f>
        <v/>
      </c>
      <c r="AH12" s="36" t="n"/>
      <c r="AI12" s="19">
        <f>AF12+AH12</f>
        <v/>
      </c>
      <c r="AJ12" s="35">
        <f>IF($C12=0,0,AI12/$C12)</f>
        <v/>
      </c>
      <c r="AK12" s="36" t="n"/>
      <c r="AL12" s="19">
        <f>AI12+AK12</f>
        <v/>
      </c>
      <c r="AM12" s="35">
        <f>IF($C12=0,0,AL12/$C12)</f>
        <v/>
      </c>
      <c r="AN12" s="36" t="n"/>
      <c r="AO12" s="19">
        <f>AL12+AN12</f>
        <v/>
      </c>
      <c r="AP12" s="35">
        <f>IF($C12=0,0,AO12/$C12)</f>
        <v/>
      </c>
      <c r="AQ12" s="36" t="n"/>
      <c r="AR12" s="19">
        <f>AO12+AQ12</f>
        <v/>
      </c>
      <c r="AS12" s="35">
        <f>IF($C12=0,0,AR12/$C12)</f>
        <v/>
      </c>
      <c r="AT12" s="36" t="n"/>
      <c r="AU12" s="19">
        <f>AR12+AT12</f>
        <v/>
      </c>
      <c r="AV12" s="35">
        <f>IF($C12=0,0,AU12/$C12)</f>
        <v/>
      </c>
      <c r="AW12" s="36" t="n"/>
      <c r="AX12" s="19">
        <f>AU12+AW12</f>
        <v/>
      </c>
      <c r="AY12" s="35">
        <f>IF($C12=0,0,AX12/$C12)</f>
        <v/>
      </c>
      <c r="AZ12" s="36" t="n"/>
      <c r="BA12" s="19">
        <f>AX12+AZ12</f>
        <v/>
      </c>
      <c r="BB12" s="35">
        <f>IF($C12=0,0,BA12/$C12)</f>
        <v/>
      </c>
      <c r="BC12" s="36" t="n"/>
      <c r="BD12" s="19">
        <f>BA12+BC12</f>
        <v/>
      </c>
      <c r="BE12" s="35">
        <f>IF($C12=0,0,BD12/$C12)</f>
        <v/>
      </c>
      <c r="BF12" s="36" t="n"/>
      <c r="BG12" s="19">
        <f>BD12+BF12</f>
        <v/>
      </c>
      <c r="BH12" s="35">
        <f>IF($C12=0,0,BG12/$C12)</f>
        <v/>
      </c>
      <c r="BI12" s="36" t="n"/>
      <c r="BJ12" s="19">
        <f>BG12+BI12</f>
        <v/>
      </c>
      <c r="BK12" s="35">
        <f>IF($C12=0,0,BJ12/$C12)</f>
        <v/>
      </c>
      <c r="BL12" s="36" t="n"/>
      <c r="BM12" s="19">
        <f>BJ12+BL12</f>
        <v/>
      </c>
      <c r="BN12" s="35">
        <f>IF($C12=0,0,BM12/$C12)</f>
        <v/>
      </c>
      <c r="BO12" s="36" t="n"/>
      <c r="BP12" s="19">
        <f>BM12+BO12</f>
        <v/>
      </c>
      <c r="BQ12" s="35">
        <f>IF($C12=0,0,BP12/$C12)</f>
        <v/>
      </c>
      <c r="BR12" s="36" t="n"/>
      <c r="BS12" s="19">
        <f>BP12+BR12</f>
        <v/>
      </c>
      <c r="BT12" s="35">
        <f>IF($C12=0,0,BS12/$C12)</f>
        <v/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C14+C27+C28+C29</f>
        <v/>
      </c>
      <c r="D13" s="10">
        <f>BS13</f>
        <v/>
      </c>
      <c r="E13" s="10">
        <f>C13-D13</f>
        <v/>
      </c>
      <c r="F13" s="31">
        <f>IF(C13=0,0,D13/C13)</f>
        <v/>
      </c>
      <c r="G13" s="33">
        <f>G14+G27+G28+G29</f>
        <v/>
      </c>
      <c r="H13" s="10">
        <f>G13</f>
        <v/>
      </c>
      <c r="I13" s="31">
        <f>IF($C13=0,0,H13/$C13)</f>
        <v/>
      </c>
      <c r="J13" s="33">
        <f>J14+J27+J28+J29</f>
        <v/>
      </c>
      <c r="K13" s="10">
        <f>H13+J13</f>
        <v/>
      </c>
      <c r="L13" s="31">
        <f>IF($C13=0,0,K13/$C13)</f>
        <v/>
      </c>
      <c r="M13" s="33">
        <f>M14+M27+M28+M29</f>
        <v/>
      </c>
      <c r="N13" s="10">
        <f>K13+M13</f>
        <v/>
      </c>
      <c r="O13" s="31">
        <f>IF($C13=0,0,N13/$C13)</f>
        <v/>
      </c>
      <c r="P13" s="33">
        <f>P14+P27+P28+P29</f>
        <v/>
      </c>
      <c r="Q13" s="10">
        <f>N13+P13</f>
        <v/>
      </c>
      <c r="R13" s="31">
        <f>IF($C13=0,0,Q13/$C13)</f>
        <v/>
      </c>
      <c r="S13" s="33">
        <f>S14+S27+S28+S29</f>
        <v/>
      </c>
      <c r="T13" s="10">
        <f>Q13+S13</f>
        <v/>
      </c>
      <c r="U13" s="31">
        <f>IF($C13=0,0,T13/$C13)</f>
        <v/>
      </c>
      <c r="V13" s="33">
        <f>V14+V27+V28+V29</f>
        <v/>
      </c>
      <c r="W13" s="10">
        <f>T13+V13</f>
        <v/>
      </c>
      <c r="X13" s="31">
        <f>IF($C13=0,0,W13/$C13)</f>
        <v/>
      </c>
      <c r="Y13" s="33">
        <f>Y14+Y27+Y28+Y29</f>
        <v/>
      </c>
      <c r="Z13" s="10">
        <f>W13+Y13</f>
        <v/>
      </c>
      <c r="AA13" s="31">
        <f>IF($C13=0,0,Z13/$C13)</f>
        <v/>
      </c>
      <c r="AB13" s="33">
        <f>AB14+AB27+AB28+AB29</f>
        <v/>
      </c>
      <c r="AC13" s="10">
        <f>Z13+AB13</f>
        <v/>
      </c>
      <c r="AD13" s="31">
        <f>IF($C13=0,0,AC13/$C13)</f>
        <v/>
      </c>
      <c r="AE13" s="33">
        <f>AE14+AE27+AE28+AE29</f>
        <v/>
      </c>
      <c r="AF13" s="10">
        <f>AC13+AE13</f>
        <v/>
      </c>
      <c r="AG13" s="31">
        <f>IF($C13=0,0,AF13/$C13)</f>
        <v/>
      </c>
      <c r="AH13" s="33">
        <f>AH14+AH27+AH28+AH29</f>
        <v/>
      </c>
      <c r="AI13" s="10">
        <f>AF13+AH13</f>
        <v/>
      </c>
      <c r="AJ13" s="31">
        <f>IF($C13=0,0,AI13/$C13)</f>
        <v/>
      </c>
      <c r="AK13" s="33">
        <f>AK14+AK27+AK28+AK29</f>
        <v/>
      </c>
      <c r="AL13" s="10">
        <f>AI13+AK13</f>
        <v/>
      </c>
      <c r="AM13" s="31">
        <f>IF($C13=0,0,AL13/$C13)</f>
        <v/>
      </c>
      <c r="AN13" s="33">
        <f>AN14+AN27+AN28+AN29</f>
        <v/>
      </c>
      <c r="AO13" s="10">
        <f>AL13+AN13</f>
        <v/>
      </c>
      <c r="AP13" s="31">
        <f>IF($C13=0,0,AO13/$C13)</f>
        <v/>
      </c>
      <c r="AQ13" s="33">
        <f>AQ14+AQ27+AQ28+AQ29</f>
        <v/>
      </c>
      <c r="AR13" s="10">
        <f>AO13+AQ13</f>
        <v/>
      </c>
      <c r="AS13" s="31">
        <f>IF($C13=0,0,AR13/$C13)</f>
        <v/>
      </c>
      <c r="AT13" s="33">
        <f>AT14+AT27+AT28+AT29</f>
        <v/>
      </c>
      <c r="AU13" s="10">
        <f>AR13+AT13</f>
        <v/>
      </c>
      <c r="AV13" s="31">
        <f>IF($C13=0,0,AU13/$C13)</f>
        <v/>
      </c>
      <c r="AW13" s="33">
        <f>AW14+AW27+AW28+AW29</f>
        <v/>
      </c>
      <c r="AX13" s="10">
        <f>AU13+AW13</f>
        <v/>
      </c>
      <c r="AY13" s="31">
        <f>IF($C13=0,0,AX13/$C13)</f>
        <v/>
      </c>
      <c r="AZ13" s="33">
        <f>AZ14+AZ27+AZ28+AZ29</f>
        <v/>
      </c>
      <c r="BA13" s="10">
        <f>AX13+AZ13</f>
        <v/>
      </c>
      <c r="BB13" s="31">
        <f>IF($C13=0,0,BA13/$C13)</f>
        <v/>
      </c>
      <c r="BC13" s="33">
        <f>BC14+BC27+BC28+BC29</f>
        <v/>
      </c>
      <c r="BD13" s="10">
        <f>BA13+BC13</f>
        <v/>
      </c>
      <c r="BE13" s="31">
        <f>IF($C13=0,0,BD13/$C13)</f>
        <v/>
      </c>
      <c r="BF13" s="33">
        <f>BF14+BF27+BF28+BF29</f>
        <v/>
      </c>
      <c r="BG13" s="10">
        <f>BD13+BF13</f>
        <v/>
      </c>
      <c r="BH13" s="31">
        <f>IF($C13=0,0,BG13/$C13)</f>
        <v/>
      </c>
      <c r="BI13" s="33">
        <f>BI14+BI27+BI28+BI29</f>
        <v/>
      </c>
      <c r="BJ13" s="10">
        <f>BG13+BI13</f>
        <v/>
      </c>
      <c r="BK13" s="31">
        <f>IF($C13=0,0,BJ13/$C13)</f>
        <v/>
      </c>
      <c r="BL13" s="33">
        <f>BL14+BL27+BL28+BL29</f>
        <v/>
      </c>
      <c r="BM13" s="10">
        <f>BJ13+BL13</f>
        <v/>
      </c>
      <c r="BN13" s="31">
        <f>IF($C13=0,0,BM13/$C13)</f>
        <v/>
      </c>
      <c r="BO13" s="33">
        <f>BO14+BO27+BO28+BO29</f>
        <v/>
      </c>
      <c r="BP13" s="10">
        <f>BM13+BO13</f>
        <v/>
      </c>
      <c r="BQ13" s="31">
        <f>IF($C13=0,0,BP13/$C13)</f>
        <v/>
      </c>
      <c r="BR13" s="33">
        <f>BR14+BR27+BR28+BR29</f>
        <v/>
      </c>
      <c r="BS13" s="10">
        <f>BP13+BR13</f>
        <v/>
      </c>
      <c r="BT13" s="31">
        <f>IF($C13=0,0,BS13/$C13)</f>
        <v/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C15+C16+C17+C18+C19+C20+C21+C22+C23+C24+C25+C26</f>
        <v/>
      </c>
      <c r="D14" s="14">
        <f>BS14</f>
        <v/>
      </c>
      <c r="E14" s="14">
        <f>C14-D14</f>
        <v/>
      </c>
      <c r="F14" s="37">
        <f>IF(C14=0,0,D14/C14)</f>
        <v/>
      </c>
      <c r="G14" s="38">
        <f>G15+G16+G17+G18+G19+G20+G21+G22+G23+G24+G25+G26</f>
        <v/>
      </c>
      <c r="H14" s="14">
        <f>G14</f>
        <v/>
      </c>
      <c r="I14" s="37">
        <f>IF($C14=0,0,H14/$C14)</f>
        <v/>
      </c>
      <c r="J14" s="38">
        <f>J15+J16+J17+J18+J19+J20+J21+J22+J23+J24+J25+J26</f>
        <v/>
      </c>
      <c r="K14" s="14">
        <f>H14+J14</f>
        <v/>
      </c>
      <c r="L14" s="37">
        <f>IF($C14=0,0,K14/$C14)</f>
        <v/>
      </c>
      <c r="M14" s="38">
        <f>M15+M16+M17+M18+M19+M20+M21+M22+M23+M24+M25+M26</f>
        <v/>
      </c>
      <c r="N14" s="14">
        <f>K14+M14</f>
        <v/>
      </c>
      <c r="O14" s="37">
        <f>IF($C14=0,0,N14/$C14)</f>
        <v/>
      </c>
      <c r="P14" s="38">
        <f>P15+P16+P17+P18+P19+P20+P21+P22+P23+P24+P25+P26</f>
        <v/>
      </c>
      <c r="Q14" s="14">
        <f>N14+P14</f>
        <v/>
      </c>
      <c r="R14" s="37">
        <f>IF($C14=0,0,Q14/$C14)</f>
        <v/>
      </c>
      <c r="S14" s="38">
        <f>S15+S16+S17+S18+S19+S20+S21+S22+S23+S24+S25+S26</f>
        <v/>
      </c>
      <c r="T14" s="14">
        <f>Q14+S14</f>
        <v/>
      </c>
      <c r="U14" s="37">
        <f>IF($C14=0,0,T14/$C14)</f>
        <v/>
      </c>
      <c r="V14" s="38">
        <f>V15+V16+V17+V18+V19+V20+V21+V22+V23+V24+V25+V26</f>
        <v/>
      </c>
      <c r="W14" s="14">
        <f>T14+V14</f>
        <v/>
      </c>
      <c r="X14" s="37">
        <f>IF($C14=0,0,W14/$C14)</f>
        <v/>
      </c>
      <c r="Y14" s="38">
        <f>Y15+Y16+Y17+Y18+Y19+Y20+Y21+Y22+Y23+Y24+Y25+Y26</f>
        <v/>
      </c>
      <c r="Z14" s="14">
        <f>W14+Y14</f>
        <v/>
      </c>
      <c r="AA14" s="37">
        <f>IF($C14=0,0,Z14/$C14)</f>
        <v/>
      </c>
      <c r="AB14" s="38">
        <f>AB15+AB16+AB17+AB18+AB19+AB20+AB21+AB22+AB23+AB24+AB25+AB26</f>
        <v/>
      </c>
      <c r="AC14" s="14">
        <f>Z14+AB14</f>
        <v/>
      </c>
      <c r="AD14" s="37">
        <f>IF($C14=0,0,AC14/$C14)</f>
        <v/>
      </c>
      <c r="AE14" s="38">
        <f>AE15+AE16+AE17+AE18+AE19+AE20+AE21+AE22+AE23+AE24+AE25+AE26</f>
        <v/>
      </c>
      <c r="AF14" s="14">
        <f>AC14+AE14</f>
        <v/>
      </c>
      <c r="AG14" s="37">
        <f>IF($C14=0,0,AF14/$C14)</f>
        <v/>
      </c>
      <c r="AH14" s="38">
        <f>AH15+AH16+AH17+AH18+AH19+AH20+AH21+AH22+AH23+AH24+AH25+AH26</f>
        <v/>
      </c>
      <c r="AI14" s="14">
        <f>AF14+AH14</f>
        <v/>
      </c>
      <c r="AJ14" s="37">
        <f>IF($C14=0,0,AI14/$C14)</f>
        <v/>
      </c>
      <c r="AK14" s="38">
        <f>AK15+AK16+AK17+AK18+AK19+AK20+AK21+AK22+AK23+AK24+AK25+AK26</f>
        <v/>
      </c>
      <c r="AL14" s="14">
        <f>AI14+AK14</f>
        <v/>
      </c>
      <c r="AM14" s="37">
        <f>IF($C14=0,0,AL14/$C14)</f>
        <v/>
      </c>
      <c r="AN14" s="38">
        <f>AN15+AN16+AN17+AN18+AN19+AN20+AN21+AN22+AN23+AN24+AN25+AN26</f>
        <v/>
      </c>
      <c r="AO14" s="14">
        <f>AL14+AN14</f>
        <v/>
      </c>
      <c r="AP14" s="37">
        <f>IF($C14=0,0,AO14/$C14)</f>
        <v/>
      </c>
      <c r="AQ14" s="38">
        <f>AQ15+AQ16+AQ17+AQ18+AQ19+AQ20+AQ21+AQ22+AQ23+AQ24+AQ25+AQ26</f>
        <v/>
      </c>
      <c r="AR14" s="14">
        <f>AO14+AQ14</f>
        <v/>
      </c>
      <c r="AS14" s="37">
        <f>IF($C14=0,0,AR14/$C14)</f>
        <v/>
      </c>
      <c r="AT14" s="38">
        <f>AT15+AT16+AT17+AT18+AT19+AT20+AT21+AT22+AT23+AT24+AT25+AT26</f>
        <v/>
      </c>
      <c r="AU14" s="14">
        <f>AR14+AT14</f>
        <v/>
      </c>
      <c r="AV14" s="37">
        <f>IF($C14=0,0,AU14/$C14)</f>
        <v/>
      </c>
      <c r="AW14" s="38">
        <f>AW15+AW16+AW17+AW18+AW19+AW20+AW21+AW22+AW23+AW24+AW25+AW26</f>
        <v/>
      </c>
      <c r="AX14" s="14">
        <f>AU14+AW14</f>
        <v/>
      </c>
      <c r="AY14" s="37">
        <f>IF($C14=0,0,AX14/$C14)</f>
        <v/>
      </c>
      <c r="AZ14" s="38">
        <f>AZ15+AZ16+AZ17+AZ18+AZ19+AZ20+AZ21+AZ22+AZ23+AZ24+AZ25+AZ26</f>
        <v/>
      </c>
      <c r="BA14" s="14">
        <f>AX14+AZ14</f>
        <v/>
      </c>
      <c r="BB14" s="37">
        <f>IF($C14=0,0,BA14/$C14)</f>
        <v/>
      </c>
      <c r="BC14" s="38">
        <f>BC15+BC16+BC17+BC18+BC19+BC20+BC21+BC22+BC23+BC24+BC25+BC26</f>
        <v/>
      </c>
      <c r="BD14" s="14">
        <f>BA14+BC14</f>
        <v/>
      </c>
      <c r="BE14" s="37">
        <f>IF($C14=0,0,BD14/$C14)</f>
        <v/>
      </c>
      <c r="BF14" s="38">
        <f>BF15+BF16+BF17+BF18+BF19+BF20+BF21+BF22+BF23+BF24+BF25+BF26</f>
        <v/>
      </c>
      <c r="BG14" s="14">
        <f>BD14+BF14</f>
        <v/>
      </c>
      <c r="BH14" s="37">
        <f>IF($C14=0,0,BG14/$C14)</f>
        <v/>
      </c>
      <c r="BI14" s="38">
        <f>BI15+BI16+BI17+BI18+BI19+BI20+BI21+BI22+BI23+BI24+BI25+BI26</f>
        <v/>
      </c>
      <c r="BJ14" s="14">
        <f>BG14+BI14</f>
        <v/>
      </c>
      <c r="BK14" s="37">
        <f>IF($C14=0,0,BJ14/$C14)</f>
        <v/>
      </c>
      <c r="BL14" s="38">
        <f>BL15+BL16+BL17+BL18+BL19+BL20+BL21+BL22+BL23+BL24+BL25+BL26</f>
        <v/>
      </c>
      <c r="BM14" s="14">
        <f>BJ14+BL14</f>
        <v/>
      </c>
      <c r="BN14" s="37">
        <f>IF($C14=0,0,BM14/$C14)</f>
        <v/>
      </c>
      <c r="BO14" s="38">
        <f>BO15+BO16+BO17+BO18+BO19+BO20+BO21+BO22+BO23+BO24+BO25+BO26</f>
        <v/>
      </c>
      <c r="BP14" s="14">
        <f>BM14+BO14</f>
        <v/>
      </c>
      <c r="BQ14" s="37">
        <f>IF($C14=0,0,BP14/$C14)</f>
        <v/>
      </c>
      <c r="BR14" s="38">
        <f>BR15+BR16+BR17+BR18+BR19+BR20+BR21+BR22+BR23+BR24+BR25+BR26</f>
        <v/>
      </c>
      <c r="BS14" s="14">
        <f>BP14+BR14</f>
        <v/>
      </c>
      <c r="BT14" s="37">
        <f>IF($C14=0,0,BS14/$C14)</f>
        <v/>
      </c>
    </row>
    <row r="15">
      <c r="A15" s="15" t="inlineStr">
        <is>
          <t>1</t>
        </is>
      </c>
      <c r="B15" s="39" t="inlineStr">
        <is>
          <t>直接仮設工事</t>
        </is>
      </c>
      <c r="C15" s="34">
        <f>'金額リスト'!C15</f>
        <v/>
      </c>
      <c r="D15" s="19">
        <f>BS15</f>
        <v/>
      </c>
      <c r="E15" s="19">
        <f>C15-D15</f>
        <v/>
      </c>
      <c r="F15" s="35">
        <f>IF(C15=0,0,D15/C15)</f>
        <v/>
      </c>
      <c r="G15" s="36" t="n"/>
      <c r="H15" s="19">
        <f>G15</f>
        <v/>
      </c>
      <c r="I15" s="35">
        <f>IF($C15=0,0,H15/$C15)</f>
        <v/>
      </c>
      <c r="J15" s="36" t="n"/>
      <c r="K15" s="19">
        <f>H15+J15</f>
        <v/>
      </c>
      <c r="L15" s="35">
        <f>IF($C15=0,0,K15/$C15)</f>
        <v/>
      </c>
      <c r="M15" s="36" t="n"/>
      <c r="N15" s="19">
        <f>K15+M15</f>
        <v/>
      </c>
      <c r="O15" s="35">
        <f>IF($C15=0,0,N15/$C15)</f>
        <v/>
      </c>
      <c r="P15" s="36" t="n"/>
      <c r="Q15" s="19">
        <f>N15+P15</f>
        <v/>
      </c>
      <c r="R15" s="35">
        <f>IF($C15=0,0,Q15/$C15)</f>
        <v/>
      </c>
      <c r="S15" s="36" t="n"/>
      <c r="T15" s="19">
        <f>Q15+S15</f>
        <v/>
      </c>
      <c r="U15" s="35">
        <f>IF($C15=0,0,T15/$C15)</f>
        <v/>
      </c>
      <c r="V15" s="36" t="n"/>
      <c r="W15" s="19">
        <f>T15+V15</f>
        <v/>
      </c>
      <c r="X15" s="35">
        <f>IF($C15=0,0,W15/$C15)</f>
        <v/>
      </c>
      <c r="Y15" s="36" t="n"/>
      <c r="Z15" s="19">
        <f>W15+Y15</f>
        <v/>
      </c>
      <c r="AA15" s="35">
        <f>IF($C15=0,0,Z15/$C15)</f>
        <v/>
      </c>
      <c r="AB15" s="36" t="n"/>
      <c r="AC15" s="19">
        <f>Z15+AB15</f>
        <v/>
      </c>
      <c r="AD15" s="35">
        <f>IF($C15=0,0,AC15/$C15)</f>
        <v/>
      </c>
      <c r="AE15" s="36" t="n"/>
      <c r="AF15" s="19">
        <f>AC15+AE15</f>
        <v/>
      </c>
      <c r="AG15" s="35">
        <f>IF($C15=0,0,AF15/$C15)</f>
        <v/>
      </c>
      <c r="AH15" s="36" t="n"/>
      <c r="AI15" s="19">
        <f>AF15+AH15</f>
        <v/>
      </c>
      <c r="AJ15" s="35">
        <f>IF($C15=0,0,AI15/$C15)</f>
        <v/>
      </c>
      <c r="AK15" s="36" t="n"/>
      <c r="AL15" s="19">
        <f>AI15+AK15</f>
        <v/>
      </c>
      <c r="AM15" s="35">
        <f>IF($C15=0,0,AL15/$C15)</f>
        <v/>
      </c>
      <c r="AN15" s="36" t="n"/>
      <c r="AO15" s="19">
        <f>AL15+AN15</f>
        <v/>
      </c>
      <c r="AP15" s="35">
        <f>IF($C15=0,0,AO15/$C15)</f>
        <v/>
      </c>
      <c r="AQ15" s="36" t="n"/>
      <c r="AR15" s="19">
        <f>AO15+AQ15</f>
        <v/>
      </c>
      <c r="AS15" s="35">
        <f>IF($C15=0,0,AR15/$C15)</f>
        <v/>
      </c>
      <c r="AT15" s="36" t="n"/>
      <c r="AU15" s="19">
        <f>AR15+AT15</f>
        <v/>
      </c>
      <c r="AV15" s="35">
        <f>IF($C15=0,0,AU15/$C15)</f>
        <v/>
      </c>
      <c r="AW15" s="36" t="n"/>
      <c r="AX15" s="19">
        <f>AU15+AW15</f>
        <v/>
      </c>
      <c r="AY15" s="35">
        <f>IF($C15=0,0,AX15/$C15)</f>
        <v/>
      </c>
      <c r="AZ15" s="36" t="n"/>
      <c r="BA15" s="19">
        <f>AX15+AZ15</f>
        <v/>
      </c>
      <c r="BB15" s="35">
        <f>IF($C15=0,0,BA15/$C15)</f>
        <v/>
      </c>
      <c r="BC15" s="36" t="n"/>
      <c r="BD15" s="19">
        <f>BA15+BC15</f>
        <v/>
      </c>
      <c r="BE15" s="35">
        <f>IF($C15=0,0,BD15/$C15)</f>
        <v/>
      </c>
      <c r="BF15" s="36" t="n"/>
      <c r="BG15" s="19">
        <f>BD15+BF15</f>
        <v/>
      </c>
      <c r="BH15" s="35">
        <f>IF($C15=0,0,BG15/$C15)</f>
        <v/>
      </c>
      <c r="BI15" s="36" t="n"/>
      <c r="BJ15" s="19">
        <f>BG15+BI15</f>
        <v/>
      </c>
      <c r="BK15" s="35">
        <f>IF($C15=0,0,BJ15/$C15)</f>
        <v/>
      </c>
      <c r="BL15" s="36" t="n"/>
      <c r="BM15" s="19">
        <f>BJ15+BL15</f>
        <v/>
      </c>
      <c r="BN15" s="35">
        <f>IF($C15=0,0,BM15/$C15)</f>
        <v/>
      </c>
      <c r="BO15" s="36" t="n"/>
      <c r="BP15" s="19">
        <f>BM15+BO15</f>
        <v/>
      </c>
      <c r="BQ15" s="35">
        <f>IF($C15=0,0,BP15/$C15)</f>
        <v/>
      </c>
      <c r="BR15" s="36" t="n"/>
      <c r="BS15" s="19">
        <f>BP15+BR15</f>
        <v/>
      </c>
      <c r="BT15" s="35">
        <f>IF($C15=0,0,BS15/$C15)</f>
        <v/>
      </c>
    </row>
    <row r="16">
      <c r="A16" s="15" t="inlineStr">
        <is>
          <t>2</t>
        </is>
      </c>
      <c r="B16" s="39" t="inlineStr">
        <is>
          <t>躯体工事</t>
        </is>
      </c>
      <c r="C16" s="34">
        <f>'金額リスト'!C16</f>
        <v/>
      </c>
      <c r="D16" s="19">
        <f>BS16</f>
        <v/>
      </c>
      <c r="E16" s="19">
        <f>C16-D16</f>
        <v/>
      </c>
      <c r="F16" s="35">
        <f>IF(C16=0,0,D16/C16)</f>
        <v/>
      </c>
      <c r="G16" s="36" t="n"/>
      <c r="H16" s="19">
        <f>G16</f>
        <v/>
      </c>
      <c r="I16" s="35">
        <f>IF($C16=0,0,H16/$C16)</f>
        <v/>
      </c>
      <c r="J16" s="36" t="n"/>
      <c r="K16" s="19">
        <f>H16+J16</f>
        <v/>
      </c>
      <c r="L16" s="35">
        <f>IF($C16=0,0,K16/$C16)</f>
        <v/>
      </c>
      <c r="M16" s="36" t="n"/>
      <c r="N16" s="19">
        <f>K16+M16</f>
        <v/>
      </c>
      <c r="O16" s="35">
        <f>IF($C16=0,0,N16/$C16)</f>
        <v/>
      </c>
      <c r="P16" s="36" t="n"/>
      <c r="Q16" s="19">
        <f>N16+P16</f>
        <v/>
      </c>
      <c r="R16" s="35">
        <f>IF($C16=0,0,Q16/$C16)</f>
        <v/>
      </c>
      <c r="S16" s="36" t="n"/>
      <c r="T16" s="19">
        <f>Q16+S16</f>
        <v/>
      </c>
      <c r="U16" s="35">
        <f>IF($C16=0,0,T16/$C16)</f>
        <v/>
      </c>
      <c r="V16" s="36" t="n"/>
      <c r="W16" s="19">
        <f>T16+V16</f>
        <v/>
      </c>
      <c r="X16" s="35">
        <f>IF($C16=0,0,W16/$C16)</f>
        <v/>
      </c>
      <c r="Y16" s="36" t="n"/>
      <c r="Z16" s="19">
        <f>W16+Y16</f>
        <v/>
      </c>
      <c r="AA16" s="35">
        <f>IF($C16=0,0,Z16/$C16)</f>
        <v/>
      </c>
      <c r="AB16" s="36" t="n"/>
      <c r="AC16" s="19">
        <f>Z16+AB16</f>
        <v/>
      </c>
      <c r="AD16" s="35">
        <f>IF($C16=0,0,AC16/$C16)</f>
        <v/>
      </c>
      <c r="AE16" s="36" t="n"/>
      <c r="AF16" s="19">
        <f>AC16+AE16</f>
        <v/>
      </c>
      <c r="AG16" s="35">
        <f>IF($C16=0,0,AF16/$C16)</f>
        <v/>
      </c>
      <c r="AH16" s="36" t="n"/>
      <c r="AI16" s="19">
        <f>AF16+AH16</f>
        <v/>
      </c>
      <c r="AJ16" s="35">
        <f>IF($C16=0,0,AI16/$C16)</f>
        <v/>
      </c>
      <c r="AK16" s="36" t="n"/>
      <c r="AL16" s="19">
        <f>AI16+AK16</f>
        <v/>
      </c>
      <c r="AM16" s="35">
        <f>IF($C16=0,0,AL16/$C16)</f>
        <v/>
      </c>
      <c r="AN16" s="36" t="n"/>
      <c r="AO16" s="19">
        <f>AL16+AN16</f>
        <v/>
      </c>
      <c r="AP16" s="35">
        <f>IF($C16=0,0,AO16/$C16)</f>
        <v/>
      </c>
      <c r="AQ16" s="36" t="n"/>
      <c r="AR16" s="19">
        <f>AO16+AQ16</f>
        <v/>
      </c>
      <c r="AS16" s="35">
        <f>IF($C16=0,0,AR16/$C16)</f>
        <v/>
      </c>
      <c r="AT16" s="36" t="n"/>
      <c r="AU16" s="19">
        <f>AR16+AT16</f>
        <v/>
      </c>
      <c r="AV16" s="35">
        <f>IF($C16=0,0,AU16/$C16)</f>
        <v/>
      </c>
      <c r="AW16" s="36" t="n"/>
      <c r="AX16" s="19">
        <f>AU16+AW16</f>
        <v/>
      </c>
      <c r="AY16" s="35">
        <f>IF($C16=0,0,AX16/$C16)</f>
        <v/>
      </c>
      <c r="AZ16" s="36" t="n"/>
      <c r="BA16" s="19">
        <f>AX16+AZ16</f>
        <v/>
      </c>
      <c r="BB16" s="35">
        <f>IF($C16=0,0,BA16/$C16)</f>
        <v/>
      </c>
      <c r="BC16" s="36" t="n"/>
      <c r="BD16" s="19">
        <f>BA16+BC16</f>
        <v/>
      </c>
      <c r="BE16" s="35">
        <f>IF($C16=0,0,BD16/$C16)</f>
        <v/>
      </c>
      <c r="BF16" s="36" t="n"/>
      <c r="BG16" s="19">
        <f>BD16+BF16</f>
        <v/>
      </c>
      <c r="BH16" s="35">
        <f>IF($C16=0,0,BG16/$C16)</f>
        <v/>
      </c>
      <c r="BI16" s="36" t="n"/>
      <c r="BJ16" s="19">
        <f>BG16+BI16</f>
        <v/>
      </c>
      <c r="BK16" s="35">
        <f>IF($C16=0,0,BJ16/$C16)</f>
        <v/>
      </c>
      <c r="BL16" s="36" t="n"/>
      <c r="BM16" s="19">
        <f>BJ16+BL16</f>
        <v/>
      </c>
      <c r="BN16" s="35">
        <f>IF($C16=0,0,BM16/$C16)</f>
        <v/>
      </c>
      <c r="BO16" s="36" t="n"/>
      <c r="BP16" s="19">
        <f>BM16+BO16</f>
        <v/>
      </c>
      <c r="BQ16" s="35">
        <f>IF($C16=0,0,BP16/$C16)</f>
        <v/>
      </c>
      <c r="BR16" s="36" t="n"/>
      <c r="BS16" s="19">
        <f>BP16+BR16</f>
        <v/>
      </c>
      <c r="BT16" s="35">
        <f>IF($C16=0,0,BS16/$C16)</f>
        <v/>
      </c>
    </row>
    <row r="17">
      <c r="A17" s="15" t="inlineStr">
        <is>
          <t>3</t>
        </is>
      </c>
      <c r="B17" s="39" t="inlineStr">
        <is>
          <t>防水工事</t>
        </is>
      </c>
      <c r="C17" s="34">
        <f>'金額リスト'!C17</f>
        <v/>
      </c>
      <c r="D17" s="19">
        <f>BS17</f>
        <v/>
      </c>
      <c r="E17" s="19">
        <f>C17-D17</f>
        <v/>
      </c>
      <c r="F17" s="35">
        <f>IF(C17=0,0,D17/C17)</f>
        <v/>
      </c>
      <c r="G17" s="36" t="n"/>
      <c r="H17" s="19">
        <f>G17</f>
        <v/>
      </c>
      <c r="I17" s="35">
        <f>IF($C17=0,0,H17/$C17)</f>
        <v/>
      </c>
      <c r="J17" s="36" t="n"/>
      <c r="K17" s="19">
        <f>H17+J17</f>
        <v/>
      </c>
      <c r="L17" s="35">
        <f>IF($C17=0,0,K17/$C17)</f>
        <v/>
      </c>
      <c r="M17" s="36" t="n"/>
      <c r="N17" s="19">
        <f>K17+M17</f>
        <v/>
      </c>
      <c r="O17" s="35">
        <f>IF($C17=0,0,N17/$C17)</f>
        <v/>
      </c>
      <c r="P17" s="36" t="n"/>
      <c r="Q17" s="19">
        <f>N17+P17</f>
        <v/>
      </c>
      <c r="R17" s="35">
        <f>IF($C17=0,0,Q17/$C17)</f>
        <v/>
      </c>
      <c r="S17" s="36" t="n"/>
      <c r="T17" s="19">
        <f>Q17+S17</f>
        <v/>
      </c>
      <c r="U17" s="35">
        <f>IF($C17=0,0,T17/$C17)</f>
        <v/>
      </c>
      <c r="V17" s="36" t="n"/>
      <c r="W17" s="19">
        <f>T17+V17</f>
        <v/>
      </c>
      <c r="X17" s="35">
        <f>IF($C17=0,0,W17/$C17)</f>
        <v/>
      </c>
      <c r="Y17" s="36" t="n"/>
      <c r="Z17" s="19">
        <f>W17+Y17</f>
        <v/>
      </c>
      <c r="AA17" s="35">
        <f>IF($C17=0,0,Z17/$C17)</f>
        <v/>
      </c>
      <c r="AB17" s="36" t="n"/>
      <c r="AC17" s="19">
        <f>Z17+AB17</f>
        <v/>
      </c>
      <c r="AD17" s="35">
        <f>IF($C17=0,0,AC17/$C17)</f>
        <v/>
      </c>
      <c r="AE17" s="36" t="n"/>
      <c r="AF17" s="19">
        <f>AC17+AE17</f>
        <v/>
      </c>
      <c r="AG17" s="35">
        <f>IF($C17=0,0,AF17/$C17)</f>
        <v/>
      </c>
      <c r="AH17" s="36" t="n"/>
      <c r="AI17" s="19">
        <f>AF17+AH17</f>
        <v/>
      </c>
      <c r="AJ17" s="35">
        <f>IF($C17=0,0,AI17/$C17)</f>
        <v/>
      </c>
      <c r="AK17" s="36" t="n"/>
      <c r="AL17" s="19">
        <f>AI17+AK17</f>
        <v/>
      </c>
      <c r="AM17" s="35">
        <f>IF($C17=0,0,AL17/$C17)</f>
        <v/>
      </c>
      <c r="AN17" s="36" t="n"/>
      <c r="AO17" s="19">
        <f>AL17+AN17</f>
        <v/>
      </c>
      <c r="AP17" s="35">
        <f>IF($C17=0,0,AO17/$C17)</f>
        <v/>
      </c>
      <c r="AQ17" s="36" t="n"/>
      <c r="AR17" s="19">
        <f>AO17+AQ17</f>
        <v/>
      </c>
      <c r="AS17" s="35">
        <f>IF($C17=0,0,AR17/$C17)</f>
        <v/>
      </c>
      <c r="AT17" s="36" t="n"/>
      <c r="AU17" s="19">
        <f>AR17+AT17</f>
        <v/>
      </c>
      <c r="AV17" s="35">
        <f>IF($C17=0,0,AU17/$C17)</f>
        <v/>
      </c>
      <c r="AW17" s="36" t="n"/>
      <c r="AX17" s="19">
        <f>AU17+AW17</f>
        <v/>
      </c>
      <c r="AY17" s="35">
        <f>IF($C17=0,0,AX17/$C17)</f>
        <v/>
      </c>
      <c r="AZ17" s="36" t="n"/>
      <c r="BA17" s="19">
        <f>AX17+AZ17</f>
        <v/>
      </c>
      <c r="BB17" s="35">
        <f>IF($C17=0,0,BA17/$C17)</f>
        <v/>
      </c>
      <c r="BC17" s="36" t="n"/>
      <c r="BD17" s="19">
        <f>BA17+BC17</f>
        <v/>
      </c>
      <c r="BE17" s="35">
        <f>IF($C17=0,0,BD17/$C17)</f>
        <v/>
      </c>
      <c r="BF17" s="36" t="n"/>
      <c r="BG17" s="19">
        <f>BD17+BF17</f>
        <v/>
      </c>
      <c r="BH17" s="35">
        <f>IF($C17=0,0,BG17/$C17)</f>
        <v/>
      </c>
      <c r="BI17" s="36" t="n"/>
      <c r="BJ17" s="19">
        <f>BG17+BI17</f>
        <v/>
      </c>
      <c r="BK17" s="35">
        <f>IF($C17=0,0,BJ17/$C17)</f>
        <v/>
      </c>
      <c r="BL17" s="36" t="n"/>
      <c r="BM17" s="19">
        <f>BJ17+BL17</f>
        <v/>
      </c>
      <c r="BN17" s="35">
        <f>IF($C17=0,0,BM17/$C17)</f>
        <v/>
      </c>
      <c r="BO17" s="36" t="n"/>
      <c r="BP17" s="19">
        <f>BM17+BO17</f>
        <v/>
      </c>
      <c r="BQ17" s="35">
        <f>IF($C17=0,0,BP17/$C17)</f>
        <v/>
      </c>
      <c r="BR17" s="36" t="n"/>
      <c r="BS17" s="19">
        <f>BP17+BR17</f>
        <v/>
      </c>
      <c r="BT17" s="35">
        <f>IF($C17=0,0,BS17/$C17)</f>
        <v/>
      </c>
    </row>
    <row r="18">
      <c r="A18" s="15" t="inlineStr">
        <is>
          <t>4</t>
        </is>
      </c>
      <c r="B18" s="39" t="inlineStr">
        <is>
          <t>タイル工事</t>
        </is>
      </c>
      <c r="C18" s="34">
        <f>'金額リスト'!C18</f>
        <v/>
      </c>
      <c r="D18" s="19">
        <f>BS18</f>
        <v/>
      </c>
      <c r="E18" s="19">
        <f>C18-D18</f>
        <v/>
      </c>
      <c r="F18" s="35">
        <f>IF(C18=0,0,D18/C18)</f>
        <v/>
      </c>
      <c r="G18" s="36" t="n"/>
      <c r="H18" s="19">
        <f>G18</f>
        <v/>
      </c>
      <c r="I18" s="35">
        <f>IF($C18=0,0,H18/$C18)</f>
        <v/>
      </c>
      <c r="J18" s="36" t="n"/>
      <c r="K18" s="19">
        <f>H18+J18</f>
        <v/>
      </c>
      <c r="L18" s="35">
        <f>IF($C18=0,0,K18/$C18)</f>
        <v/>
      </c>
      <c r="M18" s="36" t="n"/>
      <c r="N18" s="19">
        <f>K18+M18</f>
        <v/>
      </c>
      <c r="O18" s="35">
        <f>IF($C18=0,0,N18/$C18)</f>
        <v/>
      </c>
      <c r="P18" s="36" t="n"/>
      <c r="Q18" s="19">
        <f>N18+P18</f>
        <v/>
      </c>
      <c r="R18" s="35">
        <f>IF($C18=0,0,Q18/$C18)</f>
        <v/>
      </c>
      <c r="S18" s="36" t="n"/>
      <c r="T18" s="19">
        <f>Q18+S18</f>
        <v/>
      </c>
      <c r="U18" s="35">
        <f>IF($C18=0,0,T18/$C18)</f>
        <v/>
      </c>
      <c r="V18" s="36" t="n"/>
      <c r="W18" s="19">
        <f>T18+V18</f>
        <v/>
      </c>
      <c r="X18" s="35">
        <f>IF($C18=0,0,W18/$C18)</f>
        <v/>
      </c>
      <c r="Y18" s="36" t="n"/>
      <c r="Z18" s="19">
        <f>W18+Y18</f>
        <v/>
      </c>
      <c r="AA18" s="35">
        <f>IF($C18=0,0,Z18/$C18)</f>
        <v/>
      </c>
      <c r="AB18" s="36" t="n"/>
      <c r="AC18" s="19">
        <f>Z18+AB18</f>
        <v/>
      </c>
      <c r="AD18" s="35">
        <f>IF($C18=0,0,AC18/$C18)</f>
        <v/>
      </c>
      <c r="AE18" s="36" t="n"/>
      <c r="AF18" s="19">
        <f>AC18+AE18</f>
        <v/>
      </c>
      <c r="AG18" s="35">
        <f>IF($C18=0,0,AF18/$C18)</f>
        <v/>
      </c>
      <c r="AH18" s="36" t="n"/>
      <c r="AI18" s="19">
        <f>AF18+AH18</f>
        <v/>
      </c>
      <c r="AJ18" s="35">
        <f>IF($C18=0,0,AI18/$C18)</f>
        <v/>
      </c>
      <c r="AK18" s="36" t="n"/>
      <c r="AL18" s="19">
        <f>AI18+AK18</f>
        <v/>
      </c>
      <c r="AM18" s="35">
        <f>IF($C18=0,0,AL18/$C18)</f>
        <v/>
      </c>
      <c r="AN18" s="36" t="n"/>
      <c r="AO18" s="19">
        <f>AL18+AN18</f>
        <v/>
      </c>
      <c r="AP18" s="35">
        <f>IF($C18=0,0,AO18/$C18)</f>
        <v/>
      </c>
      <c r="AQ18" s="36" t="n"/>
      <c r="AR18" s="19">
        <f>AO18+AQ18</f>
        <v/>
      </c>
      <c r="AS18" s="35">
        <f>IF($C18=0,0,AR18/$C18)</f>
        <v/>
      </c>
      <c r="AT18" s="36" t="n"/>
      <c r="AU18" s="19">
        <f>AR18+AT18</f>
        <v/>
      </c>
      <c r="AV18" s="35">
        <f>IF($C18=0,0,AU18/$C18)</f>
        <v/>
      </c>
      <c r="AW18" s="36" t="n"/>
      <c r="AX18" s="19">
        <f>AU18+AW18</f>
        <v/>
      </c>
      <c r="AY18" s="35">
        <f>IF($C18=0,0,AX18/$C18)</f>
        <v/>
      </c>
      <c r="AZ18" s="36" t="n"/>
      <c r="BA18" s="19">
        <f>AX18+AZ18</f>
        <v/>
      </c>
      <c r="BB18" s="35">
        <f>IF($C18=0,0,BA18/$C18)</f>
        <v/>
      </c>
      <c r="BC18" s="36" t="n"/>
      <c r="BD18" s="19">
        <f>BA18+BC18</f>
        <v/>
      </c>
      <c r="BE18" s="35">
        <f>IF($C18=0,0,BD18/$C18)</f>
        <v/>
      </c>
      <c r="BF18" s="36" t="n"/>
      <c r="BG18" s="19">
        <f>BD18+BF18</f>
        <v/>
      </c>
      <c r="BH18" s="35">
        <f>IF($C18=0,0,BG18/$C18)</f>
        <v/>
      </c>
      <c r="BI18" s="36" t="n"/>
      <c r="BJ18" s="19">
        <f>BG18+BI18</f>
        <v/>
      </c>
      <c r="BK18" s="35">
        <f>IF($C18=0,0,BJ18/$C18)</f>
        <v/>
      </c>
      <c r="BL18" s="36" t="n"/>
      <c r="BM18" s="19">
        <f>BJ18+BL18</f>
        <v/>
      </c>
      <c r="BN18" s="35">
        <f>IF($C18=0,0,BM18/$C18)</f>
        <v/>
      </c>
      <c r="BO18" s="36" t="n"/>
      <c r="BP18" s="19">
        <f>BM18+BO18</f>
        <v/>
      </c>
      <c r="BQ18" s="35">
        <f>IF($C18=0,0,BP18/$C18)</f>
        <v/>
      </c>
      <c r="BR18" s="36" t="n"/>
      <c r="BS18" s="19">
        <f>BP18+BR18</f>
        <v/>
      </c>
      <c r="BT18" s="35">
        <f>IF($C18=0,0,BS18/$C18)</f>
        <v/>
      </c>
    </row>
    <row r="19">
      <c r="A19" s="15" t="inlineStr">
        <is>
          <t>5</t>
        </is>
      </c>
      <c r="B19" s="39" t="inlineStr">
        <is>
          <t>金属工事</t>
        </is>
      </c>
      <c r="C19" s="34">
        <f>'金額リスト'!C19</f>
        <v/>
      </c>
      <c r="D19" s="19">
        <f>BS19</f>
        <v/>
      </c>
      <c r="E19" s="19">
        <f>C19-D19</f>
        <v/>
      </c>
      <c r="F19" s="35">
        <f>IF(C19=0,0,D19/C19)</f>
        <v/>
      </c>
      <c r="G19" s="36" t="n"/>
      <c r="H19" s="19">
        <f>G19</f>
        <v/>
      </c>
      <c r="I19" s="35">
        <f>IF($C19=0,0,H19/$C19)</f>
        <v/>
      </c>
      <c r="J19" s="36" t="n"/>
      <c r="K19" s="19">
        <f>H19+J19</f>
        <v/>
      </c>
      <c r="L19" s="35">
        <f>IF($C19=0,0,K19/$C19)</f>
        <v/>
      </c>
      <c r="M19" s="36" t="n"/>
      <c r="N19" s="19">
        <f>K19+M19</f>
        <v/>
      </c>
      <c r="O19" s="35">
        <f>IF($C19=0,0,N19/$C19)</f>
        <v/>
      </c>
      <c r="P19" s="36" t="n"/>
      <c r="Q19" s="19">
        <f>N19+P19</f>
        <v/>
      </c>
      <c r="R19" s="35">
        <f>IF($C19=0,0,Q19/$C19)</f>
        <v/>
      </c>
      <c r="S19" s="36" t="n"/>
      <c r="T19" s="19">
        <f>Q19+S19</f>
        <v/>
      </c>
      <c r="U19" s="35">
        <f>IF($C19=0,0,T19/$C19)</f>
        <v/>
      </c>
      <c r="V19" s="36" t="n"/>
      <c r="W19" s="19">
        <f>T19+V19</f>
        <v/>
      </c>
      <c r="X19" s="35">
        <f>IF($C19=0,0,W19/$C19)</f>
        <v/>
      </c>
      <c r="Y19" s="36" t="n"/>
      <c r="Z19" s="19">
        <f>W19+Y19</f>
        <v/>
      </c>
      <c r="AA19" s="35">
        <f>IF($C19=0,0,Z19/$C19)</f>
        <v/>
      </c>
      <c r="AB19" s="36" t="n"/>
      <c r="AC19" s="19">
        <f>Z19+AB19</f>
        <v/>
      </c>
      <c r="AD19" s="35">
        <f>IF($C19=0,0,AC19/$C19)</f>
        <v/>
      </c>
      <c r="AE19" s="36" t="n"/>
      <c r="AF19" s="19">
        <f>AC19+AE19</f>
        <v/>
      </c>
      <c r="AG19" s="35">
        <f>IF($C19=0,0,AF19/$C19)</f>
        <v/>
      </c>
      <c r="AH19" s="36" t="n"/>
      <c r="AI19" s="19">
        <f>AF19+AH19</f>
        <v/>
      </c>
      <c r="AJ19" s="35">
        <f>IF($C19=0,0,AI19/$C19)</f>
        <v/>
      </c>
      <c r="AK19" s="36" t="n"/>
      <c r="AL19" s="19">
        <f>AI19+AK19</f>
        <v/>
      </c>
      <c r="AM19" s="35">
        <f>IF($C19=0,0,AL19/$C19)</f>
        <v/>
      </c>
      <c r="AN19" s="36" t="n"/>
      <c r="AO19" s="19">
        <f>AL19+AN19</f>
        <v/>
      </c>
      <c r="AP19" s="35">
        <f>IF($C19=0,0,AO19/$C19)</f>
        <v/>
      </c>
      <c r="AQ19" s="36" t="n"/>
      <c r="AR19" s="19">
        <f>AO19+AQ19</f>
        <v/>
      </c>
      <c r="AS19" s="35">
        <f>IF($C19=0,0,AR19/$C19)</f>
        <v/>
      </c>
      <c r="AT19" s="36" t="n"/>
      <c r="AU19" s="19">
        <f>AR19+AT19</f>
        <v/>
      </c>
      <c r="AV19" s="35">
        <f>IF($C19=0,0,AU19/$C19)</f>
        <v/>
      </c>
      <c r="AW19" s="36" t="n"/>
      <c r="AX19" s="19">
        <f>AU19+AW19</f>
        <v/>
      </c>
      <c r="AY19" s="35">
        <f>IF($C19=0,0,AX19/$C19)</f>
        <v/>
      </c>
      <c r="AZ19" s="36" t="n"/>
      <c r="BA19" s="19">
        <f>AX19+AZ19</f>
        <v/>
      </c>
      <c r="BB19" s="35">
        <f>IF($C19=0,0,BA19/$C19)</f>
        <v/>
      </c>
      <c r="BC19" s="36" t="n"/>
      <c r="BD19" s="19">
        <f>BA19+BC19</f>
        <v/>
      </c>
      <c r="BE19" s="35">
        <f>IF($C19=0,0,BD19/$C19)</f>
        <v/>
      </c>
      <c r="BF19" s="36" t="n"/>
      <c r="BG19" s="19">
        <f>BD19+BF19</f>
        <v/>
      </c>
      <c r="BH19" s="35">
        <f>IF($C19=0,0,BG19/$C19)</f>
        <v/>
      </c>
      <c r="BI19" s="36" t="n"/>
      <c r="BJ19" s="19">
        <f>BG19+BI19</f>
        <v/>
      </c>
      <c r="BK19" s="35">
        <f>IF($C19=0,0,BJ19/$C19)</f>
        <v/>
      </c>
      <c r="BL19" s="36" t="n"/>
      <c r="BM19" s="19">
        <f>BJ19+BL19</f>
        <v/>
      </c>
      <c r="BN19" s="35">
        <f>IF($C19=0,0,BM19/$C19)</f>
        <v/>
      </c>
      <c r="BO19" s="36" t="n"/>
      <c r="BP19" s="19">
        <f>BM19+BO19</f>
        <v/>
      </c>
      <c r="BQ19" s="35">
        <f>IF($C19=0,0,BP19/$C19)</f>
        <v/>
      </c>
      <c r="BR19" s="36" t="n"/>
      <c r="BS19" s="19">
        <f>BP19+BR19</f>
        <v/>
      </c>
      <c r="BT19" s="35">
        <f>IF($C19=0,0,BS19/$C19)</f>
        <v/>
      </c>
    </row>
    <row r="20">
      <c r="A20" s="15" t="inlineStr">
        <is>
          <t>6</t>
        </is>
      </c>
      <c r="B20" s="39" t="inlineStr">
        <is>
          <t>金属製建具工事</t>
        </is>
      </c>
      <c r="C20" s="34">
        <f>'金額リスト'!C20</f>
        <v/>
      </c>
      <c r="D20" s="19">
        <f>BS20</f>
        <v/>
      </c>
      <c r="E20" s="19">
        <f>C20-D20</f>
        <v/>
      </c>
      <c r="F20" s="35">
        <f>IF(C20=0,0,D20/C20)</f>
        <v/>
      </c>
      <c r="G20" s="36" t="n"/>
      <c r="H20" s="19">
        <f>G20</f>
        <v/>
      </c>
      <c r="I20" s="35">
        <f>IF($C20=0,0,H20/$C20)</f>
        <v/>
      </c>
      <c r="J20" s="36" t="n"/>
      <c r="K20" s="19">
        <f>H20+J20</f>
        <v/>
      </c>
      <c r="L20" s="35">
        <f>IF($C20=0,0,K20/$C20)</f>
        <v/>
      </c>
      <c r="M20" s="36" t="n"/>
      <c r="N20" s="19">
        <f>K20+M20</f>
        <v/>
      </c>
      <c r="O20" s="35">
        <f>IF($C20=0,0,N20/$C20)</f>
        <v/>
      </c>
      <c r="P20" s="36" t="n"/>
      <c r="Q20" s="19">
        <f>N20+P20</f>
        <v/>
      </c>
      <c r="R20" s="35">
        <f>IF($C20=0,0,Q20/$C20)</f>
        <v/>
      </c>
      <c r="S20" s="36" t="n"/>
      <c r="T20" s="19">
        <f>Q20+S20</f>
        <v/>
      </c>
      <c r="U20" s="35">
        <f>IF($C20=0,0,T20/$C20)</f>
        <v/>
      </c>
      <c r="V20" s="36" t="n"/>
      <c r="W20" s="19">
        <f>T20+V20</f>
        <v/>
      </c>
      <c r="X20" s="35">
        <f>IF($C20=0,0,W20/$C20)</f>
        <v/>
      </c>
      <c r="Y20" s="36" t="n"/>
      <c r="Z20" s="19">
        <f>W20+Y20</f>
        <v/>
      </c>
      <c r="AA20" s="35">
        <f>IF($C20=0,0,Z20/$C20)</f>
        <v/>
      </c>
      <c r="AB20" s="36" t="n"/>
      <c r="AC20" s="19">
        <f>Z20+AB20</f>
        <v/>
      </c>
      <c r="AD20" s="35">
        <f>IF($C20=0,0,AC20/$C20)</f>
        <v/>
      </c>
      <c r="AE20" s="36" t="n"/>
      <c r="AF20" s="19">
        <f>AC20+AE20</f>
        <v/>
      </c>
      <c r="AG20" s="35">
        <f>IF($C20=0,0,AF20/$C20)</f>
        <v/>
      </c>
      <c r="AH20" s="36" t="n"/>
      <c r="AI20" s="19">
        <f>AF20+AH20</f>
        <v/>
      </c>
      <c r="AJ20" s="35">
        <f>IF($C20=0,0,AI20/$C20)</f>
        <v/>
      </c>
      <c r="AK20" s="36" t="n"/>
      <c r="AL20" s="19">
        <f>AI20+AK20</f>
        <v/>
      </c>
      <c r="AM20" s="35">
        <f>IF($C20=0,0,AL20/$C20)</f>
        <v/>
      </c>
      <c r="AN20" s="36" t="n"/>
      <c r="AO20" s="19">
        <f>AL20+AN20</f>
        <v/>
      </c>
      <c r="AP20" s="35">
        <f>IF($C20=0,0,AO20/$C20)</f>
        <v/>
      </c>
      <c r="AQ20" s="36" t="n"/>
      <c r="AR20" s="19">
        <f>AO20+AQ20</f>
        <v/>
      </c>
      <c r="AS20" s="35">
        <f>IF($C20=0,0,AR20/$C20)</f>
        <v/>
      </c>
      <c r="AT20" s="36" t="n"/>
      <c r="AU20" s="19">
        <f>AR20+AT20</f>
        <v/>
      </c>
      <c r="AV20" s="35">
        <f>IF($C20=0,0,AU20/$C20)</f>
        <v/>
      </c>
      <c r="AW20" s="36" t="n"/>
      <c r="AX20" s="19">
        <f>AU20+AW20</f>
        <v/>
      </c>
      <c r="AY20" s="35">
        <f>IF($C20=0,0,AX20/$C20)</f>
        <v/>
      </c>
      <c r="AZ20" s="36" t="n"/>
      <c r="BA20" s="19">
        <f>AX20+AZ20</f>
        <v/>
      </c>
      <c r="BB20" s="35">
        <f>IF($C20=0,0,BA20/$C20)</f>
        <v/>
      </c>
      <c r="BC20" s="36" t="n"/>
      <c r="BD20" s="19">
        <f>BA20+BC20</f>
        <v/>
      </c>
      <c r="BE20" s="35">
        <f>IF($C20=0,0,BD20/$C20)</f>
        <v/>
      </c>
      <c r="BF20" s="36" t="n"/>
      <c r="BG20" s="19">
        <f>BD20+BF20</f>
        <v/>
      </c>
      <c r="BH20" s="35">
        <f>IF($C20=0,0,BG20/$C20)</f>
        <v/>
      </c>
      <c r="BI20" s="36" t="n"/>
      <c r="BJ20" s="19">
        <f>BG20+BI20</f>
        <v/>
      </c>
      <c r="BK20" s="35">
        <f>IF($C20=0,0,BJ20/$C20)</f>
        <v/>
      </c>
      <c r="BL20" s="36" t="n"/>
      <c r="BM20" s="19">
        <f>BJ20+BL20</f>
        <v/>
      </c>
      <c r="BN20" s="35">
        <f>IF($C20=0,0,BM20/$C20)</f>
        <v/>
      </c>
      <c r="BO20" s="36" t="n"/>
      <c r="BP20" s="19">
        <f>BM20+BO20</f>
        <v/>
      </c>
      <c r="BQ20" s="35">
        <f>IF($C20=0,0,BP20/$C20)</f>
        <v/>
      </c>
      <c r="BR20" s="36" t="n"/>
      <c r="BS20" s="19">
        <f>BP20+BR20</f>
        <v/>
      </c>
      <c r="BT20" s="35">
        <f>IF($C20=0,0,BS20/$C20)</f>
        <v/>
      </c>
    </row>
    <row r="21">
      <c r="A21" s="15" t="inlineStr">
        <is>
          <t>7</t>
        </is>
      </c>
      <c r="B21" s="39" t="inlineStr">
        <is>
          <t>ガラス工事</t>
        </is>
      </c>
      <c r="C21" s="34">
        <f>'金額リスト'!C21</f>
        <v/>
      </c>
      <c r="D21" s="19">
        <f>BS21</f>
        <v/>
      </c>
      <c r="E21" s="19">
        <f>C21-D21</f>
        <v/>
      </c>
      <c r="F21" s="35">
        <f>IF(C21=0,0,D21/C21)</f>
        <v/>
      </c>
      <c r="G21" s="36" t="n"/>
      <c r="H21" s="19">
        <f>G21</f>
        <v/>
      </c>
      <c r="I21" s="35">
        <f>IF($C21=0,0,H21/$C21)</f>
        <v/>
      </c>
      <c r="J21" s="36" t="n"/>
      <c r="K21" s="19">
        <f>H21+J21</f>
        <v/>
      </c>
      <c r="L21" s="35">
        <f>IF($C21=0,0,K21/$C21)</f>
        <v/>
      </c>
      <c r="M21" s="36" t="n"/>
      <c r="N21" s="19">
        <f>K21+M21</f>
        <v/>
      </c>
      <c r="O21" s="35">
        <f>IF($C21=0,0,N21/$C21)</f>
        <v/>
      </c>
      <c r="P21" s="36" t="n"/>
      <c r="Q21" s="19">
        <f>N21+P21</f>
        <v/>
      </c>
      <c r="R21" s="35">
        <f>IF($C21=0,0,Q21/$C21)</f>
        <v/>
      </c>
      <c r="S21" s="36" t="n"/>
      <c r="T21" s="19">
        <f>Q21+S21</f>
        <v/>
      </c>
      <c r="U21" s="35">
        <f>IF($C21=0,0,T21/$C21)</f>
        <v/>
      </c>
      <c r="V21" s="36" t="n"/>
      <c r="W21" s="19">
        <f>T21+V21</f>
        <v/>
      </c>
      <c r="X21" s="35">
        <f>IF($C21=0,0,W21/$C21)</f>
        <v/>
      </c>
      <c r="Y21" s="36" t="n"/>
      <c r="Z21" s="19">
        <f>W21+Y21</f>
        <v/>
      </c>
      <c r="AA21" s="35">
        <f>IF($C21=0,0,Z21/$C21)</f>
        <v/>
      </c>
      <c r="AB21" s="36" t="n"/>
      <c r="AC21" s="19">
        <f>Z21+AB21</f>
        <v/>
      </c>
      <c r="AD21" s="35">
        <f>IF($C21=0,0,AC21/$C21)</f>
        <v/>
      </c>
      <c r="AE21" s="36" t="n"/>
      <c r="AF21" s="19">
        <f>AC21+AE21</f>
        <v/>
      </c>
      <c r="AG21" s="35">
        <f>IF($C21=0,0,AF21/$C21)</f>
        <v/>
      </c>
      <c r="AH21" s="36" t="n"/>
      <c r="AI21" s="19">
        <f>AF21+AH21</f>
        <v/>
      </c>
      <c r="AJ21" s="35">
        <f>IF($C21=0,0,AI21/$C21)</f>
        <v/>
      </c>
      <c r="AK21" s="36" t="n"/>
      <c r="AL21" s="19">
        <f>AI21+AK21</f>
        <v/>
      </c>
      <c r="AM21" s="35">
        <f>IF($C21=0,0,AL21/$C21)</f>
        <v/>
      </c>
      <c r="AN21" s="36" t="n"/>
      <c r="AO21" s="19">
        <f>AL21+AN21</f>
        <v/>
      </c>
      <c r="AP21" s="35">
        <f>IF($C21=0,0,AO21/$C21)</f>
        <v/>
      </c>
      <c r="AQ21" s="36" t="n"/>
      <c r="AR21" s="19">
        <f>AO21+AQ21</f>
        <v/>
      </c>
      <c r="AS21" s="35">
        <f>IF($C21=0,0,AR21/$C21)</f>
        <v/>
      </c>
      <c r="AT21" s="36" t="n"/>
      <c r="AU21" s="19">
        <f>AR21+AT21</f>
        <v/>
      </c>
      <c r="AV21" s="35">
        <f>IF($C21=0,0,AU21/$C21)</f>
        <v/>
      </c>
      <c r="AW21" s="36" t="n"/>
      <c r="AX21" s="19">
        <f>AU21+AW21</f>
        <v/>
      </c>
      <c r="AY21" s="35">
        <f>IF($C21=0,0,AX21/$C21)</f>
        <v/>
      </c>
      <c r="AZ21" s="36" t="n"/>
      <c r="BA21" s="19">
        <f>AX21+AZ21</f>
        <v/>
      </c>
      <c r="BB21" s="35">
        <f>IF($C21=0,0,BA21/$C21)</f>
        <v/>
      </c>
      <c r="BC21" s="36" t="n"/>
      <c r="BD21" s="19">
        <f>BA21+BC21</f>
        <v/>
      </c>
      <c r="BE21" s="35">
        <f>IF($C21=0,0,BD21/$C21)</f>
        <v/>
      </c>
      <c r="BF21" s="36" t="n"/>
      <c r="BG21" s="19">
        <f>BD21+BF21</f>
        <v/>
      </c>
      <c r="BH21" s="35">
        <f>IF($C21=0,0,BG21/$C21)</f>
        <v/>
      </c>
      <c r="BI21" s="36" t="n"/>
      <c r="BJ21" s="19">
        <f>BG21+BI21</f>
        <v/>
      </c>
      <c r="BK21" s="35">
        <f>IF($C21=0,0,BJ21/$C21)</f>
        <v/>
      </c>
      <c r="BL21" s="36" t="n"/>
      <c r="BM21" s="19">
        <f>BJ21+BL21</f>
        <v/>
      </c>
      <c r="BN21" s="35">
        <f>IF($C21=0,0,BM21/$C21)</f>
        <v/>
      </c>
      <c r="BO21" s="36" t="n"/>
      <c r="BP21" s="19">
        <f>BM21+BO21</f>
        <v/>
      </c>
      <c r="BQ21" s="35">
        <f>IF($C21=0,0,BP21/$C21)</f>
        <v/>
      </c>
      <c r="BR21" s="36" t="n"/>
      <c r="BS21" s="19">
        <f>BP21+BR21</f>
        <v/>
      </c>
      <c r="BT21" s="35">
        <f>IF($C21=0,0,BS21/$C21)</f>
        <v/>
      </c>
    </row>
    <row r="22">
      <c r="A22" s="15" t="inlineStr">
        <is>
          <t>8</t>
        </is>
      </c>
      <c r="B22" s="39" t="inlineStr">
        <is>
          <t>木工事</t>
        </is>
      </c>
      <c r="C22" s="34">
        <f>'金額リスト'!C22</f>
        <v/>
      </c>
      <c r="D22" s="19">
        <f>BS22</f>
        <v/>
      </c>
      <c r="E22" s="19">
        <f>C22-D22</f>
        <v/>
      </c>
      <c r="F22" s="35">
        <f>IF(C22=0,0,D22/C22)</f>
        <v/>
      </c>
      <c r="G22" s="36" t="n"/>
      <c r="H22" s="19">
        <f>G22</f>
        <v/>
      </c>
      <c r="I22" s="35">
        <f>IF($C22=0,0,H22/$C22)</f>
        <v/>
      </c>
      <c r="J22" s="36" t="n"/>
      <c r="K22" s="19">
        <f>H22+J22</f>
        <v/>
      </c>
      <c r="L22" s="35">
        <f>IF($C22=0,0,K22/$C22)</f>
        <v/>
      </c>
      <c r="M22" s="36" t="n"/>
      <c r="N22" s="19">
        <f>K22+M22</f>
        <v/>
      </c>
      <c r="O22" s="35">
        <f>IF($C22=0,0,N22/$C22)</f>
        <v/>
      </c>
      <c r="P22" s="36" t="n"/>
      <c r="Q22" s="19">
        <f>N22+P22</f>
        <v/>
      </c>
      <c r="R22" s="35">
        <f>IF($C22=0,0,Q22/$C22)</f>
        <v/>
      </c>
      <c r="S22" s="36" t="n"/>
      <c r="T22" s="19">
        <f>Q22+S22</f>
        <v/>
      </c>
      <c r="U22" s="35">
        <f>IF($C22=0,0,T22/$C22)</f>
        <v/>
      </c>
      <c r="V22" s="36" t="n"/>
      <c r="W22" s="19">
        <f>T22+V22</f>
        <v/>
      </c>
      <c r="X22" s="35">
        <f>IF($C22=0,0,W22/$C22)</f>
        <v/>
      </c>
      <c r="Y22" s="36" t="n"/>
      <c r="Z22" s="19">
        <f>W22+Y22</f>
        <v/>
      </c>
      <c r="AA22" s="35">
        <f>IF($C22=0,0,Z22/$C22)</f>
        <v/>
      </c>
      <c r="AB22" s="36" t="n"/>
      <c r="AC22" s="19">
        <f>Z22+AB22</f>
        <v/>
      </c>
      <c r="AD22" s="35">
        <f>IF($C22=0,0,AC22/$C22)</f>
        <v/>
      </c>
      <c r="AE22" s="36" t="n"/>
      <c r="AF22" s="19">
        <f>AC22+AE22</f>
        <v/>
      </c>
      <c r="AG22" s="35">
        <f>IF($C22=0,0,AF22/$C22)</f>
        <v/>
      </c>
      <c r="AH22" s="36" t="n"/>
      <c r="AI22" s="19">
        <f>AF22+AH22</f>
        <v/>
      </c>
      <c r="AJ22" s="35">
        <f>IF($C22=0,0,AI22/$C22)</f>
        <v/>
      </c>
      <c r="AK22" s="36" t="n"/>
      <c r="AL22" s="19">
        <f>AI22+AK22</f>
        <v/>
      </c>
      <c r="AM22" s="35">
        <f>IF($C22=0,0,AL22/$C22)</f>
        <v/>
      </c>
      <c r="AN22" s="36" t="n"/>
      <c r="AO22" s="19">
        <f>AL22+AN22</f>
        <v/>
      </c>
      <c r="AP22" s="35">
        <f>IF($C22=0,0,AO22/$C22)</f>
        <v/>
      </c>
      <c r="AQ22" s="36" t="n"/>
      <c r="AR22" s="19">
        <f>AO22+AQ22</f>
        <v/>
      </c>
      <c r="AS22" s="35">
        <f>IF($C22=0,0,AR22/$C22)</f>
        <v/>
      </c>
      <c r="AT22" s="36" t="n"/>
      <c r="AU22" s="19">
        <f>AR22+AT22</f>
        <v/>
      </c>
      <c r="AV22" s="35">
        <f>IF($C22=0,0,AU22/$C22)</f>
        <v/>
      </c>
      <c r="AW22" s="36" t="n"/>
      <c r="AX22" s="19">
        <f>AU22+AW22</f>
        <v/>
      </c>
      <c r="AY22" s="35">
        <f>IF($C22=0,0,AX22/$C22)</f>
        <v/>
      </c>
      <c r="AZ22" s="36" t="n"/>
      <c r="BA22" s="19">
        <f>AX22+AZ22</f>
        <v/>
      </c>
      <c r="BB22" s="35">
        <f>IF($C22=0,0,BA22/$C22)</f>
        <v/>
      </c>
      <c r="BC22" s="36" t="n"/>
      <c r="BD22" s="19">
        <f>BA22+BC22</f>
        <v/>
      </c>
      <c r="BE22" s="35">
        <f>IF($C22=0,0,BD22/$C22)</f>
        <v/>
      </c>
      <c r="BF22" s="36" t="n"/>
      <c r="BG22" s="19">
        <f>BD22+BF22</f>
        <v/>
      </c>
      <c r="BH22" s="35">
        <f>IF($C22=0,0,BG22/$C22)</f>
        <v/>
      </c>
      <c r="BI22" s="36" t="n"/>
      <c r="BJ22" s="19">
        <f>BG22+BI22</f>
        <v/>
      </c>
      <c r="BK22" s="35">
        <f>IF($C22=0,0,BJ22/$C22)</f>
        <v/>
      </c>
      <c r="BL22" s="36" t="n"/>
      <c r="BM22" s="19">
        <f>BJ22+BL22</f>
        <v/>
      </c>
      <c r="BN22" s="35">
        <f>IF($C22=0,0,BM22/$C22)</f>
        <v/>
      </c>
      <c r="BO22" s="36" t="n"/>
      <c r="BP22" s="19">
        <f>BM22+BO22</f>
        <v/>
      </c>
      <c r="BQ22" s="35">
        <f>IF($C22=0,0,BP22/$C22)</f>
        <v/>
      </c>
      <c r="BR22" s="36" t="n"/>
      <c r="BS22" s="19">
        <f>BP22+BR22</f>
        <v/>
      </c>
      <c r="BT22" s="35">
        <f>IF($C22=0,0,BS22/$C22)</f>
        <v/>
      </c>
    </row>
    <row r="23">
      <c r="A23" s="15" t="inlineStr">
        <is>
          <t>9</t>
        </is>
      </c>
      <c r="B23" s="39" t="inlineStr">
        <is>
          <t>左官工事</t>
        </is>
      </c>
      <c r="C23" s="34">
        <f>'金額リスト'!C23</f>
        <v/>
      </c>
      <c r="D23" s="19">
        <f>BS23</f>
        <v/>
      </c>
      <c r="E23" s="19">
        <f>C23-D23</f>
        <v/>
      </c>
      <c r="F23" s="35">
        <f>IF(C23=0,0,D23/C23)</f>
        <v/>
      </c>
      <c r="G23" s="36" t="n"/>
      <c r="H23" s="19">
        <f>G23</f>
        <v/>
      </c>
      <c r="I23" s="35">
        <f>IF($C23=0,0,H23/$C23)</f>
        <v/>
      </c>
      <c r="J23" s="36" t="n"/>
      <c r="K23" s="19">
        <f>H23+J23</f>
        <v/>
      </c>
      <c r="L23" s="35">
        <f>IF($C23=0,0,K23/$C23)</f>
        <v/>
      </c>
      <c r="M23" s="36" t="n"/>
      <c r="N23" s="19">
        <f>K23+M23</f>
        <v/>
      </c>
      <c r="O23" s="35">
        <f>IF($C23=0,0,N23/$C23)</f>
        <v/>
      </c>
      <c r="P23" s="36" t="n"/>
      <c r="Q23" s="19">
        <f>N23+P23</f>
        <v/>
      </c>
      <c r="R23" s="35">
        <f>IF($C23=0,0,Q23/$C23)</f>
        <v/>
      </c>
      <c r="S23" s="36" t="n"/>
      <c r="T23" s="19">
        <f>Q23+S23</f>
        <v/>
      </c>
      <c r="U23" s="35">
        <f>IF($C23=0,0,T23/$C23)</f>
        <v/>
      </c>
      <c r="V23" s="36" t="n"/>
      <c r="W23" s="19">
        <f>T23+V23</f>
        <v/>
      </c>
      <c r="X23" s="35">
        <f>IF($C23=0,0,W23/$C23)</f>
        <v/>
      </c>
      <c r="Y23" s="36" t="n"/>
      <c r="Z23" s="19">
        <f>W23+Y23</f>
        <v/>
      </c>
      <c r="AA23" s="35">
        <f>IF($C23=0,0,Z23/$C23)</f>
        <v/>
      </c>
      <c r="AB23" s="36" t="n"/>
      <c r="AC23" s="19">
        <f>Z23+AB23</f>
        <v/>
      </c>
      <c r="AD23" s="35">
        <f>IF($C23=0,0,AC23/$C23)</f>
        <v/>
      </c>
      <c r="AE23" s="36" t="n"/>
      <c r="AF23" s="19">
        <f>AC23+AE23</f>
        <v/>
      </c>
      <c r="AG23" s="35">
        <f>IF($C23=0,0,AF23/$C23)</f>
        <v/>
      </c>
      <c r="AH23" s="36" t="n"/>
      <c r="AI23" s="19">
        <f>AF23+AH23</f>
        <v/>
      </c>
      <c r="AJ23" s="35">
        <f>IF($C23=0,0,AI23/$C23)</f>
        <v/>
      </c>
      <c r="AK23" s="36" t="n"/>
      <c r="AL23" s="19">
        <f>AI23+AK23</f>
        <v/>
      </c>
      <c r="AM23" s="35">
        <f>IF($C23=0,0,AL23/$C23)</f>
        <v/>
      </c>
      <c r="AN23" s="36" t="n"/>
      <c r="AO23" s="19">
        <f>AL23+AN23</f>
        <v/>
      </c>
      <c r="AP23" s="35">
        <f>IF($C23=0,0,AO23/$C23)</f>
        <v/>
      </c>
      <c r="AQ23" s="36" t="n"/>
      <c r="AR23" s="19">
        <f>AO23+AQ23</f>
        <v/>
      </c>
      <c r="AS23" s="35">
        <f>IF($C23=0,0,AR23/$C23)</f>
        <v/>
      </c>
      <c r="AT23" s="36" t="n"/>
      <c r="AU23" s="19">
        <f>AR23+AT23</f>
        <v/>
      </c>
      <c r="AV23" s="35">
        <f>IF($C23=0,0,AU23/$C23)</f>
        <v/>
      </c>
      <c r="AW23" s="36" t="n"/>
      <c r="AX23" s="19">
        <f>AU23+AW23</f>
        <v/>
      </c>
      <c r="AY23" s="35">
        <f>IF($C23=0,0,AX23/$C23)</f>
        <v/>
      </c>
      <c r="AZ23" s="36" t="n"/>
      <c r="BA23" s="19">
        <f>AX23+AZ23</f>
        <v/>
      </c>
      <c r="BB23" s="35">
        <f>IF($C23=0,0,BA23/$C23)</f>
        <v/>
      </c>
      <c r="BC23" s="36" t="n"/>
      <c r="BD23" s="19">
        <f>BA23+BC23</f>
        <v/>
      </c>
      <c r="BE23" s="35">
        <f>IF($C23=0,0,BD23/$C23)</f>
        <v/>
      </c>
      <c r="BF23" s="36" t="n"/>
      <c r="BG23" s="19">
        <f>BD23+BF23</f>
        <v/>
      </c>
      <c r="BH23" s="35">
        <f>IF($C23=0,0,BG23/$C23)</f>
        <v/>
      </c>
      <c r="BI23" s="36" t="n"/>
      <c r="BJ23" s="19">
        <f>BG23+BI23</f>
        <v/>
      </c>
      <c r="BK23" s="35">
        <f>IF($C23=0,0,BJ23/$C23)</f>
        <v/>
      </c>
      <c r="BL23" s="36" t="n"/>
      <c r="BM23" s="19">
        <f>BJ23+BL23</f>
        <v/>
      </c>
      <c r="BN23" s="35">
        <f>IF($C23=0,0,BM23/$C23)</f>
        <v/>
      </c>
      <c r="BO23" s="36" t="n"/>
      <c r="BP23" s="19">
        <f>BM23+BO23</f>
        <v/>
      </c>
      <c r="BQ23" s="35">
        <f>IF($C23=0,0,BP23/$C23)</f>
        <v/>
      </c>
      <c r="BR23" s="36" t="n"/>
      <c r="BS23" s="19">
        <f>BP23+BR23</f>
        <v/>
      </c>
      <c r="BT23" s="35">
        <f>IF($C23=0,0,BS23/$C23)</f>
        <v/>
      </c>
    </row>
    <row r="24">
      <c r="A24" s="15" t="inlineStr">
        <is>
          <t>10</t>
        </is>
      </c>
      <c r="B24" s="39" t="inlineStr">
        <is>
          <t>塗装工事</t>
        </is>
      </c>
      <c r="C24" s="34">
        <f>'金額リスト'!C24</f>
        <v/>
      </c>
      <c r="D24" s="19">
        <f>BS24</f>
        <v/>
      </c>
      <c r="E24" s="19">
        <f>C24-D24</f>
        <v/>
      </c>
      <c r="F24" s="35">
        <f>IF(C24=0,0,D24/C24)</f>
        <v/>
      </c>
      <c r="G24" s="36" t="n"/>
      <c r="H24" s="19">
        <f>G24</f>
        <v/>
      </c>
      <c r="I24" s="35">
        <f>IF($C24=0,0,H24/$C24)</f>
        <v/>
      </c>
      <c r="J24" s="36" t="n"/>
      <c r="K24" s="19">
        <f>H24+J24</f>
        <v/>
      </c>
      <c r="L24" s="35">
        <f>IF($C24=0,0,K24/$C24)</f>
        <v/>
      </c>
      <c r="M24" s="36" t="n"/>
      <c r="N24" s="19">
        <f>K24+M24</f>
        <v/>
      </c>
      <c r="O24" s="35">
        <f>IF($C24=0,0,N24/$C24)</f>
        <v/>
      </c>
      <c r="P24" s="36" t="n"/>
      <c r="Q24" s="19">
        <f>N24+P24</f>
        <v/>
      </c>
      <c r="R24" s="35">
        <f>IF($C24=0,0,Q24/$C24)</f>
        <v/>
      </c>
      <c r="S24" s="36" t="n"/>
      <c r="T24" s="19">
        <f>Q24+S24</f>
        <v/>
      </c>
      <c r="U24" s="35">
        <f>IF($C24=0,0,T24/$C24)</f>
        <v/>
      </c>
      <c r="V24" s="36" t="n"/>
      <c r="W24" s="19">
        <f>T24+V24</f>
        <v/>
      </c>
      <c r="X24" s="35">
        <f>IF($C24=0,0,W24/$C24)</f>
        <v/>
      </c>
      <c r="Y24" s="36" t="n"/>
      <c r="Z24" s="19">
        <f>W24+Y24</f>
        <v/>
      </c>
      <c r="AA24" s="35">
        <f>IF($C24=0,0,Z24/$C24)</f>
        <v/>
      </c>
      <c r="AB24" s="36" t="n"/>
      <c r="AC24" s="19">
        <f>Z24+AB24</f>
        <v/>
      </c>
      <c r="AD24" s="35">
        <f>IF($C24=0,0,AC24/$C24)</f>
        <v/>
      </c>
      <c r="AE24" s="36" t="n"/>
      <c r="AF24" s="19">
        <f>AC24+AE24</f>
        <v/>
      </c>
      <c r="AG24" s="35">
        <f>IF($C24=0,0,AF24/$C24)</f>
        <v/>
      </c>
      <c r="AH24" s="36" t="n"/>
      <c r="AI24" s="19">
        <f>AF24+AH24</f>
        <v/>
      </c>
      <c r="AJ24" s="35">
        <f>IF($C24=0,0,AI24/$C24)</f>
        <v/>
      </c>
      <c r="AK24" s="36" t="n"/>
      <c r="AL24" s="19">
        <f>AI24+AK24</f>
        <v/>
      </c>
      <c r="AM24" s="35">
        <f>IF($C24=0,0,AL24/$C24)</f>
        <v/>
      </c>
      <c r="AN24" s="36" t="n"/>
      <c r="AO24" s="19">
        <f>AL24+AN24</f>
        <v/>
      </c>
      <c r="AP24" s="35">
        <f>IF($C24=0,0,AO24/$C24)</f>
        <v/>
      </c>
      <c r="AQ24" s="36" t="n"/>
      <c r="AR24" s="19">
        <f>AO24+AQ24</f>
        <v/>
      </c>
      <c r="AS24" s="35">
        <f>IF($C24=0,0,AR24/$C24)</f>
        <v/>
      </c>
      <c r="AT24" s="36" t="n"/>
      <c r="AU24" s="19">
        <f>AR24+AT24</f>
        <v/>
      </c>
      <c r="AV24" s="35">
        <f>IF($C24=0,0,AU24/$C24)</f>
        <v/>
      </c>
      <c r="AW24" s="36" t="n"/>
      <c r="AX24" s="19">
        <f>AU24+AW24</f>
        <v/>
      </c>
      <c r="AY24" s="35">
        <f>IF($C24=0,0,AX24/$C24)</f>
        <v/>
      </c>
      <c r="AZ24" s="36" t="n"/>
      <c r="BA24" s="19">
        <f>AX24+AZ24</f>
        <v/>
      </c>
      <c r="BB24" s="35">
        <f>IF($C24=0,0,BA24/$C24)</f>
        <v/>
      </c>
      <c r="BC24" s="36" t="n"/>
      <c r="BD24" s="19">
        <f>BA24+BC24</f>
        <v/>
      </c>
      <c r="BE24" s="35">
        <f>IF($C24=0,0,BD24/$C24)</f>
        <v/>
      </c>
      <c r="BF24" s="36" t="n"/>
      <c r="BG24" s="19">
        <f>BD24+BF24</f>
        <v/>
      </c>
      <c r="BH24" s="35">
        <f>IF($C24=0,0,BG24/$C24)</f>
        <v/>
      </c>
      <c r="BI24" s="36" t="n"/>
      <c r="BJ24" s="19">
        <f>BG24+BI24</f>
        <v/>
      </c>
      <c r="BK24" s="35">
        <f>IF($C24=0,0,BJ24/$C24)</f>
        <v/>
      </c>
      <c r="BL24" s="36" t="n"/>
      <c r="BM24" s="19">
        <f>BJ24+BL24</f>
        <v/>
      </c>
      <c r="BN24" s="35">
        <f>IF($C24=0,0,BM24/$C24)</f>
        <v/>
      </c>
      <c r="BO24" s="36" t="n"/>
      <c r="BP24" s="19">
        <f>BM24+BO24</f>
        <v/>
      </c>
      <c r="BQ24" s="35">
        <f>IF($C24=0,0,BP24/$C24)</f>
        <v/>
      </c>
      <c r="BR24" s="36" t="n"/>
      <c r="BS24" s="19">
        <f>BP24+BR24</f>
        <v/>
      </c>
      <c r="BT24" s="35">
        <f>IF($C24=0,0,BS24/$C24)</f>
        <v/>
      </c>
    </row>
    <row r="25">
      <c r="A25" s="15" t="inlineStr">
        <is>
          <t>11</t>
        </is>
      </c>
      <c r="B25" s="39" t="inlineStr">
        <is>
          <t>内装工事</t>
        </is>
      </c>
      <c r="C25" s="34">
        <f>'金額リスト'!C25</f>
        <v/>
      </c>
      <c r="D25" s="19">
        <f>BS25</f>
        <v/>
      </c>
      <c r="E25" s="19">
        <f>C25-D25</f>
        <v/>
      </c>
      <c r="F25" s="35">
        <f>IF(C25=0,0,D25/C25)</f>
        <v/>
      </c>
      <c r="G25" s="36" t="n"/>
      <c r="H25" s="19">
        <f>G25</f>
        <v/>
      </c>
      <c r="I25" s="35">
        <f>IF($C25=0,0,H25/$C25)</f>
        <v/>
      </c>
      <c r="J25" s="36" t="n"/>
      <c r="K25" s="19">
        <f>H25+J25</f>
        <v/>
      </c>
      <c r="L25" s="35">
        <f>IF($C25=0,0,K25/$C25)</f>
        <v/>
      </c>
      <c r="M25" s="36" t="n"/>
      <c r="N25" s="19">
        <f>K25+M25</f>
        <v/>
      </c>
      <c r="O25" s="35">
        <f>IF($C25=0,0,N25/$C25)</f>
        <v/>
      </c>
      <c r="P25" s="36" t="n"/>
      <c r="Q25" s="19">
        <f>N25+P25</f>
        <v/>
      </c>
      <c r="R25" s="35">
        <f>IF($C25=0,0,Q25/$C25)</f>
        <v/>
      </c>
      <c r="S25" s="36" t="n"/>
      <c r="T25" s="19">
        <f>Q25+S25</f>
        <v/>
      </c>
      <c r="U25" s="35">
        <f>IF($C25=0,0,T25/$C25)</f>
        <v/>
      </c>
      <c r="V25" s="36" t="n"/>
      <c r="W25" s="19">
        <f>T25+V25</f>
        <v/>
      </c>
      <c r="X25" s="35">
        <f>IF($C25=0,0,W25/$C25)</f>
        <v/>
      </c>
      <c r="Y25" s="36" t="n"/>
      <c r="Z25" s="19">
        <f>W25+Y25</f>
        <v/>
      </c>
      <c r="AA25" s="35">
        <f>IF($C25=0,0,Z25/$C25)</f>
        <v/>
      </c>
      <c r="AB25" s="36" t="n"/>
      <c r="AC25" s="19">
        <f>Z25+AB25</f>
        <v/>
      </c>
      <c r="AD25" s="35">
        <f>IF($C25=0,0,AC25/$C25)</f>
        <v/>
      </c>
      <c r="AE25" s="36" t="n"/>
      <c r="AF25" s="19">
        <f>AC25+AE25</f>
        <v/>
      </c>
      <c r="AG25" s="35">
        <f>IF($C25=0,0,AF25/$C25)</f>
        <v/>
      </c>
      <c r="AH25" s="36" t="n"/>
      <c r="AI25" s="19">
        <f>AF25+AH25</f>
        <v/>
      </c>
      <c r="AJ25" s="35">
        <f>IF($C25=0,0,AI25/$C25)</f>
        <v/>
      </c>
      <c r="AK25" s="36" t="n"/>
      <c r="AL25" s="19">
        <f>AI25+AK25</f>
        <v/>
      </c>
      <c r="AM25" s="35">
        <f>IF($C25=0,0,AL25/$C25)</f>
        <v/>
      </c>
      <c r="AN25" s="36" t="n"/>
      <c r="AO25" s="19">
        <f>AL25+AN25</f>
        <v/>
      </c>
      <c r="AP25" s="35">
        <f>IF($C25=0,0,AO25/$C25)</f>
        <v/>
      </c>
      <c r="AQ25" s="36" t="n"/>
      <c r="AR25" s="19">
        <f>AO25+AQ25</f>
        <v/>
      </c>
      <c r="AS25" s="35">
        <f>IF($C25=0,0,AR25/$C25)</f>
        <v/>
      </c>
      <c r="AT25" s="36" t="n"/>
      <c r="AU25" s="19">
        <f>AR25+AT25</f>
        <v/>
      </c>
      <c r="AV25" s="35">
        <f>IF($C25=0,0,AU25/$C25)</f>
        <v/>
      </c>
      <c r="AW25" s="36" t="n"/>
      <c r="AX25" s="19">
        <f>AU25+AW25</f>
        <v/>
      </c>
      <c r="AY25" s="35">
        <f>IF($C25=0,0,AX25/$C25)</f>
        <v/>
      </c>
      <c r="AZ25" s="36" t="n"/>
      <c r="BA25" s="19">
        <f>AX25+AZ25</f>
        <v/>
      </c>
      <c r="BB25" s="35">
        <f>IF($C25=0,0,BA25/$C25)</f>
        <v/>
      </c>
      <c r="BC25" s="36" t="n"/>
      <c r="BD25" s="19">
        <f>BA25+BC25</f>
        <v/>
      </c>
      <c r="BE25" s="35">
        <f>IF($C25=0,0,BD25/$C25)</f>
        <v/>
      </c>
      <c r="BF25" s="36" t="n"/>
      <c r="BG25" s="19">
        <f>BD25+BF25</f>
        <v/>
      </c>
      <c r="BH25" s="35">
        <f>IF($C25=0,0,BG25/$C25)</f>
        <v/>
      </c>
      <c r="BI25" s="36" t="n"/>
      <c r="BJ25" s="19">
        <f>BG25+BI25</f>
        <v/>
      </c>
      <c r="BK25" s="35">
        <f>IF($C25=0,0,BJ25/$C25)</f>
        <v/>
      </c>
      <c r="BL25" s="36" t="n"/>
      <c r="BM25" s="19">
        <f>BJ25+BL25</f>
        <v/>
      </c>
      <c r="BN25" s="35">
        <f>IF($C25=0,0,BM25/$C25)</f>
        <v/>
      </c>
      <c r="BO25" s="36" t="n"/>
      <c r="BP25" s="19">
        <f>BM25+BO25</f>
        <v/>
      </c>
      <c r="BQ25" s="35">
        <f>IF($C25=0,0,BP25/$C25)</f>
        <v/>
      </c>
      <c r="BR25" s="36" t="n"/>
      <c r="BS25" s="19">
        <f>BP25+BR25</f>
        <v/>
      </c>
      <c r="BT25" s="35">
        <f>IF($C25=0,0,BS25/$C25)</f>
        <v/>
      </c>
    </row>
    <row r="26">
      <c r="A26" s="15" t="inlineStr">
        <is>
          <t>12</t>
        </is>
      </c>
      <c r="B26" s="39" t="inlineStr">
        <is>
          <t>雑工事</t>
        </is>
      </c>
      <c r="C26" s="34">
        <f>'金額リスト'!C26</f>
        <v/>
      </c>
      <c r="D26" s="19">
        <f>BS26</f>
        <v/>
      </c>
      <c r="E26" s="19">
        <f>C26-D26</f>
        <v/>
      </c>
      <c r="F26" s="35">
        <f>IF(C26=0,0,D26/C26)</f>
        <v/>
      </c>
      <c r="G26" s="36" t="n"/>
      <c r="H26" s="19">
        <f>G26</f>
        <v/>
      </c>
      <c r="I26" s="35">
        <f>IF($C26=0,0,H26/$C26)</f>
        <v/>
      </c>
      <c r="J26" s="36" t="n"/>
      <c r="K26" s="19">
        <f>H26+J26</f>
        <v/>
      </c>
      <c r="L26" s="35">
        <f>IF($C26=0,0,K26/$C26)</f>
        <v/>
      </c>
      <c r="M26" s="36" t="n"/>
      <c r="N26" s="19">
        <f>K26+M26</f>
        <v/>
      </c>
      <c r="O26" s="35">
        <f>IF($C26=0,0,N26/$C26)</f>
        <v/>
      </c>
      <c r="P26" s="36" t="n"/>
      <c r="Q26" s="19">
        <f>N26+P26</f>
        <v/>
      </c>
      <c r="R26" s="35">
        <f>IF($C26=0,0,Q26/$C26)</f>
        <v/>
      </c>
      <c r="S26" s="36" t="n"/>
      <c r="T26" s="19">
        <f>Q26+S26</f>
        <v/>
      </c>
      <c r="U26" s="35">
        <f>IF($C26=0,0,T26/$C26)</f>
        <v/>
      </c>
      <c r="V26" s="36" t="n"/>
      <c r="W26" s="19">
        <f>T26+V26</f>
        <v/>
      </c>
      <c r="X26" s="35">
        <f>IF($C26=0,0,W26/$C26)</f>
        <v/>
      </c>
      <c r="Y26" s="36" t="n"/>
      <c r="Z26" s="19">
        <f>W26+Y26</f>
        <v/>
      </c>
      <c r="AA26" s="35">
        <f>IF($C26=0,0,Z26/$C26)</f>
        <v/>
      </c>
      <c r="AB26" s="36" t="n"/>
      <c r="AC26" s="19">
        <f>Z26+AB26</f>
        <v/>
      </c>
      <c r="AD26" s="35">
        <f>IF($C26=0,0,AC26/$C26)</f>
        <v/>
      </c>
      <c r="AE26" s="36" t="n"/>
      <c r="AF26" s="19">
        <f>AC26+AE26</f>
        <v/>
      </c>
      <c r="AG26" s="35">
        <f>IF($C26=0,0,AF26/$C26)</f>
        <v/>
      </c>
      <c r="AH26" s="36" t="n"/>
      <c r="AI26" s="19">
        <f>AF26+AH26</f>
        <v/>
      </c>
      <c r="AJ26" s="35">
        <f>IF($C26=0,0,AI26/$C26)</f>
        <v/>
      </c>
      <c r="AK26" s="36" t="n"/>
      <c r="AL26" s="19">
        <f>AI26+AK26</f>
        <v/>
      </c>
      <c r="AM26" s="35">
        <f>IF($C26=0,0,AL26/$C26)</f>
        <v/>
      </c>
      <c r="AN26" s="36" t="n"/>
      <c r="AO26" s="19">
        <f>AL26+AN26</f>
        <v/>
      </c>
      <c r="AP26" s="35">
        <f>IF($C26=0,0,AO26/$C26)</f>
        <v/>
      </c>
      <c r="AQ26" s="36" t="n"/>
      <c r="AR26" s="19">
        <f>AO26+AQ26</f>
        <v/>
      </c>
      <c r="AS26" s="35">
        <f>IF($C26=0,0,AR26/$C26)</f>
        <v/>
      </c>
      <c r="AT26" s="36" t="n"/>
      <c r="AU26" s="19">
        <f>AR26+AT26</f>
        <v/>
      </c>
      <c r="AV26" s="35">
        <f>IF($C26=0,0,AU26/$C26)</f>
        <v/>
      </c>
      <c r="AW26" s="36" t="n"/>
      <c r="AX26" s="19">
        <f>AU26+AW26</f>
        <v/>
      </c>
      <c r="AY26" s="35">
        <f>IF($C26=0,0,AX26/$C26)</f>
        <v/>
      </c>
      <c r="AZ26" s="36" t="n"/>
      <c r="BA26" s="19">
        <f>AX26+AZ26</f>
        <v/>
      </c>
      <c r="BB26" s="35">
        <f>IF($C26=0,0,BA26/$C26)</f>
        <v/>
      </c>
      <c r="BC26" s="36" t="n"/>
      <c r="BD26" s="19">
        <f>BA26+BC26</f>
        <v/>
      </c>
      <c r="BE26" s="35">
        <f>IF($C26=0,0,BD26/$C26)</f>
        <v/>
      </c>
      <c r="BF26" s="36" t="n"/>
      <c r="BG26" s="19">
        <f>BD26+BF26</f>
        <v/>
      </c>
      <c r="BH26" s="35">
        <f>IF($C26=0,0,BG26/$C26)</f>
        <v/>
      </c>
      <c r="BI26" s="36" t="n"/>
      <c r="BJ26" s="19">
        <f>BG26+BI26</f>
        <v/>
      </c>
      <c r="BK26" s="35">
        <f>IF($C26=0,0,BJ26/$C26)</f>
        <v/>
      </c>
      <c r="BL26" s="36" t="n"/>
      <c r="BM26" s="19">
        <f>BJ26+BL26</f>
        <v/>
      </c>
      <c r="BN26" s="35">
        <f>IF($C26=0,0,BM26/$C26)</f>
        <v/>
      </c>
      <c r="BO26" s="36" t="n"/>
      <c r="BP26" s="19">
        <f>BM26+BO26</f>
        <v/>
      </c>
      <c r="BQ26" s="35">
        <f>IF($C26=0,0,BP26/$C26)</f>
        <v/>
      </c>
      <c r="BR26" s="36" t="n"/>
      <c r="BS26" s="19">
        <f>BP26+BR26</f>
        <v/>
      </c>
      <c r="BT26" s="35">
        <f>IF($C26=0,0,BS26/$C26)</f>
        <v/>
      </c>
    </row>
    <row r="27">
      <c r="A27" s="15" t="inlineStr">
        <is>
          <t>c)-2</t>
        </is>
      </c>
      <c r="B27" s="16" t="inlineStr">
        <is>
          <t>電気設備工事</t>
        </is>
      </c>
      <c r="C27" s="34">
        <f>'金額リスト'!C28</f>
        <v/>
      </c>
      <c r="D27" s="19">
        <f>BS27</f>
        <v/>
      </c>
      <c r="E27" s="19">
        <f>C27-D27</f>
        <v/>
      </c>
      <c r="F27" s="35">
        <f>IF(C27=0,0,D27/C27)</f>
        <v/>
      </c>
      <c r="G27" s="36" t="n"/>
      <c r="H27" s="19">
        <f>G27</f>
        <v/>
      </c>
      <c r="I27" s="35">
        <f>IF($C27=0,0,H27/$C27)</f>
        <v/>
      </c>
      <c r="J27" s="36" t="n"/>
      <c r="K27" s="19">
        <f>H27+J27</f>
        <v/>
      </c>
      <c r="L27" s="35">
        <f>IF($C27=0,0,K27/$C27)</f>
        <v/>
      </c>
      <c r="M27" s="36" t="n"/>
      <c r="N27" s="19">
        <f>K27+M27</f>
        <v/>
      </c>
      <c r="O27" s="35">
        <f>IF($C27=0,0,N27/$C27)</f>
        <v/>
      </c>
      <c r="P27" s="36" t="n"/>
      <c r="Q27" s="19">
        <f>N27+P27</f>
        <v/>
      </c>
      <c r="R27" s="35">
        <f>IF($C27=0,0,Q27/$C27)</f>
        <v/>
      </c>
      <c r="S27" s="36" t="n"/>
      <c r="T27" s="19">
        <f>Q27+S27</f>
        <v/>
      </c>
      <c r="U27" s="35">
        <f>IF($C27=0,0,T27/$C27)</f>
        <v/>
      </c>
      <c r="V27" s="36" t="n"/>
      <c r="W27" s="19">
        <f>T27+V27</f>
        <v/>
      </c>
      <c r="X27" s="35">
        <f>IF($C27=0,0,W27/$C27)</f>
        <v/>
      </c>
      <c r="Y27" s="36" t="n"/>
      <c r="Z27" s="19">
        <f>W27+Y27</f>
        <v/>
      </c>
      <c r="AA27" s="35">
        <f>IF($C27=0,0,Z27/$C27)</f>
        <v/>
      </c>
      <c r="AB27" s="36" t="n"/>
      <c r="AC27" s="19">
        <f>Z27+AB27</f>
        <v/>
      </c>
      <c r="AD27" s="35">
        <f>IF($C27=0,0,AC27/$C27)</f>
        <v/>
      </c>
      <c r="AE27" s="36" t="n"/>
      <c r="AF27" s="19">
        <f>AC27+AE27</f>
        <v/>
      </c>
      <c r="AG27" s="35">
        <f>IF($C27=0,0,AF27/$C27)</f>
        <v/>
      </c>
      <c r="AH27" s="36" t="n"/>
      <c r="AI27" s="19">
        <f>AF27+AH27</f>
        <v/>
      </c>
      <c r="AJ27" s="35">
        <f>IF($C27=0,0,AI27/$C27)</f>
        <v/>
      </c>
      <c r="AK27" s="36" t="n"/>
      <c r="AL27" s="19">
        <f>AI27+AK27</f>
        <v/>
      </c>
      <c r="AM27" s="35">
        <f>IF($C27=0,0,AL27/$C27)</f>
        <v/>
      </c>
      <c r="AN27" s="36" t="n"/>
      <c r="AO27" s="19">
        <f>AL27+AN27</f>
        <v/>
      </c>
      <c r="AP27" s="35">
        <f>IF($C27=0,0,AO27/$C27)</f>
        <v/>
      </c>
      <c r="AQ27" s="36" t="n"/>
      <c r="AR27" s="19">
        <f>AO27+AQ27</f>
        <v/>
      </c>
      <c r="AS27" s="35">
        <f>IF($C27=0,0,AR27/$C27)</f>
        <v/>
      </c>
      <c r="AT27" s="36" t="n"/>
      <c r="AU27" s="19">
        <f>AR27+AT27</f>
        <v/>
      </c>
      <c r="AV27" s="35">
        <f>IF($C27=0,0,AU27/$C27)</f>
        <v/>
      </c>
      <c r="AW27" s="36" t="n"/>
      <c r="AX27" s="19">
        <f>AU27+AW27</f>
        <v/>
      </c>
      <c r="AY27" s="35">
        <f>IF($C27=0,0,AX27/$C27)</f>
        <v/>
      </c>
      <c r="AZ27" s="36" t="n"/>
      <c r="BA27" s="19">
        <f>AX27+AZ27</f>
        <v/>
      </c>
      <c r="BB27" s="35">
        <f>IF($C27=0,0,BA27/$C27)</f>
        <v/>
      </c>
      <c r="BC27" s="36" t="n"/>
      <c r="BD27" s="19">
        <f>BA27+BC27</f>
        <v/>
      </c>
      <c r="BE27" s="35">
        <f>IF($C27=0,0,BD27/$C27)</f>
        <v/>
      </c>
      <c r="BF27" s="36" t="n"/>
      <c r="BG27" s="19">
        <f>BD27+BF27</f>
        <v/>
      </c>
      <c r="BH27" s="35">
        <f>IF($C27=0,0,BG27/$C27)</f>
        <v/>
      </c>
      <c r="BI27" s="36" t="n"/>
      <c r="BJ27" s="19">
        <f>BG27+BI27</f>
        <v/>
      </c>
      <c r="BK27" s="35">
        <f>IF($C27=0,0,BJ27/$C27)</f>
        <v/>
      </c>
      <c r="BL27" s="36" t="n"/>
      <c r="BM27" s="19">
        <f>BJ27+BL27</f>
        <v/>
      </c>
      <c r="BN27" s="35">
        <f>IF($C27=0,0,BM27/$C27)</f>
        <v/>
      </c>
      <c r="BO27" s="36" t="n"/>
      <c r="BP27" s="19">
        <f>BM27+BO27</f>
        <v/>
      </c>
      <c r="BQ27" s="35">
        <f>IF($C27=0,0,BP27/$C27)</f>
        <v/>
      </c>
      <c r="BR27" s="36" t="n"/>
      <c r="BS27" s="19">
        <f>BP27+BR27</f>
        <v/>
      </c>
      <c r="BT27" s="35">
        <f>IF($C27=0,0,BS27/$C27)</f>
        <v/>
      </c>
    </row>
    <row r="28">
      <c r="A28" s="15" t="inlineStr">
        <is>
          <t>c)-3</t>
        </is>
      </c>
      <c r="B28" s="16" t="inlineStr">
        <is>
          <t>空気調和設備工事</t>
        </is>
      </c>
      <c r="C28" s="34">
        <f>'金額リスト'!C29</f>
        <v/>
      </c>
      <c r="D28" s="19">
        <f>BS28</f>
        <v/>
      </c>
      <c r="E28" s="19">
        <f>C28-D28</f>
        <v/>
      </c>
      <c r="F28" s="35">
        <f>IF(C28=0,0,D28/C28)</f>
        <v/>
      </c>
      <c r="G28" s="36" t="n"/>
      <c r="H28" s="19">
        <f>G28</f>
        <v/>
      </c>
      <c r="I28" s="35">
        <f>IF($C28=0,0,H28/$C28)</f>
        <v/>
      </c>
      <c r="J28" s="36" t="n"/>
      <c r="K28" s="19">
        <f>H28+J28</f>
        <v/>
      </c>
      <c r="L28" s="35">
        <f>IF($C28=0,0,K28/$C28)</f>
        <v/>
      </c>
      <c r="M28" s="36" t="n"/>
      <c r="N28" s="19">
        <f>K28+M28</f>
        <v/>
      </c>
      <c r="O28" s="35">
        <f>IF($C28=0,0,N28/$C28)</f>
        <v/>
      </c>
      <c r="P28" s="36" t="n"/>
      <c r="Q28" s="19">
        <f>N28+P28</f>
        <v/>
      </c>
      <c r="R28" s="35">
        <f>IF($C28=0,0,Q28/$C28)</f>
        <v/>
      </c>
      <c r="S28" s="36" t="n"/>
      <c r="T28" s="19">
        <f>Q28+S28</f>
        <v/>
      </c>
      <c r="U28" s="35">
        <f>IF($C28=0,0,T28/$C28)</f>
        <v/>
      </c>
      <c r="V28" s="36" t="n"/>
      <c r="W28" s="19">
        <f>T28+V28</f>
        <v/>
      </c>
      <c r="X28" s="35">
        <f>IF($C28=0,0,W28/$C28)</f>
        <v/>
      </c>
      <c r="Y28" s="36" t="n"/>
      <c r="Z28" s="19">
        <f>W28+Y28</f>
        <v/>
      </c>
      <c r="AA28" s="35">
        <f>IF($C28=0,0,Z28/$C28)</f>
        <v/>
      </c>
      <c r="AB28" s="36" t="n"/>
      <c r="AC28" s="19">
        <f>Z28+AB28</f>
        <v/>
      </c>
      <c r="AD28" s="35">
        <f>IF($C28=0,0,AC28/$C28)</f>
        <v/>
      </c>
      <c r="AE28" s="36" t="n"/>
      <c r="AF28" s="19">
        <f>AC28+AE28</f>
        <v/>
      </c>
      <c r="AG28" s="35">
        <f>IF($C28=0,0,AF28/$C28)</f>
        <v/>
      </c>
      <c r="AH28" s="36" t="n"/>
      <c r="AI28" s="19">
        <f>AF28+AH28</f>
        <v/>
      </c>
      <c r="AJ28" s="35">
        <f>IF($C28=0,0,AI28/$C28)</f>
        <v/>
      </c>
      <c r="AK28" s="36" t="n"/>
      <c r="AL28" s="19">
        <f>AI28+AK28</f>
        <v/>
      </c>
      <c r="AM28" s="35">
        <f>IF($C28=0,0,AL28/$C28)</f>
        <v/>
      </c>
      <c r="AN28" s="36" t="n"/>
      <c r="AO28" s="19">
        <f>AL28+AN28</f>
        <v/>
      </c>
      <c r="AP28" s="35">
        <f>IF($C28=0,0,AO28/$C28)</f>
        <v/>
      </c>
      <c r="AQ28" s="36" t="n"/>
      <c r="AR28" s="19">
        <f>AO28+AQ28</f>
        <v/>
      </c>
      <c r="AS28" s="35">
        <f>IF($C28=0,0,AR28/$C28)</f>
        <v/>
      </c>
      <c r="AT28" s="36" t="n"/>
      <c r="AU28" s="19">
        <f>AR28+AT28</f>
        <v/>
      </c>
      <c r="AV28" s="35">
        <f>IF($C28=0,0,AU28/$C28)</f>
        <v/>
      </c>
      <c r="AW28" s="36" t="n"/>
      <c r="AX28" s="19">
        <f>AU28+AW28</f>
        <v/>
      </c>
      <c r="AY28" s="35">
        <f>IF($C28=0,0,AX28/$C28)</f>
        <v/>
      </c>
      <c r="AZ28" s="36" t="n"/>
      <c r="BA28" s="19">
        <f>AX28+AZ28</f>
        <v/>
      </c>
      <c r="BB28" s="35">
        <f>IF($C28=0,0,BA28/$C28)</f>
        <v/>
      </c>
      <c r="BC28" s="36" t="n"/>
      <c r="BD28" s="19">
        <f>BA28+BC28</f>
        <v/>
      </c>
      <c r="BE28" s="35">
        <f>IF($C28=0,0,BD28/$C28)</f>
        <v/>
      </c>
      <c r="BF28" s="36" t="n"/>
      <c r="BG28" s="19">
        <f>BD28+BF28</f>
        <v/>
      </c>
      <c r="BH28" s="35">
        <f>IF($C28=0,0,BG28/$C28)</f>
        <v/>
      </c>
      <c r="BI28" s="36" t="n"/>
      <c r="BJ28" s="19">
        <f>BG28+BI28</f>
        <v/>
      </c>
      <c r="BK28" s="35">
        <f>IF($C28=0,0,BJ28/$C28)</f>
        <v/>
      </c>
      <c r="BL28" s="36" t="n"/>
      <c r="BM28" s="19">
        <f>BJ28+BL28</f>
        <v/>
      </c>
      <c r="BN28" s="35">
        <f>IF($C28=0,0,BM28/$C28)</f>
        <v/>
      </c>
      <c r="BO28" s="36" t="n"/>
      <c r="BP28" s="19">
        <f>BM28+BO28</f>
        <v/>
      </c>
      <c r="BQ28" s="35">
        <f>IF($C28=0,0,BP28/$C28)</f>
        <v/>
      </c>
      <c r="BR28" s="36" t="n"/>
      <c r="BS28" s="19">
        <f>BP28+BR28</f>
        <v/>
      </c>
      <c r="BT28" s="35">
        <f>IF($C28=0,0,BS28/$C28)</f>
        <v/>
      </c>
    </row>
    <row r="29">
      <c r="A29" s="15" t="inlineStr">
        <is>
          <t>c)-4</t>
        </is>
      </c>
      <c r="B29" s="16" t="inlineStr">
        <is>
          <t>衛生設備工事</t>
        </is>
      </c>
      <c r="C29" s="34">
        <f>'金額リスト'!C30</f>
        <v/>
      </c>
      <c r="D29" s="19">
        <f>BS29</f>
        <v/>
      </c>
      <c r="E29" s="19">
        <f>C29-D29</f>
        <v/>
      </c>
      <c r="F29" s="35">
        <f>IF(C29=0,0,D29/C29)</f>
        <v/>
      </c>
      <c r="G29" s="36" t="n"/>
      <c r="H29" s="19">
        <f>G29</f>
        <v/>
      </c>
      <c r="I29" s="35">
        <f>IF($C29=0,0,H29/$C29)</f>
        <v/>
      </c>
      <c r="J29" s="36" t="n"/>
      <c r="K29" s="19">
        <f>H29+J29</f>
        <v/>
      </c>
      <c r="L29" s="35">
        <f>IF($C29=0,0,K29/$C29)</f>
        <v/>
      </c>
      <c r="M29" s="36" t="n"/>
      <c r="N29" s="19">
        <f>K29+M29</f>
        <v/>
      </c>
      <c r="O29" s="35">
        <f>IF($C29=0,0,N29/$C29)</f>
        <v/>
      </c>
      <c r="P29" s="36" t="n"/>
      <c r="Q29" s="19">
        <f>N29+P29</f>
        <v/>
      </c>
      <c r="R29" s="35">
        <f>IF($C29=0,0,Q29/$C29)</f>
        <v/>
      </c>
      <c r="S29" s="36" t="n"/>
      <c r="T29" s="19">
        <f>Q29+S29</f>
        <v/>
      </c>
      <c r="U29" s="35">
        <f>IF($C29=0,0,T29/$C29)</f>
        <v/>
      </c>
      <c r="V29" s="36" t="n"/>
      <c r="W29" s="19">
        <f>T29+V29</f>
        <v/>
      </c>
      <c r="X29" s="35">
        <f>IF($C29=0,0,W29/$C29)</f>
        <v/>
      </c>
      <c r="Y29" s="36" t="n"/>
      <c r="Z29" s="19">
        <f>W29+Y29</f>
        <v/>
      </c>
      <c r="AA29" s="35">
        <f>IF($C29=0,0,Z29/$C29)</f>
        <v/>
      </c>
      <c r="AB29" s="36" t="n"/>
      <c r="AC29" s="19">
        <f>Z29+AB29</f>
        <v/>
      </c>
      <c r="AD29" s="35">
        <f>IF($C29=0,0,AC29/$C29)</f>
        <v/>
      </c>
      <c r="AE29" s="36" t="n"/>
      <c r="AF29" s="19">
        <f>AC29+AE29</f>
        <v/>
      </c>
      <c r="AG29" s="35">
        <f>IF($C29=0,0,AF29/$C29)</f>
        <v/>
      </c>
      <c r="AH29" s="36" t="n"/>
      <c r="AI29" s="19">
        <f>AF29+AH29</f>
        <v/>
      </c>
      <c r="AJ29" s="35">
        <f>IF($C29=0,0,AI29/$C29)</f>
        <v/>
      </c>
      <c r="AK29" s="36" t="n"/>
      <c r="AL29" s="19">
        <f>AI29+AK29</f>
        <v/>
      </c>
      <c r="AM29" s="35">
        <f>IF($C29=0,0,AL29/$C29)</f>
        <v/>
      </c>
      <c r="AN29" s="36" t="n"/>
      <c r="AO29" s="19">
        <f>AL29+AN29</f>
        <v/>
      </c>
      <c r="AP29" s="35">
        <f>IF($C29=0,0,AO29/$C29)</f>
        <v/>
      </c>
      <c r="AQ29" s="36" t="n"/>
      <c r="AR29" s="19">
        <f>AO29+AQ29</f>
        <v/>
      </c>
      <c r="AS29" s="35">
        <f>IF($C29=0,0,AR29/$C29)</f>
        <v/>
      </c>
      <c r="AT29" s="36" t="n"/>
      <c r="AU29" s="19">
        <f>AR29+AT29</f>
        <v/>
      </c>
      <c r="AV29" s="35">
        <f>IF($C29=0,0,AU29/$C29)</f>
        <v/>
      </c>
      <c r="AW29" s="36" t="n"/>
      <c r="AX29" s="19">
        <f>AU29+AW29</f>
        <v/>
      </c>
      <c r="AY29" s="35">
        <f>IF($C29=0,0,AX29/$C29)</f>
        <v/>
      </c>
      <c r="AZ29" s="36" t="n"/>
      <c r="BA29" s="19">
        <f>AX29+AZ29</f>
        <v/>
      </c>
      <c r="BB29" s="35">
        <f>IF($C29=0,0,BA29/$C29)</f>
        <v/>
      </c>
      <c r="BC29" s="36" t="n"/>
      <c r="BD29" s="19">
        <f>BA29+BC29</f>
        <v/>
      </c>
      <c r="BE29" s="35">
        <f>IF($C29=0,0,BD29/$C29)</f>
        <v/>
      </c>
      <c r="BF29" s="36" t="n"/>
      <c r="BG29" s="19">
        <f>BD29+BF29</f>
        <v/>
      </c>
      <c r="BH29" s="35">
        <f>IF($C29=0,0,BG29/$C29)</f>
        <v/>
      </c>
      <c r="BI29" s="36" t="n"/>
      <c r="BJ29" s="19">
        <f>BG29+BI29</f>
        <v/>
      </c>
      <c r="BK29" s="35">
        <f>IF($C29=0,0,BJ29/$C29)</f>
        <v/>
      </c>
      <c r="BL29" s="36" t="n"/>
      <c r="BM29" s="19">
        <f>BJ29+BL29</f>
        <v/>
      </c>
      <c r="BN29" s="35">
        <f>IF($C29=0,0,BM29/$C29)</f>
        <v/>
      </c>
      <c r="BO29" s="36" t="n"/>
      <c r="BP29" s="19">
        <f>BM29+BO29</f>
        <v/>
      </c>
      <c r="BQ29" s="35">
        <f>IF($C29=0,0,BP29/$C29)</f>
        <v/>
      </c>
      <c r="BR29" s="36" t="n"/>
      <c r="BS29" s="19">
        <f>BP29+BR29</f>
        <v/>
      </c>
      <c r="BT29" s="35">
        <f>IF($C29=0,0,BS29/$C29)</f>
        <v/>
      </c>
    </row>
    <row r="30">
      <c r="A30" s="6" t="inlineStr">
        <is>
          <t>d)</t>
        </is>
      </c>
      <c r="B30" s="7" t="inlineStr">
        <is>
          <t>諸経費</t>
        </is>
      </c>
      <c r="C30" s="30">
        <f>'金額リスト'!C31</f>
        <v/>
      </c>
      <c r="D30" s="10">
        <f>BS30</f>
        <v/>
      </c>
      <c r="E30" s="10">
        <f>C30-D30</f>
        <v/>
      </c>
      <c r="F30" s="31">
        <f>IF(C30=0,0,D30/C30)</f>
        <v/>
      </c>
      <c r="G30" s="32" t="n"/>
      <c r="H30" s="10">
        <f>G30</f>
        <v/>
      </c>
      <c r="I30" s="31">
        <f>IF($C30=0,0,H30/$C30)</f>
        <v/>
      </c>
      <c r="J30" s="32" t="n"/>
      <c r="K30" s="10">
        <f>H30+J30</f>
        <v/>
      </c>
      <c r="L30" s="31">
        <f>IF($C30=0,0,K30/$C30)</f>
        <v/>
      </c>
      <c r="M30" s="32" t="n"/>
      <c r="N30" s="10">
        <f>K30+M30</f>
        <v/>
      </c>
      <c r="O30" s="31">
        <f>IF($C30=0,0,N30/$C30)</f>
        <v/>
      </c>
      <c r="P30" s="32" t="n"/>
      <c r="Q30" s="10">
        <f>N30+P30</f>
        <v/>
      </c>
      <c r="R30" s="31">
        <f>IF($C30=0,0,Q30/$C30)</f>
        <v/>
      </c>
      <c r="S30" s="32" t="n"/>
      <c r="T30" s="10">
        <f>Q30+S30</f>
        <v/>
      </c>
      <c r="U30" s="31">
        <f>IF($C30=0,0,T30/$C30)</f>
        <v/>
      </c>
      <c r="V30" s="32" t="n"/>
      <c r="W30" s="10">
        <f>T30+V30</f>
        <v/>
      </c>
      <c r="X30" s="31">
        <f>IF($C30=0,0,W30/$C30)</f>
        <v/>
      </c>
      <c r="Y30" s="32" t="n"/>
      <c r="Z30" s="10">
        <f>W30+Y30</f>
        <v/>
      </c>
      <c r="AA30" s="31">
        <f>IF($C30=0,0,Z30/$C30)</f>
        <v/>
      </c>
      <c r="AB30" s="32" t="n"/>
      <c r="AC30" s="10">
        <f>Z30+AB30</f>
        <v/>
      </c>
      <c r="AD30" s="31">
        <f>IF($C30=0,0,AC30/$C30)</f>
        <v/>
      </c>
      <c r="AE30" s="32" t="n"/>
      <c r="AF30" s="10">
        <f>AC30+AE30</f>
        <v/>
      </c>
      <c r="AG30" s="31">
        <f>IF($C30=0,0,AF30/$C30)</f>
        <v/>
      </c>
      <c r="AH30" s="32" t="n"/>
      <c r="AI30" s="10">
        <f>AF30+AH30</f>
        <v/>
      </c>
      <c r="AJ30" s="31">
        <f>IF($C30=0,0,AI30/$C30)</f>
        <v/>
      </c>
      <c r="AK30" s="32" t="n"/>
      <c r="AL30" s="10">
        <f>AI30+AK30</f>
        <v/>
      </c>
      <c r="AM30" s="31">
        <f>IF($C30=0,0,AL30/$C30)</f>
        <v/>
      </c>
      <c r="AN30" s="32" t="n"/>
      <c r="AO30" s="10">
        <f>AL30+AN30</f>
        <v/>
      </c>
      <c r="AP30" s="31">
        <f>IF($C30=0,0,AO30/$C30)</f>
        <v/>
      </c>
      <c r="AQ30" s="32" t="n"/>
      <c r="AR30" s="10">
        <f>AO30+AQ30</f>
        <v/>
      </c>
      <c r="AS30" s="31">
        <f>IF($C30=0,0,AR30/$C30)</f>
        <v/>
      </c>
      <c r="AT30" s="32" t="n"/>
      <c r="AU30" s="10">
        <f>AR30+AT30</f>
        <v/>
      </c>
      <c r="AV30" s="31">
        <f>IF($C30=0,0,AU30/$C30)</f>
        <v/>
      </c>
      <c r="AW30" s="32" t="n"/>
      <c r="AX30" s="10">
        <f>AU30+AW30</f>
        <v/>
      </c>
      <c r="AY30" s="31">
        <f>IF($C30=0,0,AX30/$C30)</f>
        <v/>
      </c>
      <c r="AZ30" s="32" t="n"/>
      <c r="BA30" s="10">
        <f>AX30+AZ30</f>
        <v/>
      </c>
      <c r="BB30" s="31">
        <f>IF($C30=0,0,BA30/$C30)</f>
        <v/>
      </c>
      <c r="BC30" s="32" t="n"/>
      <c r="BD30" s="10">
        <f>BA30+BC30</f>
        <v/>
      </c>
      <c r="BE30" s="31">
        <f>IF($C30=0,0,BD30/$C30)</f>
        <v/>
      </c>
      <c r="BF30" s="32" t="n"/>
      <c r="BG30" s="10">
        <f>BD30+BF30</f>
        <v/>
      </c>
      <c r="BH30" s="31">
        <f>IF($C30=0,0,BG30/$C30)</f>
        <v/>
      </c>
      <c r="BI30" s="32" t="n"/>
      <c r="BJ30" s="10">
        <f>BG30+BI30</f>
        <v/>
      </c>
      <c r="BK30" s="31">
        <f>IF($C30=0,0,BJ30/$C30)</f>
        <v/>
      </c>
      <c r="BL30" s="32" t="n"/>
      <c r="BM30" s="10">
        <f>BJ30+BL30</f>
        <v/>
      </c>
      <c r="BN30" s="31">
        <f>IF($C30=0,0,BM30/$C30)</f>
        <v/>
      </c>
      <c r="BO30" s="32" t="n"/>
      <c r="BP30" s="10">
        <f>BM30+BO30</f>
        <v/>
      </c>
      <c r="BQ30" s="31">
        <f>IF($C30=0,0,BP30/$C30)</f>
        <v/>
      </c>
      <c r="BR30" s="32" t="n"/>
      <c r="BS30" s="10">
        <f>BP30+BR30</f>
        <v/>
      </c>
      <c r="BT30" s="31">
        <f>IF($C30=0,0,BS30/$C30)</f>
        <v/>
      </c>
    </row>
    <row r="32">
      <c r="B32" s="2" t="inlineStr">
        <is>
          <t>出典：週区分は工程表（2026年5月19日作成）の工期 11月～3月に基づく月曜～日曜。契約金額は金額リスト（見積書）より。</t>
        </is>
      </c>
    </row>
  </sheetData>
  <mergeCells count="28">
    <mergeCell ref="C4:C5"/>
    <mergeCell ref="E4:E5"/>
    <mergeCell ref="J4:L4"/>
    <mergeCell ref="AT4:AV4"/>
    <mergeCell ref="AZ4:BB4"/>
    <mergeCell ref="BL4:BN4"/>
    <mergeCell ref="BF4:BH4"/>
    <mergeCell ref="D4:D5"/>
    <mergeCell ref="G4:I4"/>
    <mergeCell ref="BR4:BT4"/>
    <mergeCell ref="AQ4:AS4"/>
    <mergeCell ref="BI4:BK4"/>
    <mergeCell ref="BC4:BE4"/>
    <mergeCell ref="A4:A5"/>
    <mergeCell ref="M4:O4"/>
    <mergeCell ref="S4:U4"/>
    <mergeCell ref="Y4:AA4"/>
    <mergeCell ref="AE4:AG4"/>
    <mergeCell ref="P4:R4"/>
    <mergeCell ref="BO4:BQ4"/>
    <mergeCell ref="B4:B5"/>
    <mergeCell ref="F4:F5"/>
    <mergeCell ref="AK4:AM4"/>
    <mergeCell ref="V4:X4"/>
    <mergeCell ref="AB4:AD4"/>
    <mergeCell ref="AW4:AY4"/>
    <mergeCell ref="AH4:AJ4"/>
    <mergeCell ref="AN4:AP4"/>
  </mergeCells>
  <conditionalFormatting sqref="F6:F30">
    <cfRule type="cellIs" priority="1" operator="greaterThan" dxfId="0">
      <formula>1.0001</formula>
    </cfRule>
  </conditionalFormatting>
  <conditionalFormatting sqref="I6:I30">
    <cfRule type="cellIs" priority="2" operator="greaterThan" dxfId="0">
      <formula>1.0001</formula>
    </cfRule>
  </conditionalFormatting>
  <conditionalFormatting sqref="L6:L30">
    <cfRule type="cellIs" priority="3" operator="greaterThan" dxfId="0">
      <formula>1.0001</formula>
    </cfRule>
  </conditionalFormatting>
  <conditionalFormatting sqref="O6:O30">
    <cfRule type="cellIs" priority="4" operator="greaterThan" dxfId="0">
      <formula>1.0001</formula>
    </cfRule>
  </conditionalFormatting>
  <conditionalFormatting sqref="R6:R30">
    <cfRule type="cellIs" priority="5" operator="greaterThan" dxfId="0">
      <formula>1.0001</formula>
    </cfRule>
  </conditionalFormatting>
  <conditionalFormatting sqref="U6:U30">
    <cfRule type="cellIs" priority="6" operator="greaterThan" dxfId="0">
      <formula>1.0001</formula>
    </cfRule>
  </conditionalFormatting>
  <conditionalFormatting sqref="X6:X30">
    <cfRule type="cellIs" priority="7" operator="greaterThan" dxfId="0">
      <formula>1.0001</formula>
    </cfRule>
  </conditionalFormatting>
  <conditionalFormatting sqref="AA6:AA30">
    <cfRule type="cellIs" priority="8" operator="greaterThan" dxfId="0">
      <formula>1.0001</formula>
    </cfRule>
  </conditionalFormatting>
  <conditionalFormatting sqref="AD6:AD30">
    <cfRule type="cellIs" priority="9" operator="greaterThan" dxfId="0">
      <formula>1.0001</formula>
    </cfRule>
  </conditionalFormatting>
  <conditionalFormatting sqref="AG6:AG30">
    <cfRule type="cellIs" priority="10" operator="greaterThan" dxfId="0">
      <formula>1.0001</formula>
    </cfRule>
  </conditionalFormatting>
  <conditionalFormatting sqref="AJ6:AJ30">
    <cfRule type="cellIs" priority="11" operator="greaterThan" dxfId="0">
      <formula>1.0001</formula>
    </cfRule>
  </conditionalFormatting>
  <conditionalFormatting sqref="AM6:AM30">
    <cfRule type="cellIs" priority="12" operator="greaterThan" dxfId="0">
      <formula>1.0001</formula>
    </cfRule>
  </conditionalFormatting>
  <conditionalFormatting sqref="AP6:AP30">
    <cfRule type="cellIs" priority="13" operator="greaterThan" dxfId="0">
      <formula>1.0001</formula>
    </cfRule>
  </conditionalFormatting>
  <conditionalFormatting sqref="AS6:AS30">
    <cfRule type="cellIs" priority="14" operator="greaterThan" dxfId="0">
      <formula>1.0001</formula>
    </cfRule>
  </conditionalFormatting>
  <conditionalFormatting sqref="AV6:AV30">
    <cfRule type="cellIs" priority="15" operator="greaterThan" dxfId="0">
      <formula>1.0001</formula>
    </cfRule>
  </conditionalFormatting>
  <conditionalFormatting sqref="AY6:AY30">
    <cfRule type="cellIs" priority="16" operator="greaterThan" dxfId="0">
      <formula>1.0001</formula>
    </cfRule>
  </conditionalFormatting>
  <conditionalFormatting sqref="BB6:BB30">
    <cfRule type="cellIs" priority="17" operator="greaterThan" dxfId="0">
      <formula>1.0001</formula>
    </cfRule>
  </conditionalFormatting>
  <conditionalFormatting sqref="BE6:BE30">
    <cfRule type="cellIs" priority="18" operator="greaterThan" dxfId="0">
      <formula>1.0001</formula>
    </cfRule>
  </conditionalFormatting>
  <conditionalFormatting sqref="BH6:BH30">
    <cfRule type="cellIs" priority="19" operator="greaterThan" dxfId="0">
      <formula>1.0001</formula>
    </cfRule>
  </conditionalFormatting>
  <conditionalFormatting sqref="BK6:BK30">
    <cfRule type="cellIs" priority="20" operator="greaterThan" dxfId="0">
      <formula>1.0001</formula>
    </cfRule>
  </conditionalFormatting>
  <conditionalFormatting sqref="BN6:BN30">
    <cfRule type="cellIs" priority="21" operator="greaterThan" dxfId="0">
      <formula>1.0001</formula>
    </cfRule>
  </conditionalFormatting>
  <conditionalFormatting sqref="BQ6:BQ30">
    <cfRule type="cellIs" priority="22" operator="greaterThan" dxfId="0">
      <formula>1.0001</formula>
    </cfRule>
  </conditionalFormatting>
  <conditionalFormatting sqref="BT6:BT30">
    <cfRule type="cellIs" priority="23" operator="greaterThan" dxfId="0">
      <formula>1.0001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2026-09-27T07:35:12Z</dcterms:created>
  <dcterms:modified xsi:type="dcterms:W3CDTF">2026-09-27T07:35:12Z</dcterms:modified>
</cp:coreProperties>
</file>