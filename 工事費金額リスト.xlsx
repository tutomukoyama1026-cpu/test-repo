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使い方" sheetId="1" state="visible" r:id="rId1"/>
    <sheet name="金額リスト" sheetId="2" state="visible" r:id="rId2"/>
    <sheet name="週間出来高" sheetId="3" state="visible" r:id="rId3"/>
    <sheet name="月別出来高" sheetId="4" state="visible" r:id="rId4"/>
    <sheet name="出来高曲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▲#,##0;&quot;-&quot;"/>
    <numFmt numFmtId="165" formatCode="0&quot;月&quot;"/>
    <numFmt numFmtId="166" formatCode="0.0%;▲0.0%;"/>
  </numFmts>
  <fonts count="15">
    <font>
      <name val="Calibri"/>
      <family val="2"/>
      <color theme="1"/>
      <sz val="11"/>
      <scheme val="minor"/>
    </font>
    <font>
      <name val="ＭＳ ゴシック"/>
      <b val="1"/>
      <sz val="14"/>
    </font>
    <font>
      <name val="ＭＳ ゴシック"/>
      <color rgb="00595959"/>
      <sz val="10"/>
    </font>
    <font>
      <name val="ＭＳ ゴシック"/>
      <b val="1"/>
      <sz val="10"/>
    </font>
    <font>
      <name val="ＭＳ ゴシック"/>
      <color rgb="000000FF"/>
      <sz val="10"/>
    </font>
    <font>
      <name val="ＭＳ ゴシック"/>
      <b val="1"/>
      <color rgb="000000FF"/>
      <sz val="10"/>
    </font>
    <font>
      <name val="ＭＳ ゴシック"/>
      <sz val="10"/>
    </font>
    <font>
      <name val="ＭＳ ゴシック"/>
      <b val="1"/>
      <color rgb="00C00000"/>
      <sz val="10"/>
    </font>
    <font>
      <name val="ＭＳ ゴシック"/>
      <b val="1"/>
      <color rgb="00000000"/>
      <sz val="10"/>
    </font>
    <font>
      <name val="ＭＳ ゴシック"/>
      <b val="1"/>
      <color rgb="00008000"/>
      <sz val="10"/>
    </font>
    <font>
      <name val="ＭＳ ゴシック"/>
      <color rgb="00000000"/>
      <sz val="10"/>
    </font>
    <font>
      <name val="ＭＳ ゴシック"/>
      <color rgb="00008000"/>
      <sz val="10"/>
    </font>
    <font>
      <name val="ＭＳ ゴシック"/>
      <b val="1"/>
      <color rgb="00595959"/>
      <sz val="10"/>
    </font>
    <font>
      <name val="ＭＳ ゴシック"/>
      <sz val="11"/>
    </font>
    <font>
      <name val="ＭＳ ゴシック"/>
      <b val="1"/>
      <color rgb="00FF0000"/>
      <sz val="1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medium">
        <color rgb="00404040"/>
      </top>
      <bottom style="thin">
        <color rgb="00999999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pivotButton="0" quotePrefix="0" xfId="0"/>
    <xf numFmtId="164" fontId="3" fillId="3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indent="1"/>
    </xf>
    <xf numFmtId="164" fontId="5" fillId="4" borderId="1" pivotButton="0" quotePrefix="0" xfId="0"/>
    <xf numFmtId="164" fontId="4" fillId="4" borderId="1" pivotButton="0" quotePrefix="0" xfId="0"/>
    <xf numFmtId="164" fontId="3" fillId="4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indent="2"/>
    </xf>
    <xf numFmtId="164" fontId="4" fillId="5" borderId="1" pivotButton="0" quotePrefix="0" xfId="0"/>
    <xf numFmtId="164" fontId="6" fillId="5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indent="3"/>
    </xf>
    <xf numFmtId="164" fontId="4" fillId="0" borderId="1" pivotButton="0" quotePrefix="0" xfId="0"/>
    <xf numFmtId="164" fontId="0" fillId="0" borderId="1" pivotButton="0" quotePrefix="0" xfId="0"/>
    <xf numFmtId="164" fontId="6" fillId="0" borderId="1" pivotButton="0" quotePrefix="0" xfId="0"/>
    <xf numFmtId="164" fontId="4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vertical="center"/>
    </xf>
    <xf numFmtId="0" fontId="2" fillId="3" borderId="2" pivotButton="0" quotePrefix="0" xfId="0"/>
    <xf numFmtId="164" fontId="8" fillId="3" borderId="2" applyAlignment="1" pivotButton="0" quotePrefix="0" xfId="0">
      <alignment vertical="center"/>
    </xf>
    <xf numFmtId="166" fontId="8" fillId="3" borderId="2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3" borderId="1" applyAlignment="1" pivotButton="0" quotePrefix="0" xfId="0">
      <alignment vertical="center"/>
    </xf>
    <xf numFmtId="0" fontId="2" fillId="3" borderId="1" pivotButton="0" quotePrefix="0" xfId="0"/>
    <xf numFmtId="164" fontId="8" fillId="3" borderId="1" applyAlignment="1" pivotButton="0" quotePrefix="0" xfId="0">
      <alignment vertical="center"/>
    </xf>
    <xf numFmtId="166" fontId="8" fillId="3" borderId="1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166" fontId="8" fillId="0" borderId="1" pivotButton="0" quotePrefix="0" xfId="0"/>
    <xf numFmtId="164" fontId="8" fillId="0" borderId="1" pivotButton="0" quotePrefix="0" xfId="0"/>
    <xf numFmtId="0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 indent="1"/>
    </xf>
    <xf numFmtId="0" fontId="2" fillId="4" borderId="2" pivotButton="0" quotePrefix="0" xfId="0"/>
    <xf numFmtId="164" fontId="9" fillId="4" borderId="2" applyAlignment="1" pivotButton="0" quotePrefix="0" xfId="0">
      <alignment vertical="center"/>
    </xf>
    <xf numFmtId="166" fontId="8" fillId="4" borderId="2" applyAlignment="1" pivotButton="0" quotePrefix="0" xfId="0">
      <alignment vertical="center"/>
    </xf>
    <xf numFmtId="0" fontId="8" fillId="4" borderId="2" applyAlignment="1" pivotButton="0" quotePrefix="0" xfId="0">
      <alignment horizontal="center" vertical="center"/>
    </xf>
    <xf numFmtId="0" fontId="8" fillId="6" borderId="2" applyAlignment="1" applyProtection="1" pivotButton="0" quotePrefix="0" xfId="0">
      <alignment horizontal="center"/>
      <protection locked="0" hidden="0"/>
    </xf>
    <xf numFmtId="0" fontId="8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 indent="1"/>
    </xf>
    <xf numFmtId="0" fontId="2" fillId="4" borderId="1" pivotButton="0" quotePrefix="0" xfId="0"/>
    <xf numFmtId="164" fontId="9" fillId="4" borderId="1" applyAlignment="1" pivotButton="0" quotePrefix="0" xfId="0">
      <alignment vertical="center"/>
    </xf>
    <xf numFmtId="166" fontId="8" fillId="4" borderId="1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/>
    </xf>
    <xf numFmtId="164" fontId="8" fillId="4" borderId="2" applyAlignment="1" pivotButton="0" quotePrefix="0" xfId="0">
      <alignment vertical="center"/>
    </xf>
    <xf numFmtId="164" fontId="8" fillId="4" borderId="1" applyAlignment="1" pivotButton="0" quotePrefix="0" xfId="0">
      <alignment vertical="center"/>
    </xf>
    <xf numFmtId="0" fontId="10" fillId="5" borderId="2" applyAlignment="1" pivotButton="0" quotePrefix="0" xfId="0">
      <alignment vertical="center"/>
    </xf>
    <xf numFmtId="0" fontId="10" fillId="5" borderId="2" applyAlignment="1" pivotButton="0" quotePrefix="0" xfId="0">
      <alignment vertical="center" indent="2"/>
    </xf>
    <xf numFmtId="0" fontId="2" fillId="5" borderId="2" pivotButton="0" quotePrefix="0" xfId="0"/>
    <xf numFmtId="164" fontId="11" fillId="5" borderId="2" applyAlignment="1" pivotButton="0" quotePrefix="0" xfId="0">
      <alignment vertical="center"/>
    </xf>
    <xf numFmtId="166" fontId="10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10" fillId="6" borderId="2" applyAlignment="1" applyProtection="1" pivotButton="0" quotePrefix="0" xfId="0">
      <alignment horizontal="center"/>
      <protection locked="0" hidden="0"/>
    </xf>
    <xf numFmtId="0" fontId="10" fillId="5" borderId="1" applyAlignment="1" pivotButton="0" quotePrefix="0" xfId="0">
      <alignment vertical="center"/>
    </xf>
    <xf numFmtId="0" fontId="10" fillId="5" borderId="1" applyAlignment="1" pivotButton="0" quotePrefix="0" xfId="0">
      <alignment vertical="center" indent="2"/>
    </xf>
    <xf numFmtId="0" fontId="2" fillId="5" borderId="1" pivotButton="0" quotePrefix="0" xfId="0"/>
    <xf numFmtId="164" fontId="11" fillId="5" borderId="1" applyAlignment="1" pivotButton="0" quotePrefix="0" xfId="0">
      <alignment vertical="center"/>
    </xf>
    <xf numFmtId="166" fontId="10" fillId="5" borderId="1" applyAlignment="1" pivotButton="0" quotePrefix="0" xfId="0">
      <alignment vertical="center"/>
    </xf>
    <xf numFmtId="0" fontId="10" fillId="5" borderId="1" applyAlignment="1" pivotButton="0" quotePrefix="0" xfId="0">
      <alignment horizontal="center" vertical="center"/>
    </xf>
    <xf numFmtId="166" fontId="10" fillId="0" borderId="1" pivotButton="0" quotePrefix="0" xfId="0"/>
    <xf numFmtId="164" fontId="10" fillId="0" borderId="1" pivotButton="0" quotePrefix="0" xfId="0"/>
    <xf numFmtId="164" fontId="10" fillId="5" borderId="2" applyAlignment="1" pivotButton="0" quotePrefix="0" xfId="0">
      <alignment vertical="center"/>
    </xf>
    <xf numFmtId="0" fontId="10" fillId="0" borderId="2" applyAlignment="1" pivotButton="0" quotePrefix="0" xfId="0">
      <alignment horizontal="center"/>
    </xf>
    <xf numFmtId="164" fontId="10" fillId="5" borderId="1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vertical="center" indent="3"/>
    </xf>
    <xf numFmtId="0" fontId="2" fillId="0" borderId="2" pivotButton="0" quotePrefix="0" xfId="0"/>
    <xf numFmtId="164" fontId="11" fillId="0" borderId="2" applyAlignment="1" pivotButton="0" quotePrefix="0" xfId="0">
      <alignment vertical="center"/>
    </xf>
    <xf numFmtId="166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indent="3"/>
    </xf>
    <xf numFmtId="0" fontId="2" fillId="0" borderId="1" pivotButton="0" quotePrefix="0" xfId="0"/>
    <xf numFmtId="164" fontId="11" fillId="0" borderId="1" applyAlignment="1" pivotButton="0" quotePrefix="0" xfId="0">
      <alignment vertical="center"/>
    </xf>
    <xf numFmtId="166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2" fillId="3" borderId="2" pivotButton="0" quotePrefix="0" xfId="0"/>
    <xf numFmtId="166" fontId="8" fillId="0" borderId="2" pivotButton="0" quotePrefix="0" xfId="0"/>
    <xf numFmtId="166" fontId="8" fillId="0" borderId="2" applyAlignment="1" pivotButton="0" quotePrefix="0" xfId="0">
      <alignment horizontal="center" vertical="center"/>
    </xf>
    <xf numFmtId="0" fontId="12" fillId="3" borderId="1" pivotButton="0" quotePrefix="0" xfId="0"/>
    <xf numFmtId="166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12" fillId="4" borderId="2" pivotButton="0" quotePrefix="0" xfId="0"/>
    <xf numFmtId="0" fontId="12" fillId="4" borderId="1" pivotButton="0" quotePrefix="0" xfId="0"/>
    <xf numFmtId="166" fontId="10" fillId="0" borderId="2" pivotButton="0" quotePrefix="0" xfId="0"/>
    <xf numFmtId="166" fontId="10" fillId="0" borderId="2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vertical="center"/>
    </xf>
    <xf numFmtId="164" fontId="10" fillId="0" borderId="1" applyAlignment="1" pivotButton="0" quotePrefix="0" xfId="0">
      <alignment vertical="center"/>
    </xf>
    <xf numFmtId="0" fontId="10" fillId="0" borderId="1" pivotButton="0" quotePrefix="0" xfId="0"/>
    <xf numFmtId="164" fontId="11" fillId="0" borderId="1" pivotButton="0" quotePrefix="0" xfId="0"/>
    <xf numFmtId="166" fontId="11" fillId="0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BFBFBF"/>
        </patternFill>
      </fill>
    </dxf>
    <dxf>
      <font>
        <color rgb="002F75B5"/>
      </font>
      <fill>
        <patternFill patternType="solid">
          <fgColor rgb="002F75B5"/>
        </patternFill>
      </fill>
    </dxf>
    <dxf>
      <font>
        <color rgb="00000000"/>
      </font>
      <fill>
        <patternFill patternType="solid"/>
      </fill>
    </dxf>
    <dxf>
      <font>
        <b val="1"/>
        <color rgb="00008000"/>
      </font>
      <fill>
        <patternFill patternType="solid">
          <fgColor rgb="00E2EFDA"/>
        </patternFill>
      </fill>
    </dxf>
    <dxf>
      <font>
        <b val="1"/>
        <color rgb="00FF0000"/>
      </font>
      <fill>
        <patternFill patternType="solid">
          <fgColor rgb="00FCE4D6"/>
        </patternFill>
      </fill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週別 予想出来高（Sカーブ）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'出来高曲線'!D4</f>
            </strRef>
          </tx>
          <spPr>
            <a:solidFill>
              <a:srgbClr val="9DC3E6"/>
            </a:solidFill>
            <a:ln>
              <a:prstDash val="solid"/>
            </a:ln>
          </spPr>
          <cat>
            <numRef>
              <f>'出来高曲線'!$A$5:$A$27</f>
            </numRef>
          </cat>
          <val>
            <numRef>
              <f>'出来高曲線'!$D$5:$D$27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'出来高曲線'!E4</f>
            </strRef>
          </tx>
          <spPr>
            <a:ln w="38100">
              <a:solidFill>
                <a:srgbClr val="C00000"/>
              </a:solidFill>
              <a:prstDash val="solid"/>
            </a:ln>
          </spPr>
          <marker>
            <symbol val="circle"/>
            <size val="5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val>
            <numRef>
              <f>'出来高曲線'!$E$5:$E$27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出来高率</a:t>
                </a:r>
              </a:p>
            </rich>
          </tx>
        </title>
        <numFmt formatCode="0%" sourceLinked="0"/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累計出来高率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  <majorUnit val="0.1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月別 予想出来高（Sカーブ）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'出来高曲線'!D30</f>
            </strRef>
          </tx>
          <spPr>
            <a:solidFill>
              <a:srgbClr val="9DC3E6"/>
            </a:solidFill>
            <a:ln>
              <a:prstDash val="solid"/>
            </a:ln>
          </spPr>
          <cat>
            <numRef>
              <f>'出来高曲線'!$A$31:$A$36</f>
            </numRef>
          </cat>
          <val>
            <numRef>
              <f>'出来高曲線'!$D$31:$D$36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'出来高曲線'!E30</f>
            </strRef>
          </tx>
          <spPr>
            <a:ln w="38100">
              <a:solidFill>
                <a:srgbClr val="C00000"/>
              </a:solidFill>
              <a:prstDash val="solid"/>
            </a:ln>
          </spPr>
          <marker>
            <symbol val="circle"/>
            <size val="5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val>
            <numRef>
              <f>'出来高曲線'!$E$31:$E$36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出来高率</a:t>
                </a:r>
              </a:p>
            </rich>
          </tx>
        </title>
        <numFmt formatCode="0%" sourceLinked="0"/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累計出来高率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  <majorUnit val="0.1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115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33</row>
      <rowOff>0</rowOff>
    </from>
    <ext cx="72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予想出来高の使い方</t>
        </is>
      </c>
    </row>
    <row r="2">
      <c r="A2" s="2" t="inlineStr">
        <is>
          <t>※本ブックの工程は、工程表「260828＿工程表【食堂・外構】新地K修正」にリンクしています（同工程表の黒塗りから各工事の工事週を設定）。</t>
        </is>
      </c>
    </row>
    <row r="3">
      <c r="A3" s="2" t="inlineStr"/>
    </row>
    <row r="4">
      <c r="A4" s="3" t="inlineStr">
        <is>
          <t>① 「週間出来高」シートで、各工事の1段目（工程）の週に 1 など何か入力 → 黒く塗られ、その週が工事期間になります。</t>
        </is>
      </c>
    </row>
    <row r="5">
      <c r="A5" s="3" t="inlineStr">
        <is>
          <t xml:space="preserve">　　消せば工事期間から外れます。入力できるのはこの薄黄色のセルだけです（他はロック）。</t>
        </is>
      </c>
    </row>
    <row r="6">
      <c r="A6" s="2" t="inlineStr">
        <is>
          <t>② 各工事の出来高率は、黒の週数で均等割り（合計100%）。予想出来高金額＝出来高率×契約金額。</t>
        </is>
      </c>
    </row>
    <row r="7">
      <c r="A7" s="2" t="inlineStr">
        <is>
          <t xml:space="preserve">　　集計行（解体撤去・改修・工事費合計など）は契約金額で加重して自動集計、工程も青で自動表示。</t>
        </is>
      </c>
    </row>
    <row r="8">
      <c r="A8" s="2" t="inlineStr">
        <is>
          <t>③ 「100%チェック」列と3行目のチェック結果で、全工事が合計100%になっているか確認できます。</t>
        </is>
      </c>
    </row>
    <row r="9">
      <c r="A9" s="2" t="inlineStr">
        <is>
          <t>④ 「月別出来高」シートに月ごとの予想出来高率・金額、「出来高曲線」シートに週別・月別のSカーブが自動反映されます。</t>
        </is>
      </c>
    </row>
    <row r="10">
      <c r="A10" s="2" t="inlineStr"/>
    </row>
    <row r="11">
      <c r="A11" s="2" t="inlineStr">
        <is>
          <t>・年末年始（12/28～1/3の週）は稼働0のため、黒を入れても出来高に含めません（灰色）。</t>
        </is>
      </c>
    </row>
    <row r="12">
      <c r="A12" s="2" t="inlineStr">
        <is>
          <t>・月をまたぐ週は月曜日の属する月に計上します。</t>
        </is>
      </c>
    </row>
    <row r="13">
      <c r="A13" s="2" t="inlineStr">
        <is>
          <t>・契約金額は「金額リスト」シート（見積書 No.260007 令和8年5月28日 ①大学会館食堂リニューアル工事、税抜）と連動しています。</t>
        </is>
      </c>
    </row>
    <row r="14">
      <c r="A14" s="2" t="inlineStr">
        <is>
          <t>・本ブックは予想出来高の計画用です（実績は扱いません）。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6F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18" customWidth="1" min="4" max="4"/>
    <col width="14" customWidth="1" min="5" max="5"/>
    <col width="40" customWidth="1" min="6" max="6"/>
  </cols>
  <sheetData>
    <row r="1">
      <c r="A1" s="1" t="inlineStr">
        <is>
          <t>工事費 金額リスト</t>
        </is>
      </c>
    </row>
    <row r="2">
      <c r="A2" s="4" t="inlineStr">
        <is>
          <t>凡例： 青字＝入力値（見積書 No.260007 令和8年5月28日 ①大学会館食堂リニューアル工事より）／黒字＝計算式（自動集計）</t>
        </is>
      </c>
    </row>
    <row r="4">
      <c r="A4" s="5" t="inlineStr">
        <is>
          <t>項</t>
        </is>
      </c>
      <c r="B4" s="5" t="inlineStr">
        <is>
          <t>名称</t>
        </is>
      </c>
      <c r="C4" s="5" t="inlineStr">
        <is>
          <t>金額（円）</t>
        </is>
      </c>
      <c r="D4" s="5" t="inlineStr">
        <is>
          <t>見積書記載額（円）</t>
        </is>
      </c>
      <c r="E4" s="5" t="inlineStr">
        <is>
          <t>差額（円）</t>
        </is>
      </c>
      <c r="F4" s="5" t="inlineStr">
        <is>
          <t>備考</t>
        </is>
      </c>
    </row>
    <row r="5">
      <c r="A5" s="6" t="inlineStr"/>
      <c r="B5" s="6" t="inlineStr">
        <is>
          <t>工事費 合計（税抜）</t>
        </is>
      </c>
      <c r="C5" s="7">
        <f>C6+C7+C13+C31</f>
        <v/>
      </c>
      <c r="D5" s="7">
        <f>D6+D7+D13+D31</f>
        <v/>
      </c>
      <c r="E5" s="7">
        <f>C5-D5</f>
        <v/>
      </c>
      <c r="F5" s="6" t="inlineStr">
        <is>
          <t>a)+b)+c)+d)</t>
        </is>
      </c>
    </row>
    <row r="6">
      <c r="A6" s="8" t="inlineStr">
        <is>
          <t>a)</t>
        </is>
      </c>
      <c r="B6" s="9" t="inlineStr">
        <is>
          <t>共通仮設工事</t>
        </is>
      </c>
      <c r="C6" s="10" t="n">
        <v>4540000</v>
      </c>
      <c r="D6" s="11" t="n">
        <v>4540000</v>
      </c>
      <c r="E6" s="12">
        <f>C6-D6</f>
        <v/>
      </c>
      <c r="F6" s="8" t="inlineStr"/>
    </row>
    <row r="7">
      <c r="A7" s="8" t="inlineStr">
        <is>
          <t>b)</t>
        </is>
      </c>
      <c r="B7" s="9" t="inlineStr">
        <is>
          <t>解体撤去工事</t>
        </is>
      </c>
      <c r="C7" s="12">
        <f>C8+C9</f>
        <v/>
      </c>
      <c r="D7" s="11" t="n">
        <v>18950000</v>
      </c>
      <c r="E7" s="12">
        <f>C7-D7</f>
        <v/>
      </c>
      <c r="F7" s="8" t="inlineStr">
        <is>
          <t>建築＋設備</t>
        </is>
      </c>
    </row>
    <row r="8">
      <c r="A8" s="13" t="inlineStr">
        <is>
          <t>b)-1</t>
        </is>
      </c>
      <c r="B8" s="14" t="inlineStr">
        <is>
          <t>建築工事</t>
        </is>
      </c>
      <c r="C8" s="15" t="n">
        <v>7960000</v>
      </c>
      <c r="D8" s="15" t="n">
        <v>7960000</v>
      </c>
      <c r="E8" s="16">
        <f>C8-D8</f>
        <v/>
      </c>
      <c r="F8" s="13" t="inlineStr"/>
    </row>
    <row r="9">
      <c r="A9" s="13" t="inlineStr">
        <is>
          <t>b)-2</t>
        </is>
      </c>
      <c r="B9" s="14" t="inlineStr">
        <is>
          <t>設備工事</t>
        </is>
      </c>
      <c r="C9" s="16">
        <f>C10+C11+C12</f>
        <v/>
      </c>
      <c r="D9" s="15" t="n">
        <v>10990000</v>
      </c>
      <c r="E9" s="16">
        <f>C9-D9</f>
        <v/>
      </c>
      <c r="F9" s="13" t="inlineStr">
        <is>
          <t>電気＋空調＋衛生</t>
        </is>
      </c>
    </row>
    <row r="10">
      <c r="A10" s="17" t="inlineStr"/>
      <c r="B10" s="18" t="inlineStr">
        <is>
          <t>電気設備工事</t>
        </is>
      </c>
      <c r="C10" s="19" t="n">
        <v>5143000</v>
      </c>
      <c r="D10" s="20" t="n"/>
      <c r="E10" s="21" t="n"/>
      <c r="F10" s="17" t="inlineStr">
        <is>
          <t>見積書 b)-2 電気小計</t>
        </is>
      </c>
    </row>
    <row r="11">
      <c r="A11" s="17" t="inlineStr"/>
      <c r="B11" s="18" t="inlineStr">
        <is>
          <t>空気調和設備工事</t>
        </is>
      </c>
      <c r="C11" s="19" t="n">
        <v>5175000</v>
      </c>
      <c r="D11" s="20" t="n"/>
      <c r="E11" s="21" t="n"/>
      <c r="F11" s="17" t="inlineStr">
        <is>
          <t>見積書 b)-2 ダクト撤去工事</t>
        </is>
      </c>
    </row>
    <row r="12">
      <c r="A12" s="17" t="inlineStr"/>
      <c r="B12" s="18" t="inlineStr">
        <is>
          <t>衛生設備工事</t>
        </is>
      </c>
      <c r="C12" s="19" t="n">
        <v>672000</v>
      </c>
      <c r="D12" s="20" t="n"/>
      <c r="E12" s="21" t="n"/>
      <c r="F12" s="17" t="inlineStr">
        <is>
          <t>見積書 b)-2 配管撤去工事</t>
        </is>
      </c>
    </row>
    <row r="13">
      <c r="A13" s="8" t="inlineStr">
        <is>
          <t>c)</t>
        </is>
      </c>
      <c r="B13" s="9" t="inlineStr">
        <is>
          <t>改修工事</t>
        </is>
      </c>
      <c r="C13" s="12">
        <f>C14+C27</f>
        <v/>
      </c>
      <c r="D13" s="11" t="n">
        <v>241710000</v>
      </c>
      <c r="E13" s="12">
        <f>C13-D13</f>
        <v/>
      </c>
      <c r="F13" s="8" t="inlineStr">
        <is>
          <t>建築＋設備</t>
        </is>
      </c>
    </row>
    <row r="14">
      <c r="A14" s="13" t="inlineStr">
        <is>
          <t>c)-1</t>
        </is>
      </c>
      <c r="B14" s="14" t="inlineStr">
        <is>
          <t>建築工事</t>
        </is>
      </c>
      <c r="C14" s="16">
        <f>SUM(C15:C26)</f>
        <v/>
      </c>
      <c r="D14" s="15" t="n">
        <v>163688000</v>
      </c>
      <c r="E14" s="16">
        <f>C14-D14</f>
        <v/>
      </c>
      <c r="F14" s="13" t="inlineStr">
        <is>
          <t>明細1〜12の計</t>
        </is>
      </c>
    </row>
    <row r="15">
      <c r="A15" s="17" t="inlineStr">
        <is>
          <t>1</t>
        </is>
      </c>
      <c r="B15" s="18" t="inlineStr">
        <is>
          <t>直接仮設工事</t>
        </is>
      </c>
      <c r="C15" s="19" t="n">
        <v>4826702</v>
      </c>
      <c r="D15" s="20" t="n"/>
      <c r="E15" s="21" t="n"/>
      <c r="F15" s="17" t="inlineStr"/>
    </row>
    <row r="16">
      <c r="A16" s="17" t="inlineStr">
        <is>
          <t>2</t>
        </is>
      </c>
      <c r="B16" s="18" t="inlineStr">
        <is>
          <t>躯体工事</t>
        </is>
      </c>
      <c r="C16" s="19" t="n">
        <v>476900</v>
      </c>
      <c r="D16" s="20" t="n"/>
      <c r="E16" s="21" t="n"/>
      <c r="F16" s="17" t="inlineStr"/>
    </row>
    <row r="17">
      <c r="A17" s="17" t="inlineStr">
        <is>
          <t>3</t>
        </is>
      </c>
      <c r="B17" s="18" t="inlineStr">
        <is>
          <t>防水工事</t>
        </is>
      </c>
      <c r="C17" s="19" t="n">
        <v>337100</v>
      </c>
      <c r="D17" s="20" t="n"/>
      <c r="E17" s="21" t="n"/>
      <c r="F17" s="17" t="inlineStr"/>
    </row>
    <row r="18">
      <c r="A18" s="17" t="inlineStr">
        <is>
          <t>4</t>
        </is>
      </c>
      <c r="B18" s="18" t="inlineStr">
        <is>
          <t>タイル工事</t>
        </is>
      </c>
      <c r="C18" s="19" t="n">
        <v>14987300</v>
      </c>
      <c r="D18" s="20" t="n"/>
      <c r="E18" s="21" t="n"/>
      <c r="F18" s="17" t="inlineStr"/>
    </row>
    <row r="19">
      <c r="A19" s="17" t="inlineStr">
        <is>
          <t>5</t>
        </is>
      </c>
      <c r="B19" s="18" t="inlineStr">
        <is>
          <t>金属工事</t>
        </is>
      </c>
      <c r="C19" s="19" t="n">
        <v>20138838</v>
      </c>
      <c r="D19" s="20" t="n"/>
      <c r="E19" s="21" t="n"/>
      <c r="F19" s="17" t="inlineStr"/>
    </row>
    <row r="20">
      <c r="A20" s="17" t="inlineStr">
        <is>
          <t>6</t>
        </is>
      </c>
      <c r="B20" s="18" t="inlineStr">
        <is>
          <t>金属製建具工事</t>
        </is>
      </c>
      <c r="C20" s="19" t="n">
        <v>8285600</v>
      </c>
      <c r="D20" s="20" t="n"/>
      <c r="E20" s="21" t="n"/>
      <c r="F20" s="17" t="inlineStr"/>
    </row>
    <row r="21">
      <c r="A21" s="17" t="inlineStr">
        <is>
          <t>7</t>
        </is>
      </c>
      <c r="B21" s="18" t="inlineStr">
        <is>
          <t>ガラス工事</t>
        </is>
      </c>
      <c r="C21" s="19" t="n">
        <v>1115138</v>
      </c>
      <c r="D21" s="20" t="n"/>
      <c r="E21" s="21" t="n"/>
      <c r="F21" s="17" t="inlineStr"/>
    </row>
    <row r="22">
      <c r="A22" s="17" t="inlineStr">
        <is>
          <t>8</t>
        </is>
      </c>
      <c r="B22" s="18" t="inlineStr">
        <is>
          <t>木工事</t>
        </is>
      </c>
      <c r="C22" s="19" t="n">
        <v>52688330</v>
      </c>
      <c r="D22" s="20" t="n"/>
      <c r="E22" s="21" t="n"/>
      <c r="F22" s="17" t="inlineStr"/>
    </row>
    <row r="23">
      <c r="A23" s="17" t="inlineStr">
        <is>
          <t>9</t>
        </is>
      </c>
      <c r="B23" s="18" t="inlineStr">
        <is>
          <t>左官工事</t>
        </is>
      </c>
      <c r="C23" s="19" t="n">
        <v>46124228</v>
      </c>
      <c r="D23" s="20" t="n"/>
      <c r="E23" s="21" t="n"/>
      <c r="F23" s="17" t="inlineStr"/>
    </row>
    <row r="24">
      <c r="A24" s="17" t="inlineStr">
        <is>
          <t>10</t>
        </is>
      </c>
      <c r="B24" s="18" t="inlineStr">
        <is>
          <t>塗装工事</t>
        </is>
      </c>
      <c r="C24" s="19" t="n">
        <v>1511084</v>
      </c>
      <c r="D24" s="20" t="n"/>
      <c r="E24" s="21" t="n"/>
      <c r="F24" s="17" t="inlineStr"/>
    </row>
    <row r="25">
      <c r="A25" s="17" t="inlineStr">
        <is>
          <t>11</t>
        </is>
      </c>
      <c r="B25" s="18" t="inlineStr">
        <is>
          <t>内装工事</t>
        </is>
      </c>
      <c r="C25" s="19" t="n">
        <v>10568020</v>
      </c>
      <c r="D25" s="20" t="n"/>
      <c r="E25" s="21" t="n"/>
      <c r="F25" s="17" t="inlineStr"/>
    </row>
    <row r="26">
      <c r="A26" s="17" t="inlineStr">
        <is>
          <t>12</t>
        </is>
      </c>
      <c r="B26" s="18" t="inlineStr">
        <is>
          <t>雑工事</t>
        </is>
      </c>
      <c r="C26" s="19" t="n">
        <v>2628760</v>
      </c>
      <c r="D26" s="20" t="n"/>
      <c r="E26" s="21" t="n"/>
      <c r="F26" s="17" t="inlineStr"/>
    </row>
    <row r="27">
      <c r="A27" s="13" t="inlineStr"/>
      <c r="B27" s="14" t="inlineStr">
        <is>
          <t>設備工事</t>
        </is>
      </c>
      <c r="C27" s="16">
        <f>C28+C29+C30</f>
        <v/>
      </c>
      <c r="D27" s="16">
        <f>D13-D14</f>
        <v/>
      </c>
      <c r="E27" s="16">
        <f>C27-D27</f>
        <v/>
      </c>
      <c r="F27" s="13" t="inlineStr">
        <is>
          <t>電気＋空調＋衛生（c)-2〜c)-4 の計／記載額は c)−c)-1 で逆算）</t>
        </is>
      </c>
    </row>
    <row r="28">
      <c r="A28" s="17" t="inlineStr">
        <is>
          <t>c)-2</t>
        </is>
      </c>
      <c r="B28" s="18" t="inlineStr">
        <is>
          <t>電気設備工事</t>
        </is>
      </c>
      <c r="C28" s="19" t="n">
        <v>61941000</v>
      </c>
      <c r="D28" s="20" t="n"/>
      <c r="E28" s="21" t="n"/>
      <c r="F28" s="17" t="inlineStr">
        <is>
          <t>見積書 c)-2 計</t>
        </is>
      </c>
    </row>
    <row r="29">
      <c r="A29" s="17" t="inlineStr">
        <is>
          <t>c)-3</t>
        </is>
      </c>
      <c r="B29" s="18" t="inlineStr">
        <is>
          <t>空気調和設備工事</t>
        </is>
      </c>
      <c r="C29" s="19" t="n">
        <v>14450000</v>
      </c>
      <c r="D29" s="20" t="n"/>
      <c r="E29" s="21" t="n"/>
      <c r="F29" s="17" t="inlineStr">
        <is>
          <t>見積書 c)-3 計</t>
        </is>
      </c>
    </row>
    <row r="30">
      <c r="A30" s="17" t="inlineStr">
        <is>
          <t>c)-4</t>
        </is>
      </c>
      <c r="B30" s="18" t="inlineStr">
        <is>
          <t>衛生設備工事</t>
        </is>
      </c>
      <c r="C30" s="19" t="n">
        <v>1631000</v>
      </c>
      <c r="D30" s="20" t="n"/>
      <c r="E30" s="21" t="n"/>
      <c r="F30" s="17" t="inlineStr">
        <is>
          <t>見積書 c)-4 計</t>
        </is>
      </c>
    </row>
    <row r="31">
      <c r="A31" s="8" t="inlineStr">
        <is>
          <t>d)</t>
        </is>
      </c>
      <c r="B31" s="9" t="inlineStr">
        <is>
          <t>諸経費</t>
        </is>
      </c>
      <c r="C31" s="10" t="n">
        <v>39800000</v>
      </c>
      <c r="D31" s="11" t="n">
        <v>39800000</v>
      </c>
      <c r="E31" s="12">
        <f>C31-D31</f>
        <v/>
      </c>
      <c r="F31" s="8" t="inlineStr"/>
    </row>
    <row r="32">
      <c r="A32" s="8" t="inlineStr">
        <is>
          <t>e)</t>
        </is>
      </c>
      <c r="B32" s="9" t="inlineStr">
        <is>
          <t>消費税及び地方消費税</t>
        </is>
      </c>
      <c r="C32" s="10" t="n">
        <v>30500000</v>
      </c>
      <c r="D32" s="11" t="n">
        <v>30500000</v>
      </c>
      <c r="E32" s="12">
        <f>C32-D32</f>
        <v/>
      </c>
      <c r="F32" s="8" t="inlineStr">
        <is>
          <t>参考（出来高計算の対象外）</t>
        </is>
      </c>
    </row>
    <row r="33">
      <c r="A33" s="6" t="inlineStr"/>
      <c r="B33" s="6" t="inlineStr">
        <is>
          <t>工事費 合計（税込）</t>
        </is>
      </c>
      <c r="C33" s="7">
        <f>C5+C32</f>
        <v/>
      </c>
      <c r="D33" s="22" t="n">
        <v>335500000</v>
      </c>
      <c r="E33" s="7">
        <f>C33-D33</f>
        <v/>
      </c>
      <c r="F33" s="6" t="inlineStr">
        <is>
          <t>税抜合計＋e)</t>
        </is>
      </c>
    </row>
    <row r="35">
      <c r="B35" s="23" t="inlineStr">
        <is>
          <t>集計表</t>
        </is>
      </c>
    </row>
    <row r="36">
      <c r="B36" s="5" t="inlineStr">
        <is>
          <t>区分</t>
        </is>
      </c>
      <c r="C36" s="5" t="inlineStr">
        <is>
          <t>解体撤去工事</t>
        </is>
      </c>
      <c r="D36" s="5" t="inlineStr">
        <is>
          <t>改修工事</t>
        </is>
      </c>
      <c r="E36" s="5" t="inlineStr">
        <is>
          <t>計</t>
        </is>
      </c>
    </row>
    <row r="37">
      <c r="B37" s="17" t="inlineStr">
        <is>
          <t>建築工事</t>
        </is>
      </c>
      <c r="C37" s="21">
        <f>C8</f>
        <v/>
      </c>
      <c r="D37" s="21">
        <f>C14</f>
        <v/>
      </c>
      <c r="E37" s="21">
        <f>C37+D37</f>
        <v/>
      </c>
    </row>
    <row r="38">
      <c r="B38" s="17" t="inlineStr">
        <is>
          <t>電気設備工事</t>
        </is>
      </c>
      <c r="C38" s="21">
        <f>C10</f>
        <v/>
      </c>
      <c r="D38" s="21">
        <f>C28</f>
        <v/>
      </c>
      <c r="E38" s="21">
        <f>C38+D38</f>
        <v/>
      </c>
    </row>
    <row r="39">
      <c r="B39" s="17" t="inlineStr">
        <is>
          <t>空気調和設備工事</t>
        </is>
      </c>
      <c r="C39" s="21">
        <f>C11</f>
        <v/>
      </c>
      <c r="D39" s="21">
        <f>C29</f>
        <v/>
      </c>
      <c r="E39" s="21">
        <f>C39+D39</f>
        <v/>
      </c>
    </row>
    <row r="40">
      <c r="B40" s="17" t="inlineStr">
        <is>
          <t>衛生設備工事</t>
        </is>
      </c>
      <c r="C40" s="21">
        <f>C12</f>
        <v/>
      </c>
      <c r="D40" s="21">
        <f>C30</f>
        <v/>
      </c>
      <c r="E40" s="21">
        <f>C40+D40</f>
        <v/>
      </c>
    </row>
    <row r="41">
      <c r="B41" s="24" t="inlineStr">
        <is>
          <t>計</t>
        </is>
      </c>
      <c r="C41" s="25">
        <f>SUM(C37:C40)</f>
        <v/>
      </c>
      <c r="D41" s="25">
        <f>SUM(D37:D40)</f>
        <v/>
      </c>
      <c r="E41" s="25">
        <f>SUM(E37:E40)</f>
        <v/>
      </c>
    </row>
    <row r="42">
      <c r="B42" s="24" t="inlineStr">
        <is>
          <t>照合（本表との差）</t>
        </is>
      </c>
      <c r="C42" s="25">
        <f>C41-C7</f>
        <v/>
      </c>
      <c r="D42" s="25">
        <f>D41-C13</f>
        <v/>
      </c>
      <c r="E42" s="25">
        <f>E41-C7-C13</f>
        <v/>
      </c>
    </row>
    <row r="44">
      <c r="B44" s="4" t="inlineStr">
        <is>
          <t>出典：金額はすべて見積書 No.260007（令和8年5月28日、清水建設）①大学会館食堂リニューアル工事（内訳、b)解体撤去工事、c)-1 建築工事明細、c)-2〜c)-4 設備工事計）より。差額が「-」なら記載額と一致。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6F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AC140"/>
  <sheetViews>
    <sheetView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15.5" customWidth="1" min="4" max="4"/>
    <col width="9" customWidth="1" min="5" max="5"/>
    <col width="11" customWidth="1" min="6" max="6"/>
    <col width="13" customWidth="1" min="7" max="7"/>
    <col width="14.5" customWidth="1" min="8" max="8"/>
    <col width="14.5" customWidth="1" min="9" max="9"/>
    <col width="14.5" customWidth="1" min="10" max="10"/>
    <col width="14.5" customWidth="1" min="11" max="11"/>
    <col width="14.5" customWidth="1" min="12" max="12"/>
    <col width="14.5" customWidth="1" min="13" max="13"/>
    <col width="14.5" customWidth="1" min="14" max="14"/>
    <col width="14.5" customWidth="1" min="15" max="15"/>
    <col width="14.5" customWidth="1" min="16" max="16"/>
    <col width="14.5" customWidth="1" min="17" max="17"/>
    <col width="14.5" customWidth="1" min="18" max="18"/>
    <col width="14.5" customWidth="1" min="19" max="19"/>
    <col width="14.5" customWidth="1" min="20" max="20"/>
    <col width="14.5" customWidth="1" min="21" max="21"/>
    <col width="14.5" customWidth="1" min="22" max="22"/>
    <col width="14.5" customWidth="1" min="23" max="23"/>
    <col width="14.5" customWidth="1" min="24" max="24"/>
    <col width="14.5" customWidth="1" min="25" max="25"/>
    <col width="14.5" customWidth="1" min="26" max="26"/>
    <col width="14.5" customWidth="1" min="27" max="27"/>
    <col width="14.5" customWidth="1" min="28" max="28"/>
    <col width="14.5" customWidth="1" min="29" max="29"/>
  </cols>
  <sheetData>
    <row r="1">
      <c r="A1" s="1" t="inlineStr">
        <is>
          <t>週間 予想出来高（工程・予想出来高率・予想出来高金額）</t>
        </is>
      </c>
      <c r="E1" s="26" t="inlineStr">
        <is>
          <t>※工程は工程表「260828＿工程表【食堂・外構】新地K修正」にリンク</t>
        </is>
      </c>
    </row>
    <row r="2">
      <c r="A2" s="4" t="inlineStr">
        <is>
          <t>凡例： 各工事の1段目（工程）の週に何か入力（例：1 や ●）すると黒く塗られ、工事ありになります。出来高率は工事ありの週数で均等割りし、各工事の合計が100%になります。集計行は契約金額で加重平均。6行目の稼働が0の週（年末年始）は工事ありにしても割合に含めません（灰色）。工程の入力欄（薄黄色）以外はロック済み。7行目の計上月は月別出来高の集計先（月をまたぐ週は月曜の月）。出来高金額＝出来高率×契約金額。</t>
        </is>
      </c>
    </row>
    <row r="3">
      <c r="A3" s="23" t="inlineStr">
        <is>
          <t>チェック結果：</t>
        </is>
      </c>
      <c r="B3" s="26">
        <f>IF(COUNTIF(G8:G132,"OK")=COUNTA(G8:G132),"全工事 100% OK","要確認 "&amp;(COUNTA(G8:G132)-COUNTIF(G8:G132,"OK"))&amp;"件")</f>
        <v/>
      </c>
    </row>
    <row r="4" ht="20" customHeight="1">
      <c r="A4" s="27" t="inlineStr">
        <is>
          <t>項</t>
        </is>
      </c>
      <c r="B4" s="27" t="inlineStr">
        <is>
          <t>名称</t>
        </is>
      </c>
      <c r="C4" s="27" t="inlineStr">
        <is>
          <t>区分</t>
        </is>
      </c>
      <c r="D4" s="27" t="inlineStr">
        <is>
          <t>契約金額（円）</t>
        </is>
      </c>
      <c r="E4" s="27" t="inlineStr">
        <is>
          <t>工事週数</t>
        </is>
      </c>
      <c r="F4" s="27" t="inlineStr">
        <is>
          <t>出来高率 計</t>
        </is>
      </c>
      <c r="G4" s="27" t="inlineStr">
        <is>
          <t>100%チェック</t>
        </is>
      </c>
      <c r="H4" s="27" t="inlineStr">
        <is>
          <t>11月第1週</t>
        </is>
      </c>
      <c r="I4" s="27" t="inlineStr">
        <is>
          <t>11月第2週</t>
        </is>
      </c>
      <c r="J4" s="27" t="inlineStr">
        <is>
          <t>11月第3週</t>
        </is>
      </c>
      <c r="K4" s="27" t="inlineStr">
        <is>
          <t>11月第4週</t>
        </is>
      </c>
      <c r="L4" s="27" t="inlineStr">
        <is>
          <t>11月第5週</t>
        </is>
      </c>
      <c r="M4" s="27" t="inlineStr">
        <is>
          <t>12月第1週</t>
        </is>
      </c>
      <c r="N4" s="27" t="inlineStr">
        <is>
          <t>12月第2週</t>
        </is>
      </c>
      <c r="O4" s="27" t="inlineStr">
        <is>
          <t>12月第3週</t>
        </is>
      </c>
      <c r="P4" s="27" t="inlineStr">
        <is>
          <t>12月第4週</t>
        </is>
      </c>
      <c r="Q4" s="27" t="inlineStr">
        <is>
          <t>1月第1週</t>
        </is>
      </c>
      <c r="R4" s="27" t="inlineStr">
        <is>
          <t>1月第2週</t>
        </is>
      </c>
      <c r="S4" s="27" t="inlineStr">
        <is>
          <t>1月第3週</t>
        </is>
      </c>
      <c r="T4" s="27" t="inlineStr">
        <is>
          <t>1月第4週</t>
        </is>
      </c>
      <c r="U4" s="27" t="inlineStr">
        <is>
          <t>2月第1週</t>
        </is>
      </c>
      <c r="V4" s="27" t="inlineStr">
        <is>
          <t>2月第2週</t>
        </is>
      </c>
      <c r="W4" s="27" t="inlineStr">
        <is>
          <t>2月第3週</t>
        </is>
      </c>
      <c r="X4" s="27" t="inlineStr">
        <is>
          <t>2月第4週</t>
        </is>
      </c>
      <c r="Y4" s="27" t="inlineStr">
        <is>
          <t>3月第1週</t>
        </is>
      </c>
      <c r="Z4" s="27" t="inlineStr">
        <is>
          <t>3月第2週</t>
        </is>
      </c>
      <c r="AA4" s="27" t="inlineStr">
        <is>
          <t>3月第3週</t>
        </is>
      </c>
      <c r="AB4" s="27" t="inlineStr">
        <is>
          <t>3月第4週</t>
        </is>
      </c>
      <c r="AC4" s="27" t="inlineStr">
        <is>
          <t>3月第5週</t>
        </is>
      </c>
    </row>
    <row r="5">
      <c r="A5" s="27" t="n"/>
      <c r="B5" s="27" t="n"/>
      <c r="C5" s="27" t="n"/>
      <c r="D5" s="27" t="n"/>
      <c r="E5" s="27" t="n"/>
      <c r="F5" s="27" t="n"/>
      <c r="G5" s="27" t="n"/>
      <c r="H5" s="27" t="inlineStr">
        <is>
          <t>11/2～11/8</t>
        </is>
      </c>
      <c r="I5" s="27" t="inlineStr">
        <is>
          <t>11/9～11/15</t>
        </is>
      </c>
      <c r="J5" s="27" t="inlineStr">
        <is>
          <t>11/16～11/22</t>
        </is>
      </c>
      <c r="K5" s="27" t="inlineStr">
        <is>
          <t>11/23～11/29</t>
        </is>
      </c>
      <c r="L5" s="27" t="inlineStr">
        <is>
          <t>11/30～12/6</t>
        </is>
      </c>
      <c r="M5" s="27" t="inlineStr">
        <is>
          <t>12/7～12/13</t>
        </is>
      </c>
      <c r="N5" s="27" t="inlineStr">
        <is>
          <t>12/14～12/20</t>
        </is>
      </c>
      <c r="O5" s="27" t="inlineStr">
        <is>
          <t>12/21～12/27</t>
        </is>
      </c>
      <c r="P5" s="27" t="inlineStr">
        <is>
          <t>12/28～1/3</t>
        </is>
      </c>
      <c r="Q5" s="27" t="inlineStr">
        <is>
          <t>1/4～1/10</t>
        </is>
      </c>
      <c r="R5" s="27" t="inlineStr">
        <is>
          <t>1/11～1/17</t>
        </is>
      </c>
      <c r="S5" s="27" t="inlineStr">
        <is>
          <t>1/18～1/24</t>
        </is>
      </c>
      <c r="T5" s="27" t="inlineStr">
        <is>
          <t>1/25～1/31</t>
        </is>
      </c>
      <c r="U5" s="27" t="inlineStr">
        <is>
          <t>2/1～2/7</t>
        </is>
      </c>
      <c r="V5" s="27" t="inlineStr">
        <is>
          <t>2/8～2/14</t>
        </is>
      </c>
      <c r="W5" s="27" t="inlineStr">
        <is>
          <t>2/15～2/21</t>
        </is>
      </c>
      <c r="X5" s="27" t="inlineStr">
        <is>
          <t>2/22～2/28</t>
        </is>
      </c>
      <c r="Y5" s="27" t="inlineStr">
        <is>
          <t>3/1～3/7</t>
        </is>
      </c>
      <c r="Z5" s="27" t="inlineStr">
        <is>
          <t>3/8～3/14</t>
        </is>
      </c>
      <c r="AA5" s="27" t="inlineStr">
        <is>
          <t>3/15～3/21</t>
        </is>
      </c>
      <c r="AB5" s="27" t="inlineStr">
        <is>
          <t>3/22～3/28</t>
        </is>
      </c>
      <c r="AC5" s="27" t="inlineStr">
        <is>
          <t>3/29～4/4</t>
        </is>
      </c>
    </row>
    <row r="6">
      <c r="A6" s="27" t="n"/>
      <c r="B6" s="27" t="n"/>
      <c r="C6" s="27" t="inlineStr">
        <is>
          <t>稼働(1/0)</t>
        </is>
      </c>
      <c r="D6" s="27" t="n"/>
      <c r="E6" s="27" t="n"/>
      <c r="F6" s="27" t="n"/>
      <c r="G6" s="27" t="n"/>
      <c r="H6" s="28" t="n">
        <v>1</v>
      </c>
      <c r="I6" s="28" t="n">
        <v>1</v>
      </c>
      <c r="J6" s="28" t="n">
        <v>1</v>
      </c>
      <c r="K6" s="28" t="n">
        <v>1</v>
      </c>
      <c r="L6" s="28" t="n">
        <v>1</v>
      </c>
      <c r="M6" s="28" t="n">
        <v>1</v>
      </c>
      <c r="N6" s="28" t="n">
        <v>1</v>
      </c>
      <c r="O6" s="28" t="n">
        <v>1</v>
      </c>
      <c r="P6" s="28" t="n">
        <v>0</v>
      </c>
      <c r="Q6" s="28" t="n">
        <v>1</v>
      </c>
      <c r="R6" s="28" t="n">
        <v>1</v>
      </c>
      <c r="S6" s="28" t="n">
        <v>1</v>
      </c>
      <c r="T6" s="28" t="n">
        <v>1</v>
      </c>
      <c r="U6" s="28" t="n">
        <v>1</v>
      </c>
      <c r="V6" s="28" t="n">
        <v>1</v>
      </c>
      <c r="W6" s="28" t="n">
        <v>1</v>
      </c>
      <c r="X6" s="28" t="n">
        <v>1</v>
      </c>
      <c r="Y6" s="28" t="n">
        <v>1</v>
      </c>
      <c r="Z6" s="28" t="n">
        <v>1</v>
      </c>
      <c r="AA6" s="28" t="n">
        <v>1</v>
      </c>
      <c r="AB6" s="28" t="n">
        <v>1</v>
      </c>
      <c r="AC6" s="28" t="n">
        <v>1</v>
      </c>
    </row>
    <row r="7">
      <c r="A7" s="27" t="n"/>
      <c r="B7" s="27" t="n"/>
      <c r="C7" s="27" t="inlineStr">
        <is>
          <t>計上月</t>
        </is>
      </c>
      <c r="D7" s="27" t="n"/>
      <c r="E7" s="27" t="n"/>
      <c r="F7" s="27" t="n"/>
      <c r="G7" s="27" t="n"/>
      <c r="H7" s="29" t="n">
        <v>11</v>
      </c>
      <c r="I7" s="29" t="n">
        <v>11</v>
      </c>
      <c r="J7" s="29" t="n">
        <v>11</v>
      </c>
      <c r="K7" s="29" t="n">
        <v>11</v>
      </c>
      <c r="L7" s="29" t="n">
        <v>11</v>
      </c>
      <c r="M7" s="29" t="n">
        <v>12</v>
      </c>
      <c r="N7" s="29" t="n">
        <v>12</v>
      </c>
      <c r="O7" s="29" t="n">
        <v>12</v>
      </c>
      <c r="P7" s="29" t="n">
        <v>12</v>
      </c>
      <c r="Q7" s="29" t="n">
        <v>1</v>
      </c>
      <c r="R7" s="29" t="n">
        <v>1</v>
      </c>
      <c r="S7" s="29" t="n">
        <v>1</v>
      </c>
      <c r="T7" s="29" t="n">
        <v>1</v>
      </c>
      <c r="U7" s="29" t="n">
        <v>2</v>
      </c>
      <c r="V7" s="29" t="n">
        <v>2</v>
      </c>
      <c r="W7" s="29" t="n">
        <v>2</v>
      </c>
      <c r="X7" s="29" t="n">
        <v>2</v>
      </c>
      <c r="Y7" s="29" t="n">
        <v>3</v>
      </c>
      <c r="Z7" s="29" t="n">
        <v>3</v>
      </c>
      <c r="AA7" s="29" t="n">
        <v>3</v>
      </c>
      <c r="AB7" s="29" t="n">
        <v>3</v>
      </c>
      <c r="AC7" s="29" t="n">
        <v>3</v>
      </c>
    </row>
    <row r="8">
      <c r="A8" s="30" t="inlineStr"/>
      <c r="B8" s="30" t="inlineStr">
        <is>
          <t>工事費 合計（税抜）</t>
        </is>
      </c>
      <c r="C8" s="31" t="inlineStr">
        <is>
          <t>工程</t>
        </is>
      </c>
      <c r="D8" s="32">
        <f>D13+D18+D43+D128</f>
        <v/>
      </c>
      <c r="E8" s="30">
        <f>COUNTIF(H9:AC9,"&gt;0")</f>
        <v/>
      </c>
      <c r="F8" s="33">
        <f>SUM(H9:AC9)</f>
        <v/>
      </c>
      <c r="G8" s="34">
        <f>IF(AND(ABS(F8-1)&lt;0.0001,ABS(AC10-1)&lt;0.0001),"OK",IF(E8=0,"工程未設定","NG"))</f>
        <v/>
      </c>
      <c r="H8" s="35">
        <f>IF(H9&gt;0,"■","")</f>
        <v/>
      </c>
      <c r="I8" s="35">
        <f>IF(I9&gt;0,"■","")</f>
        <v/>
      </c>
      <c r="J8" s="35">
        <f>IF(J9&gt;0,"■","")</f>
        <v/>
      </c>
      <c r="K8" s="35">
        <f>IF(K9&gt;0,"■","")</f>
        <v/>
      </c>
      <c r="L8" s="35">
        <f>IF(L9&gt;0,"■","")</f>
        <v/>
      </c>
      <c r="M8" s="35">
        <f>IF(M9&gt;0,"■","")</f>
        <v/>
      </c>
      <c r="N8" s="35">
        <f>IF(N9&gt;0,"■","")</f>
        <v/>
      </c>
      <c r="O8" s="35">
        <f>IF(O9&gt;0,"■","")</f>
        <v/>
      </c>
      <c r="P8" s="35">
        <f>IF(P9&gt;0,"■","")</f>
        <v/>
      </c>
      <c r="Q8" s="35">
        <f>IF(Q9&gt;0,"■","")</f>
        <v/>
      </c>
      <c r="R8" s="35">
        <f>IF(R9&gt;0,"■","")</f>
        <v/>
      </c>
      <c r="S8" s="35">
        <f>IF(S9&gt;0,"■","")</f>
        <v/>
      </c>
      <c r="T8" s="35">
        <f>IF(T9&gt;0,"■","")</f>
        <v/>
      </c>
      <c r="U8" s="35">
        <f>IF(U9&gt;0,"■","")</f>
        <v/>
      </c>
      <c r="V8" s="35">
        <f>IF(V9&gt;0,"■","")</f>
        <v/>
      </c>
      <c r="W8" s="35">
        <f>IF(W9&gt;0,"■","")</f>
        <v/>
      </c>
      <c r="X8" s="35">
        <f>IF(X9&gt;0,"■","")</f>
        <v/>
      </c>
      <c r="Y8" s="35">
        <f>IF(Y9&gt;0,"■","")</f>
        <v/>
      </c>
      <c r="Z8" s="35">
        <f>IF(Z9&gt;0,"■","")</f>
        <v/>
      </c>
      <c r="AA8" s="35">
        <f>IF(AA9&gt;0,"■","")</f>
        <v/>
      </c>
      <c r="AB8" s="35">
        <f>IF(AB9&gt;0,"■","")</f>
        <v/>
      </c>
      <c r="AC8" s="35">
        <f>IF(AC9&gt;0,"■","")</f>
        <v/>
      </c>
    </row>
    <row r="9">
      <c r="A9" s="36" t="n"/>
      <c r="B9" s="36" t="n"/>
      <c r="C9" s="37" t="inlineStr">
        <is>
          <t>今週出来高率</t>
        </is>
      </c>
      <c r="D9" s="38" t="n"/>
      <c r="E9" s="36" t="n"/>
      <c r="F9" s="39" t="n"/>
      <c r="G9" s="40" t="n"/>
      <c r="H9" s="41">
        <f>IF($D8=0,0,(H14*$D13+H19*$D18+H44*$D43+H129*$D128)/$D8)</f>
        <v/>
      </c>
      <c r="I9" s="41">
        <f>IF($D8=0,0,(I14*$D13+I19*$D18+I44*$D43+I129*$D128)/$D8)</f>
        <v/>
      </c>
      <c r="J9" s="41">
        <f>IF($D8=0,0,(J14*$D13+J19*$D18+J44*$D43+J129*$D128)/$D8)</f>
        <v/>
      </c>
      <c r="K9" s="41">
        <f>IF($D8=0,0,(K14*$D13+K19*$D18+K44*$D43+K129*$D128)/$D8)</f>
        <v/>
      </c>
      <c r="L9" s="41">
        <f>IF($D8=0,0,(L14*$D13+L19*$D18+L44*$D43+L129*$D128)/$D8)</f>
        <v/>
      </c>
      <c r="M9" s="41">
        <f>IF($D8=0,0,(M14*$D13+M19*$D18+M44*$D43+M129*$D128)/$D8)</f>
        <v/>
      </c>
      <c r="N9" s="41">
        <f>IF($D8=0,0,(N14*$D13+N19*$D18+N44*$D43+N129*$D128)/$D8)</f>
        <v/>
      </c>
      <c r="O9" s="41">
        <f>IF($D8=0,0,(O14*$D13+O19*$D18+O44*$D43+O129*$D128)/$D8)</f>
        <v/>
      </c>
      <c r="P9" s="41">
        <f>IF($D8=0,0,(P14*$D13+P19*$D18+P44*$D43+P129*$D128)/$D8)</f>
        <v/>
      </c>
      <c r="Q9" s="41">
        <f>IF($D8=0,0,(Q14*$D13+Q19*$D18+Q44*$D43+Q129*$D128)/$D8)</f>
        <v/>
      </c>
      <c r="R9" s="41">
        <f>IF($D8=0,0,(R14*$D13+R19*$D18+R44*$D43+R129*$D128)/$D8)</f>
        <v/>
      </c>
      <c r="S9" s="41">
        <f>IF($D8=0,0,(S14*$D13+S19*$D18+S44*$D43+S129*$D128)/$D8)</f>
        <v/>
      </c>
      <c r="T9" s="41">
        <f>IF($D8=0,0,(T14*$D13+T19*$D18+T44*$D43+T129*$D128)/$D8)</f>
        <v/>
      </c>
      <c r="U9" s="41">
        <f>IF($D8=0,0,(U14*$D13+U19*$D18+U44*$D43+U129*$D128)/$D8)</f>
        <v/>
      </c>
      <c r="V9" s="41">
        <f>IF($D8=0,0,(V14*$D13+V19*$D18+V44*$D43+V129*$D128)/$D8)</f>
        <v/>
      </c>
      <c r="W9" s="41">
        <f>IF($D8=0,0,(W14*$D13+W19*$D18+W44*$D43+W129*$D128)/$D8)</f>
        <v/>
      </c>
      <c r="X9" s="41">
        <f>IF($D8=0,0,(X14*$D13+X19*$D18+X44*$D43+X129*$D128)/$D8)</f>
        <v/>
      </c>
      <c r="Y9" s="41">
        <f>IF($D8=0,0,(Y14*$D13+Y19*$D18+Y44*$D43+Y129*$D128)/$D8)</f>
        <v/>
      </c>
      <c r="Z9" s="41">
        <f>IF($D8=0,0,(Z14*$D13+Z19*$D18+Z44*$D43+Z129*$D128)/$D8)</f>
        <v/>
      </c>
      <c r="AA9" s="41">
        <f>IF($D8=0,0,(AA14*$D13+AA19*$D18+AA44*$D43+AA129*$D128)/$D8)</f>
        <v/>
      </c>
      <c r="AB9" s="41">
        <f>IF($D8=0,0,(AB14*$D13+AB19*$D18+AB44*$D43+AB129*$D128)/$D8)</f>
        <v/>
      </c>
      <c r="AC9" s="41">
        <f>IF($D8=0,0,(AC14*$D13+AC19*$D18+AC44*$D43+AC129*$D128)/$D8)</f>
        <v/>
      </c>
    </row>
    <row r="10">
      <c r="A10" s="36" t="n"/>
      <c r="B10" s="36" t="n"/>
      <c r="C10" s="37" t="inlineStr">
        <is>
          <t>累計出来高率</t>
        </is>
      </c>
      <c r="D10" s="38" t="n"/>
      <c r="E10" s="36" t="n"/>
      <c r="F10" s="39" t="n"/>
      <c r="G10" s="40" t="n"/>
      <c r="H10" s="41">
        <f>H9</f>
        <v/>
      </c>
      <c r="I10" s="41">
        <f>H10+I9</f>
        <v/>
      </c>
      <c r="J10" s="41">
        <f>I10+J9</f>
        <v/>
      </c>
      <c r="K10" s="41">
        <f>J10+K9</f>
        <v/>
      </c>
      <c r="L10" s="41">
        <f>K10+L9</f>
        <v/>
      </c>
      <c r="M10" s="41">
        <f>L10+M9</f>
        <v/>
      </c>
      <c r="N10" s="41">
        <f>M10+N9</f>
        <v/>
      </c>
      <c r="O10" s="41">
        <f>N10+O9</f>
        <v/>
      </c>
      <c r="P10" s="41">
        <f>O10+P9</f>
        <v/>
      </c>
      <c r="Q10" s="41">
        <f>P10+Q9</f>
        <v/>
      </c>
      <c r="R10" s="41">
        <f>Q10+R9</f>
        <v/>
      </c>
      <c r="S10" s="41">
        <f>R10+S9</f>
        <v/>
      </c>
      <c r="T10" s="41">
        <f>S10+T9</f>
        <v/>
      </c>
      <c r="U10" s="41">
        <f>T10+U9</f>
        <v/>
      </c>
      <c r="V10" s="41">
        <f>U10+V9</f>
        <v/>
      </c>
      <c r="W10" s="41">
        <f>V10+W9</f>
        <v/>
      </c>
      <c r="X10" s="41">
        <f>W10+X9</f>
        <v/>
      </c>
      <c r="Y10" s="41">
        <f>X10+Y9</f>
        <v/>
      </c>
      <c r="Z10" s="41">
        <f>Y10+Z9</f>
        <v/>
      </c>
      <c r="AA10" s="41">
        <f>Z10+AA9</f>
        <v/>
      </c>
      <c r="AB10" s="41">
        <f>AA10+AB9</f>
        <v/>
      </c>
      <c r="AC10" s="41">
        <f>AB10+AC9</f>
        <v/>
      </c>
    </row>
    <row r="11">
      <c r="A11" s="36" t="n"/>
      <c r="B11" s="36" t="n"/>
      <c r="C11" s="37" t="inlineStr">
        <is>
          <t>今週出来高金額</t>
        </is>
      </c>
      <c r="D11" s="38" t="n"/>
      <c r="E11" s="36" t="n"/>
      <c r="F11" s="39" t="n"/>
      <c r="G11" s="40" t="n"/>
      <c r="H11" s="42">
        <f>H16+H21+H46+H131</f>
        <v/>
      </c>
      <c r="I11" s="42">
        <f>I16+I21+I46+I131</f>
        <v/>
      </c>
      <c r="J11" s="42">
        <f>J16+J21+J46+J131</f>
        <v/>
      </c>
      <c r="K11" s="42">
        <f>K16+K21+K46+K131</f>
        <v/>
      </c>
      <c r="L11" s="42">
        <f>L16+L21+L46+L131</f>
        <v/>
      </c>
      <c r="M11" s="42">
        <f>M16+M21+M46+M131</f>
        <v/>
      </c>
      <c r="N11" s="42">
        <f>N16+N21+N46+N131</f>
        <v/>
      </c>
      <c r="O11" s="42">
        <f>O16+O21+O46+O131</f>
        <v/>
      </c>
      <c r="P11" s="42">
        <f>P16+P21+P46+P131</f>
        <v/>
      </c>
      <c r="Q11" s="42">
        <f>Q16+Q21+Q46+Q131</f>
        <v/>
      </c>
      <c r="R11" s="42">
        <f>R16+R21+R46+R131</f>
        <v/>
      </c>
      <c r="S11" s="42">
        <f>S16+S21+S46+S131</f>
        <v/>
      </c>
      <c r="T11" s="42">
        <f>T16+T21+T46+T131</f>
        <v/>
      </c>
      <c r="U11" s="42">
        <f>U16+U21+U46+U131</f>
        <v/>
      </c>
      <c r="V11" s="42">
        <f>V16+V21+V46+V131</f>
        <v/>
      </c>
      <c r="W11" s="42">
        <f>W16+W21+W46+W131</f>
        <v/>
      </c>
      <c r="X11" s="42">
        <f>X16+X21+X46+X131</f>
        <v/>
      </c>
      <c r="Y11" s="42">
        <f>Y16+Y21+Y46+Y131</f>
        <v/>
      </c>
      <c r="Z11" s="42">
        <f>Z16+Z21+Z46+Z131</f>
        <v/>
      </c>
      <c r="AA11" s="42">
        <f>AA16+AA21+AA46+AA131</f>
        <v/>
      </c>
      <c r="AB11" s="42">
        <f>AB16+AB21+AB46+AB131</f>
        <v/>
      </c>
      <c r="AC11" s="42">
        <f>AC16+AC21+AC46+AC131</f>
        <v/>
      </c>
    </row>
    <row r="12">
      <c r="A12" s="36" t="n"/>
      <c r="B12" s="36" t="n"/>
      <c r="C12" s="37" t="inlineStr">
        <is>
          <t>累計出来高金額</t>
        </is>
      </c>
      <c r="D12" s="38" t="n"/>
      <c r="E12" s="36" t="n"/>
      <c r="F12" s="39" t="n"/>
      <c r="G12" s="40" t="n"/>
      <c r="H12" s="42">
        <f>H11</f>
        <v/>
      </c>
      <c r="I12" s="42">
        <f>H12+I11</f>
        <v/>
      </c>
      <c r="J12" s="42">
        <f>I12+J11</f>
        <v/>
      </c>
      <c r="K12" s="42">
        <f>J12+K11</f>
        <v/>
      </c>
      <c r="L12" s="42">
        <f>K12+L11</f>
        <v/>
      </c>
      <c r="M12" s="42">
        <f>L12+M11</f>
        <v/>
      </c>
      <c r="N12" s="42">
        <f>M12+N11</f>
        <v/>
      </c>
      <c r="O12" s="42">
        <f>N12+O11</f>
        <v/>
      </c>
      <c r="P12" s="42">
        <f>O12+P11</f>
        <v/>
      </c>
      <c r="Q12" s="42">
        <f>P12+Q11</f>
        <v/>
      </c>
      <c r="R12" s="42">
        <f>Q12+R11</f>
        <v/>
      </c>
      <c r="S12" s="42">
        <f>R12+S11</f>
        <v/>
      </c>
      <c r="T12" s="42">
        <f>S12+T11</f>
        <v/>
      </c>
      <c r="U12" s="42">
        <f>T12+U11</f>
        <v/>
      </c>
      <c r="V12" s="42">
        <f>U12+V11</f>
        <v/>
      </c>
      <c r="W12" s="42">
        <f>V12+W11</f>
        <v/>
      </c>
      <c r="X12" s="42">
        <f>W12+X11</f>
        <v/>
      </c>
      <c r="Y12" s="42">
        <f>X12+Y11</f>
        <v/>
      </c>
      <c r="Z12" s="42">
        <f>Y12+Z11</f>
        <v/>
      </c>
      <c r="AA12" s="42">
        <f>Z12+AA11</f>
        <v/>
      </c>
      <c r="AB12" s="42">
        <f>AA12+AB11</f>
        <v/>
      </c>
      <c r="AC12" s="42">
        <f>AB12+AC11</f>
        <v/>
      </c>
    </row>
    <row r="13">
      <c r="A13" s="43" t="inlineStr">
        <is>
          <t>a)</t>
        </is>
      </c>
      <c r="B13" s="44" t="inlineStr">
        <is>
          <t>共通仮設工事</t>
        </is>
      </c>
      <c r="C13" s="45" t="inlineStr">
        <is>
          <t>工程</t>
        </is>
      </c>
      <c r="D13" s="46">
        <f>'金額リスト'!C6</f>
        <v/>
      </c>
      <c r="E13" s="43">
        <f>SUMPRODUCT((H13:AC13&lt;&gt;"")*(H$6:AC$6=1))</f>
        <v/>
      </c>
      <c r="F13" s="47">
        <f>SUM(H14:AC14)</f>
        <v/>
      </c>
      <c r="G13" s="48">
        <f>IF(AND(ABS(F13-1)&lt;0.0001,ABS(AC15-1)&lt;0.0001),"OK",IF(E13=0,"工程未設定","NG"))</f>
        <v/>
      </c>
      <c r="H13" s="49" t="n"/>
      <c r="I13" s="49" t="n">
        <v>1</v>
      </c>
      <c r="J13" s="49" t="n">
        <v>1</v>
      </c>
      <c r="K13" s="49" t="n">
        <v>1</v>
      </c>
      <c r="L13" s="49" t="n">
        <v>1</v>
      </c>
      <c r="M13" s="49" t="n">
        <v>1</v>
      </c>
      <c r="N13" s="49" t="n">
        <v>1</v>
      </c>
      <c r="O13" s="49" t="n">
        <v>1</v>
      </c>
      <c r="P13" s="49" t="n">
        <v>1</v>
      </c>
      <c r="Q13" s="49" t="n">
        <v>1</v>
      </c>
      <c r="R13" s="49" t="n">
        <v>1</v>
      </c>
      <c r="S13" s="49" t="n">
        <v>1</v>
      </c>
      <c r="T13" s="49" t="n">
        <v>1</v>
      </c>
      <c r="U13" s="49" t="n">
        <v>1</v>
      </c>
      <c r="V13" s="49" t="n">
        <v>1</v>
      </c>
      <c r="W13" s="49" t="n">
        <v>1</v>
      </c>
      <c r="X13" s="49" t="n">
        <v>1</v>
      </c>
      <c r="Y13" s="49" t="n">
        <v>1</v>
      </c>
      <c r="Z13" s="49" t="n">
        <v>1</v>
      </c>
      <c r="AA13" s="49" t="n">
        <v>1</v>
      </c>
      <c r="AB13" s="49" t="n">
        <v>1</v>
      </c>
      <c r="AC13" s="49" t="n">
        <v>1</v>
      </c>
    </row>
    <row r="14">
      <c r="A14" s="50" t="n"/>
      <c r="B14" s="51" t="n"/>
      <c r="C14" s="52" t="inlineStr">
        <is>
          <t>今週出来高率</t>
        </is>
      </c>
      <c r="D14" s="53" t="n"/>
      <c r="E14" s="50" t="n"/>
      <c r="F14" s="54" t="n"/>
      <c r="G14" s="55" t="n"/>
      <c r="H14" s="41">
        <f>IF(OR($E13=0,H13="",H$6&lt;&gt;1),0,1/$E13)</f>
        <v/>
      </c>
      <c r="I14" s="41">
        <f>IF(OR($E13=0,I13="",I$6&lt;&gt;1),0,1/$E13)</f>
        <v/>
      </c>
      <c r="J14" s="41">
        <f>IF(OR($E13=0,J13="",J$6&lt;&gt;1),0,1/$E13)</f>
        <v/>
      </c>
      <c r="K14" s="41">
        <f>IF(OR($E13=0,K13="",K$6&lt;&gt;1),0,1/$E13)</f>
        <v/>
      </c>
      <c r="L14" s="41">
        <f>IF(OR($E13=0,L13="",L$6&lt;&gt;1),0,1/$E13)</f>
        <v/>
      </c>
      <c r="M14" s="41">
        <f>IF(OR($E13=0,M13="",M$6&lt;&gt;1),0,1/$E13)</f>
        <v/>
      </c>
      <c r="N14" s="41">
        <f>IF(OR($E13=0,N13="",N$6&lt;&gt;1),0,1/$E13)</f>
        <v/>
      </c>
      <c r="O14" s="41">
        <f>IF(OR($E13=0,O13="",O$6&lt;&gt;1),0,1/$E13)</f>
        <v/>
      </c>
      <c r="P14" s="41">
        <f>IF(OR($E13=0,P13="",P$6&lt;&gt;1),0,1/$E13)</f>
        <v/>
      </c>
      <c r="Q14" s="41">
        <f>IF(OR($E13=0,Q13="",Q$6&lt;&gt;1),0,1/$E13)</f>
        <v/>
      </c>
      <c r="R14" s="41">
        <f>IF(OR($E13=0,R13="",R$6&lt;&gt;1),0,1/$E13)</f>
        <v/>
      </c>
      <c r="S14" s="41">
        <f>IF(OR($E13=0,S13="",S$6&lt;&gt;1),0,1/$E13)</f>
        <v/>
      </c>
      <c r="T14" s="41">
        <f>IF(OR($E13=0,T13="",T$6&lt;&gt;1),0,1/$E13)</f>
        <v/>
      </c>
      <c r="U14" s="41">
        <f>IF(OR($E13=0,U13="",U$6&lt;&gt;1),0,1/$E13)</f>
        <v/>
      </c>
      <c r="V14" s="41">
        <f>IF(OR($E13=0,V13="",V$6&lt;&gt;1),0,1/$E13)</f>
        <v/>
      </c>
      <c r="W14" s="41">
        <f>IF(OR($E13=0,W13="",W$6&lt;&gt;1),0,1/$E13)</f>
        <v/>
      </c>
      <c r="X14" s="41">
        <f>IF(OR($E13=0,X13="",X$6&lt;&gt;1),0,1/$E13)</f>
        <v/>
      </c>
      <c r="Y14" s="41">
        <f>IF(OR($E13=0,Y13="",Y$6&lt;&gt;1),0,1/$E13)</f>
        <v/>
      </c>
      <c r="Z14" s="41">
        <f>IF(OR($E13=0,Z13="",Z$6&lt;&gt;1),0,1/$E13)</f>
        <v/>
      </c>
      <c r="AA14" s="41">
        <f>IF(OR($E13=0,AA13="",AA$6&lt;&gt;1),0,1/$E13)</f>
        <v/>
      </c>
      <c r="AB14" s="41">
        <f>IF(OR($E13=0,AB13="",AB$6&lt;&gt;1),0,1/$E13)</f>
        <v/>
      </c>
      <c r="AC14" s="41">
        <f>IF(OR($E13=0,AC13="",AC$6&lt;&gt;1),0,1/$E13)</f>
        <v/>
      </c>
    </row>
    <row r="15">
      <c r="A15" s="50" t="n"/>
      <c r="B15" s="51" t="n"/>
      <c r="C15" s="52" t="inlineStr">
        <is>
          <t>累計出来高率</t>
        </is>
      </c>
      <c r="D15" s="53" t="n"/>
      <c r="E15" s="50" t="n"/>
      <c r="F15" s="54" t="n"/>
      <c r="G15" s="55" t="n"/>
      <c r="H15" s="41">
        <f>H14</f>
        <v/>
      </c>
      <c r="I15" s="41">
        <f>H15+I14</f>
        <v/>
      </c>
      <c r="J15" s="41">
        <f>I15+J14</f>
        <v/>
      </c>
      <c r="K15" s="41">
        <f>J15+K14</f>
        <v/>
      </c>
      <c r="L15" s="41">
        <f>K15+L14</f>
        <v/>
      </c>
      <c r="M15" s="41">
        <f>L15+M14</f>
        <v/>
      </c>
      <c r="N15" s="41">
        <f>M15+N14</f>
        <v/>
      </c>
      <c r="O15" s="41">
        <f>N15+O14</f>
        <v/>
      </c>
      <c r="P15" s="41">
        <f>O15+P14</f>
        <v/>
      </c>
      <c r="Q15" s="41">
        <f>P15+Q14</f>
        <v/>
      </c>
      <c r="R15" s="41">
        <f>Q15+R14</f>
        <v/>
      </c>
      <c r="S15" s="41">
        <f>R15+S14</f>
        <v/>
      </c>
      <c r="T15" s="41">
        <f>S15+T14</f>
        <v/>
      </c>
      <c r="U15" s="41">
        <f>T15+U14</f>
        <v/>
      </c>
      <c r="V15" s="41">
        <f>U15+V14</f>
        <v/>
      </c>
      <c r="W15" s="41">
        <f>V15+W14</f>
        <v/>
      </c>
      <c r="X15" s="41">
        <f>W15+X14</f>
        <v/>
      </c>
      <c r="Y15" s="41">
        <f>X15+Y14</f>
        <v/>
      </c>
      <c r="Z15" s="41">
        <f>Y15+Z14</f>
        <v/>
      </c>
      <c r="AA15" s="41">
        <f>Z15+AA14</f>
        <v/>
      </c>
      <c r="AB15" s="41">
        <f>AA15+AB14</f>
        <v/>
      </c>
      <c r="AC15" s="41">
        <f>AB15+AC14</f>
        <v/>
      </c>
    </row>
    <row r="16">
      <c r="A16" s="50" t="n"/>
      <c r="B16" s="51" t="n"/>
      <c r="C16" s="52" t="inlineStr">
        <is>
          <t>今週出来高金額</t>
        </is>
      </c>
      <c r="D16" s="53" t="n"/>
      <c r="E16" s="50" t="n"/>
      <c r="F16" s="54" t="n"/>
      <c r="G16" s="55" t="n"/>
      <c r="H16" s="42">
        <f>H14*$D13</f>
        <v/>
      </c>
      <c r="I16" s="42">
        <f>I14*$D13</f>
        <v/>
      </c>
      <c r="J16" s="42">
        <f>J14*$D13</f>
        <v/>
      </c>
      <c r="K16" s="42">
        <f>K14*$D13</f>
        <v/>
      </c>
      <c r="L16" s="42">
        <f>L14*$D13</f>
        <v/>
      </c>
      <c r="M16" s="42">
        <f>M14*$D13</f>
        <v/>
      </c>
      <c r="N16" s="42">
        <f>N14*$D13</f>
        <v/>
      </c>
      <c r="O16" s="42">
        <f>O14*$D13</f>
        <v/>
      </c>
      <c r="P16" s="42">
        <f>P14*$D13</f>
        <v/>
      </c>
      <c r="Q16" s="42">
        <f>Q14*$D13</f>
        <v/>
      </c>
      <c r="R16" s="42">
        <f>R14*$D13</f>
        <v/>
      </c>
      <c r="S16" s="42">
        <f>S14*$D13</f>
        <v/>
      </c>
      <c r="T16" s="42">
        <f>T14*$D13</f>
        <v/>
      </c>
      <c r="U16" s="42">
        <f>U14*$D13</f>
        <v/>
      </c>
      <c r="V16" s="42">
        <f>V14*$D13</f>
        <v/>
      </c>
      <c r="W16" s="42">
        <f>W14*$D13</f>
        <v/>
      </c>
      <c r="X16" s="42">
        <f>X14*$D13</f>
        <v/>
      </c>
      <c r="Y16" s="42">
        <f>Y14*$D13</f>
        <v/>
      </c>
      <c r="Z16" s="42">
        <f>Z14*$D13</f>
        <v/>
      </c>
      <c r="AA16" s="42">
        <f>AA14*$D13</f>
        <v/>
      </c>
      <c r="AB16" s="42">
        <f>AB14*$D13</f>
        <v/>
      </c>
      <c r="AC16" s="42">
        <f>AC14*$D13</f>
        <v/>
      </c>
    </row>
    <row r="17">
      <c r="A17" s="50" t="n"/>
      <c r="B17" s="51" t="n"/>
      <c r="C17" s="52" t="inlineStr">
        <is>
          <t>累計出来高金額</t>
        </is>
      </c>
      <c r="D17" s="53" t="n"/>
      <c r="E17" s="50" t="n"/>
      <c r="F17" s="54" t="n"/>
      <c r="G17" s="55" t="n"/>
      <c r="H17" s="42">
        <f>H16</f>
        <v/>
      </c>
      <c r="I17" s="42">
        <f>H17+I16</f>
        <v/>
      </c>
      <c r="J17" s="42">
        <f>I17+J16</f>
        <v/>
      </c>
      <c r="K17" s="42">
        <f>J17+K16</f>
        <v/>
      </c>
      <c r="L17" s="42">
        <f>K17+L16</f>
        <v/>
      </c>
      <c r="M17" s="42">
        <f>L17+M16</f>
        <v/>
      </c>
      <c r="N17" s="42">
        <f>M17+N16</f>
        <v/>
      </c>
      <c r="O17" s="42">
        <f>N17+O16</f>
        <v/>
      </c>
      <c r="P17" s="42">
        <f>O17+P16</f>
        <v/>
      </c>
      <c r="Q17" s="42">
        <f>P17+Q16</f>
        <v/>
      </c>
      <c r="R17" s="42">
        <f>Q17+R16</f>
        <v/>
      </c>
      <c r="S17" s="42">
        <f>R17+S16</f>
        <v/>
      </c>
      <c r="T17" s="42">
        <f>S17+T16</f>
        <v/>
      </c>
      <c r="U17" s="42">
        <f>T17+U16</f>
        <v/>
      </c>
      <c r="V17" s="42">
        <f>U17+V16</f>
        <v/>
      </c>
      <c r="W17" s="42">
        <f>V17+W16</f>
        <v/>
      </c>
      <c r="X17" s="42">
        <f>W17+X16</f>
        <v/>
      </c>
      <c r="Y17" s="42">
        <f>X17+Y16</f>
        <v/>
      </c>
      <c r="Z17" s="42">
        <f>Y17+Z16</f>
        <v/>
      </c>
      <c r="AA17" s="42">
        <f>Z17+AA16</f>
        <v/>
      </c>
      <c r="AB17" s="42">
        <f>AA17+AB16</f>
        <v/>
      </c>
      <c r="AC17" s="42">
        <f>AB17+AC16</f>
        <v/>
      </c>
    </row>
    <row r="18">
      <c r="A18" s="43" t="inlineStr">
        <is>
          <t>b)</t>
        </is>
      </c>
      <c r="B18" s="44" t="inlineStr">
        <is>
          <t>解体撤去工事</t>
        </is>
      </c>
      <c r="C18" s="45" t="inlineStr">
        <is>
          <t>工程</t>
        </is>
      </c>
      <c r="D18" s="56">
        <f>D23+D28+D33+D38</f>
        <v/>
      </c>
      <c r="E18" s="43">
        <f>COUNTIF(H19:AC19,"&gt;0")</f>
        <v/>
      </c>
      <c r="F18" s="47">
        <f>SUM(H19:AC19)</f>
        <v/>
      </c>
      <c r="G18" s="48">
        <f>IF(AND(ABS(F18-1)&lt;0.0001,ABS(AC20-1)&lt;0.0001),"OK",IF(E18=0,"工程未設定","NG"))</f>
        <v/>
      </c>
      <c r="H18" s="35">
        <f>IF(H19&gt;0,"■","")</f>
        <v/>
      </c>
      <c r="I18" s="35">
        <f>IF(I19&gt;0,"■","")</f>
        <v/>
      </c>
      <c r="J18" s="35">
        <f>IF(J19&gt;0,"■","")</f>
        <v/>
      </c>
      <c r="K18" s="35">
        <f>IF(K19&gt;0,"■","")</f>
        <v/>
      </c>
      <c r="L18" s="35">
        <f>IF(L19&gt;0,"■","")</f>
        <v/>
      </c>
      <c r="M18" s="35">
        <f>IF(M19&gt;0,"■","")</f>
        <v/>
      </c>
      <c r="N18" s="35">
        <f>IF(N19&gt;0,"■","")</f>
        <v/>
      </c>
      <c r="O18" s="35">
        <f>IF(O19&gt;0,"■","")</f>
        <v/>
      </c>
      <c r="P18" s="35">
        <f>IF(P19&gt;0,"■","")</f>
        <v/>
      </c>
      <c r="Q18" s="35">
        <f>IF(Q19&gt;0,"■","")</f>
        <v/>
      </c>
      <c r="R18" s="35">
        <f>IF(R19&gt;0,"■","")</f>
        <v/>
      </c>
      <c r="S18" s="35">
        <f>IF(S19&gt;0,"■","")</f>
        <v/>
      </c>
      <c r="T18" s="35">
        <f>IF(T19&gt;0,"■","")</f>
        <v/>
      </c>
      <c r="U18" s="35">
        <f>IF(U19&gt;0,"■","")</f>
        <v/>
      </c>
      <c r="V18" s="35">
        <f>IF(V19&gt;0,"■","")</f>
        <v/>
      </c>
      <c r="W18" s="35">
        <f>IF(W19&gt;0,"■","")</f>
        <v/>
      </c>
      <c r="X18" s="35">
        <f>IF(X19&gt;0,"■","")</f>
        <v/>
      </c>
      <c r="Y18" s="35">
        <f>IF(Y19&gt;0,"■","")</f>
        <v/>
      </c>
      <c r="Z18" s="35">
        <f>IF(Z19&gt;0,"■","")</f>
        <v/>
      </c>
      <c r="AA18" s="35">
        <f>IF(AA19&gt;0,"■","")</f>
        <v/>
      </c>
      <c r="AB18" s="35">
        <f>IF(AB19&gt;0,"■","")</f>
        <v/>
      </c>
      <c r="AC18" s="35">
        <f>IF(AC19&gt;0,"■","")</f>
        <v/>
      </c>
    </row>
    <row r="19">
      <c r="A19" s="50" t="n"/>
      <c r="B19" s="51" t="n"/>
      <c r="C19" s="52" t="inlineStr">
        <is>
          <t>今週出来高率</t>
        </is>
      </c>
      <c r="D19" s="57" t="n"/>
      <c r="E19" s="50" t="n"/>
      <c r="F19" s="54" t="n"/>
      <c r="G19" s="55" t="n"/>
      <c r="H19" s="41">
        <f>IF($D18=0,0,(H24*$D23+H29*$D28+H34*$D33+H39*$D38)/$D18)</f>
        <v/>
      </c>
      <c r="I19" s="41">
        <f>IF($D18=0,0,(I24*$D23+I29*$D28+I34*$D33+I39*$D38)/$D18)</f>
        <v/>
      </c>
      <c r="J19" s="41">
        <f>IF($D18=0,0,(J24*$D23+J29*$D28+J34*$D33+J39*$D38)/$D18)</f>
        <v/>
      </c>
      <c r="K19" s="41">
        <f>IF($D18=0,0,(K24*$D23+K29*$D28+K34*$D33+K39*$D38)/$D18)</f>
        <v/>
      </c>
      <c r="L19" s="41">
        <f>IF($D18=0,0,(L24*$D23+L29*$D28+L34*$D33+L39*$D38)/$D18)</f>
        <v/>
      </c>
      <c r="M19" s="41">
        <f>IF($D18=0,0,(M24*$D23+M29*$D28+M34*$D33+M39*$D38)/$D18)</f>
        <v/>
      </c>
      <c r="N19" s="41">
        <f>IF($D18=0,0,(N24*$D23+N29*$D28+N34*$D33+N39*$D38)/$D18)</f>
        <v/>
      </c>
      <c r="O19" s="41">
        <f>IF($D18=0,0,(O24*$D23+O29*$D28+O34*$D33+O39*$D38)/$D18)</f>
        <v/>
      </c>
      <c r="P19" s="41">
        <f>IF($D18=0,0,(P24*$D23+P29*$D28+P34*$D33+P39*$D38)/$D18)</f>
        <v/>
      </c>
      <c r="Q19" s="41">
        <f>IF($D18=0,0,(Q24*$D23+Q29*$D28+Q34*$D33+Q39*$D38)/$D18)</f>
        <v/>
      </c>
      <c r="R19" s="41">
        <f>IF($D18=0,0,(R24*$D23+R29*$D28+R34*$D33+R39*$D38)/$D18)</f>
        <v/>
      </c>
      <c r="S19" s="41">
        <f>IF($D18=0,0,(S24*$D23+S29*$D28+S34*$D33+S39*$D38)/$D18)</f>
        <v/>
      </c>
      <c r="T19" s="41">
        <f>IF($D18=0,0,(T24*$D23+T29*$D28+T34*$D33+T39*$D38)/$D18)</f>
        <v/>
      </c>
      <c r="U19" s="41">
        <f>IF($D18=0,0,(U24*$D23+U29*$D28+U34*$D33+U39*$D38)/$D18)</f>
        <v/>
      </c>
      <c r="V19" s="41">
        <f>IF($D18=0,0,(V24*$D23+V29*$D28+V34*$D33+V39*$D38)/$D18)</f>
        <v/>
      </c>
      <c r="W19" s="41">
        <f>IF($D18=0,0,(W24*$D23+W29*$D28+W34*$D33+W39*$D38)/$D18)</f>
        <v/>
      </c>
      <c r="X19" s="41">
        <f>IF($D18=0,0,(X24*$D23+X29*$D28+X34*$D33+X39*$D38)/$D18)</f>
        <v/>
      </c>
      <c r="Y19" s="41">
        <f>IF($D18=0,0,(Y24*$D23+Y29*$D28+Y34*$D33+Y39*$D38)/$D18)</f>
        <v/>
      </c>
      <c r="Z19" s="41">
        <f>IF($D18=0,0,(Z24*$D23+Z29*$D28+Z34*$D33+Z39*$D38)/$D18)</f>
        <v/>
      </c>
      <c r="AA19" s="41">
        <f>IF($D18=0,0,(AA24*$D23+AA29*$D28+AA34*$D33+AA39*$D38)/$D18)</f>
        <v/>
      </c>
      <c r="AB19" s="41">
        <f>IF($D18=0,0,(AB24*$D23+AB29*$D28+AB34*$D33+AB39*$D38)/$D18)</f>
        <v/>
      </c>
      <c r="AC19" s="41">
        <f>IF($D18=0,0,(AC24*$D23+AC29*$D28+AC34*$D33+AC39*$D38)/$D18)</f>
        <v/>
      </c>
    </row>
    <row r="20">
      <c r="A20" s="50" t="n"/>
      <c r="B20" s="51" t="n"/>
      <c r="C20" s="52" t="inlineStr">
        <is>
          <t>累計出来高率</t>
        </is>
      </c>
      <c r="D20" s="57" t="n"/>
      <c r="E20" s="50" t="n"/>
      <c r="F20" s="54" t="n"/>
      <c r="G20" s="55" t="n"/>
      <c r="H20" s="41">
        <f>H19</f>
        <v/>
      </c>
      <c r="I20" s="41">
        <f>H20+I19</f>
        <v/>
      </c>
      <c r="J20" s="41">
        <f>I20+J19</f>
        <v/>
      </c>
      <c r="K20" s="41">
        <f>J20+K19</f>
        <v/>
      </c>
      <c r="L20" s="41">
        <f>K20+L19</f>
        <v/>
      </c>
      <c r="M20" s="41">
        <f>L20+M19</f>
        <v/>
      </c>
      <c r="N20" s="41">
        <f>M20+N19</f>
        <v/>
      </c>
      <c r="O20" s="41">
        <f>N20+O19</f>
        <v/>
      </c>
      <c r="P20" s="41">
        <f>O20+P19</f>
        <v/>
      </c>
      <c r="Q20" s="41">
        <f>P20+Q19</f>
        <v/>
      </c>
      <c r="R20" s="41">
        <f>Q20+R19</f>
        <v/>
      </c>
      <c r="S20" s="41">
        <f>R20+S19</f>
        <v/>
      </c>
      <c r="T20" s="41">
        <f>S20+T19</f>
        <v/>
      </c>
      <c r="U20" s="41">
        <f>T20+U19</f>
        <v/>
      </c>
      <c r="V20" s="41">
        <f>U20+V19</f>
        <v/>
      </c>
      <c r="W20" s="41">
        <f>V20+W19</f>
        <v/>
      </c>
      <c r="X20" s="41">
        <f>W20+X19</f>
        <v/>
      </c>
      <c r="Y20" s="41">
        <f>X20+Y19</f>
        <v/>
      </c>
      <c r="Z20" s="41">
        <f>Y20+Z19</f>
        <v/>
      </c>
      <c r="AA20" s="41">
        <f>Z20+AA19</f>
        <v/>
      </c>
      <c r="AB20" s="41">
        <f>AA20+AB19</f>
        <v/>
      </c>
      <c r="AC20" s="41">
        <f>AB20+AC19</f>
        <v/>
      </c>
    </row>
    <row r="21">
      <c r="A21" s="50" t="n"/>
      <c r="B21" s="51" t="n"/>
      <c r="C21" s="52" t="inlineStr">
        <is>
          <t>今週出来高金額</t>
        </is>
      </c>
      <c r="D21" s="57" t="n"/>
      <c r="E21" s="50" t="n"/>
      <c r="F21" s="54" t="n"/>
      <c r="G21" s="55" t="n"/>
      <c r="H21" s="42">
        <f>H26+H31+H36+H41</f>
        <v/>
      </c>
      <c r="I21" s="42">
        <f>I26+I31+I36+I41</f>
        <v/>
      </c>
      <c r="J21" s="42">
        <f>J26+J31+J36+J41</f>
        <v/>
      </c>
      <c r="K21" s="42">
        <f>K26+K31+K36+K41</f>
        <v/>
      </c>
      <c r="L21" s="42">
        <f>L26+L31+L36+L41</f>
        <v/>
      </c>
      <c r="M21" s="42">
        <f>M26+M31+M36+M41</f>
        <v/>
      </c>
      <c r="N21" s="42">
        <f>N26+N31+N36+N41</f>
        <v/>
      </c>
      <c r="O21" s="42">
        <f>O26+O31+O36+O41</f>
        <v/>
      </c>
      <c r="P21" s="42">
        <f>P26+P31+P36+P41</f>
        <v/>
      </c>
      <c r="Q21" s="42">
        <f>Q26+Q31+Q36+Q41</f>
        <v/>
      </c>
      <c r="R21" s="42">
        <f>R26+R31+R36+R41</f>
        <v/>
      </c>
      <c r="S21" s="42">
        <f>S26+S31+S36+S41</f>
        <v/>
      </c>
      <c r="T21" s="42">
        <f>T26+T31+T36+T41</f>
        <v/>
      </c>
      <c r="U21" s="42">
        <f>U26+U31+U36+U41</f>
        <v/>
      </c>
      <c r="V21" s="42">
        <f>V26+V31+V36+V41</f>
        <v/>
      </c>
      <c r="W21" s="42">
        <f>W26+W31+W36+W41</f>
        <v/>
      </c>
      <c r="X21" s="42">
        <f>X26+X31+X36+X41</f>
        <v/>
      </c>
      <c r="Y21" s="42">
        <f>Y26+Y31+Y36+Y41</f>
        <v/>
      </c>
      <c r="Z21" s="42">
        <f>Z26+Z31+Z36+Z41</f>
        <v/>
      </c>
      <c r="AA21" s="42">
        <f>AA26+AA31+AA36+AA41</f>
        <v/>
      </c>
      <c r="AB21" s="42">
        <f>AB26+AB31+AB36+AB41</f>
        <v/>
      </c>
      <c r="AC21" s="42">
        <f>AC26+AC31+AC36+AC41</f>
        <v/>
      </c>
    </row>
    <row r="22">
      <c r="A22" s="50" t="n"/>
      <c r="B22" s="51" t="n"/>
      <c r="C22" s="52" t="inlineStr">
        <is>
          <t>累計出来高金額</t>
        </is>
      </c>
      <c r="D22" s="57" t="n"/>
      <c r="E22" s="50" t="n"/>
      <c r="F22" s="54" t="n"/>
      <c r="G22" s="55" t="n"/>
      <c r="H22" s="42">
        <f>H21</f>
        <v/>
      </c>
      <c r="I22" s="42">
        <f>H22+I21</f>
        <v/>
      </c>
      <c r="J22" s="42">
        <f>I22+J21</f>
        <v/>
      </c>
      <c r="K22" s="42">
        <f>J22+K21</f>
        <v/>
      </c>
      <c r="L22" s="42">
        <f>K22+L21</f>
        <v/>
      </c>
      <c r="M22" s="42">
        <f>L22+M21</f>
        <v/>
      </c>
      <c r="N22" s="42">
        <f>M22+N21</f>
        <v/>
      </c>
      <c r="O22" s="42">
        <f>N22+O21</f>
        <v/>
      </c>
      <c r="P22" s="42">
        <f>O22+P21</f>
        <v/>
      </c>
      <c r="Q22" s="42">
        <f>P22+Q21</f>
        <v/>
      </c>
      <c r="R22" s="42">
        <f>Q22+R21</f>
        <v/>
      </c>
      <c r="S22" s="42">
        <f>R22+S21</f>
        <v/>
      </c>
      <c r="T22" s="42">
        <f>S22+T21</f>
        <v/>
      </c>
      <c r="U22" s="42">
        <f>T22+U21</f>
        <v/>
      </c>
      <c r="V22" s="42">
        <f>U22+V21</f>
        <v/>
      </c>
      <c r="W22" s="42">
        <f>V22+W21</f>
        <v/>
      </c>
      <c r="X22" s="42">
        <f>W22+X21</f>
        <v/>
      </c>
      <c r="Y22" s="42">
        <f>X22+Y21</f>
        <v/>
      </c>
      <c r="Z22" s="42">
        <f>Y22+Z21</f>
        <v/>
      </c>
      <c r="AA22" s="42">
        <f>Z22+AA21</f>
        <v/>
      </c>
      <c r="AB22" s="42">
        <f>AA22+AB21</f>
        <v/>
      </c>
      <c r="AC22" s="42">
        <f>AB22+AC21</f>
        <v/>
      </c>
    </row>
    <row r="23">
      <c r="A23" s="58" t="inlineStr">
        <is>
          <t>b)-1</t>
        </is>
      </c>
      <c r="B23" s="59" t="inlineStr">
        <is>
          <t>建築工事</t>
        </is>
      </c>
      <c r="C23" s="60" t="inlineStr">
        <is>
          <t>工程</t>
        </is>
      </c>
      <c r="D23" s="61">
        <f>'金額リスト'!C8</f>
        <v/>
      </c>
      <c r="E23" s="58">
        <f>SUMPRODUCT((H23:AC23&lt;&gt;"")*(H$6:AC$6=1))</f>
        <v/>
      </c>
      <c r="F23" s="62">
        <f>SUM(H24:AC24)</f>
        <v/>
      </c>
      <c r="G23" s="63">
        <f>IF(AND(ABS(F23-1)&lt;0.0001,ABS(AC25-1)&lt;0.0001),"OK",IF(E23=0,"工程未設定","NG"))</f>
        <v/>
      </c>
      <c r="H23" s="64" t="n"/>
      <c r="I23" s="64" t="n">
        <v>1</v>
      </c>
      <c r="J23" s="64" t="n">
        <v>1</v>
      </c>
      <c r="K23" s="64" t="n">
        <v>1</v>
      </c>
      <c r="L23" s="64" t="n"/>
      <c r="M23" s="64" t="n">
        <v>1</v>
      </c>
      <c r="N23" s="64" t="n"/>
      <c r="O23" s="64" t="n">
        <v>1</v>
      </c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</row>
    <row r="24">
      <c r="A24" s="65" t="n"/>
      <c r="B24" s="66" t="n"/>
      <c r="C24" s="67" t="inlineStr">
        <is>
          <t>今週出来高率</t>
        </is>
      </c>
      <c r="D24" s="68" t="n"/>
      <c r="E24" s="65" t="n"/>
      <c r="F24" s="69" t="n"/>
      <c r="G24" s="70" t="n"/>
      <c r="H24" s="71">
        <f>IF(OR($E23=0,H23="",H$6&lt;&gt;1),0,1/$E23)</f>
        <v/>
      </c>
      <c r="I24" s="71">
        <f>IF(OR($E23=0,I23="",I$6&lt;&gt;1),0,1/$E23)</f>
        <v/>
      </c>
      <c r="J24" s="71">
        <f>IF(OR($E23=0,J23="",J$6&lt;&gt;1),0,1/$E23)</f>
        <v/>
      </c>
      <c r="K24" s="71">
        <f>IF(OR($E23=0,K23="",K$6&lt;&gt;1),0,1/$E23)</f>
        <v/>
      </c>
      <c r="L24" s="71">
        <f>IF(OR($E23=0,L23="",L$6&lt;&gt;1),0,1/$E23)</f>
        <v/>
      </c>
      <c r="M24" s="71">
        <f>IF(OR($E23=0,M23="",M$6&lt;&gt;1),0,1/$E23)</f>
        <v/>
      </c>
      <c r="N24" s="71">
        <f>IF(OR($E23=0,N23="",N$6&lt;&gt;1),0,1/$E23)</f>
        <v/>
      </c>
      <c r="O24" s="71">
        <f>IF(OR($E23=0,O23="",O$6&lt;&gt;1),0,1/$E23)</f>
        <v/>
      </c>
      <c r="P24" s="71">
        <f>IF(OR($E23=0,P23="",P$6&lt;&gt;1),0,1/$E23)</f>
        <v/>
      </c>
      <c r="Q24" s="71">
        <f>IF(OR($E23=0,Q23="",Q$6&lt;&gt;1),0,1/$E23)</f>
        <v/>
      </c>
      <c r="R24" s="71">
        <f>IF(OR($E23=0,R23="",R$6&lt;&gt;1),0,1/$E23)</f>
        <v/>
      </c>
      <c r="S24" s="71">
        <f>IF(OR($E23=0,S23="",S$6&lt;&gt;1),0,1/$E23)</f>
        <v/>
      </c>
      <c r="T24" s="71">
        <f>IF(OR($E23=0,T23="",T$6&lt;&gt;1),0,1/$E23)</f>
        <v/>
      </c>
      <c r="U24" s="71">
        <f>IF(OR($E23=0,U23="",U$6&lt;&gt;1),0,1/$E23)</f>
        <v/>
      </c>
      <c r="V24" s="71">
        <f>IF(OR($E23=0,V23="",V$6&lt;&gt;1),0,1/$E23)</f>
        <v/>
      </c>
      <c r="W24" s="71">
        <f>IF(OR($E23=0,W23="",W$6&lt;&gt;1),0,1/$E23)</f>
        <v/>
      </c>
      <c r="X24" s="71">
        <f>IF(OR($E23=0,X23="",X$6&lt;&gt;1),0,1/$E23)</f>
        <v/>
      </c>
      <c r="Y24" s="71">
        <f>IF(OR($E23=0,Y23="",Y$6&lt;&gt;1),0,1/$E23)</f>
        <v/>
      </c>
      <c r="Z24" s="71">
        <f>IF(OR($E23=0,Z23="",Z$6&lt;&gt;1),0,1/$E23)</f>
        <v/>
      </c>
      <c r="AA24" s="71">
        <f>IF(OR($E23=0,AA23="",AA$6&lt;&gt;1),0,1/$E23)</f>
        <v/>
      </c>
      <c r="AB24" s="71">
        <f>IF(OR($E23=0,AB23="",AB$6&lt;&gt;1),0,1/$E23)</f>
        <v/>
      </c>
      <c r="AC24" s="71">
        <f>IF(OR($E23=0,AC23="",AC$6&lt;&gt;1),0,1/$E23)</f>
        <v/>
      </c>
    </row>
    <row r="25">
      <c r="A25" s="65" t="n"/>
      <c r="B25" s="66" t="n"/>
      <c r="C25" s="67" t="inlineStr">
        <is>
          <t>累計出来高率</t>
        </is>
      </c>
      <c r="D25" s="68" t="n"/>
      <c r="E25" s="65" t="n"/>
      <c r="F25" s="69" t="n"/>
      <c r="G25" s="70" t="n"/>
      <c r="H25" s="71">
        <f>H24</f>
        <v/>
      </c>
      <c r="I25" s="71">
        <f>H25+I24</f>
        <v/>
      </c>
      <c r="J25" s="71">
        <f>I25+J24</f>
        <v/>
      </c>
      <c r="K25" s="71">
        <f>J25+K24</f>
        <v/>
      </c>
      <c r="L25" s="71">
        <f>K25+L24</f>
        <v/>
      </c>
      <c r="M25" s="71">
        <f>L25+M24</f>
        <v/>
      </c>
      <c r="N25" s="71">
        <f>M25+N24</f>
        <v/>
      </c>
      <c r="O25" s="71">
        <f>N25+O24</f>
        <v/>
      </c>
      <c r="P25" s="71">
        <f>O25+P24</f>
        <v/>
      </c>
      <c r="Q25" s="71">
        <f>P25+Q24</f>
        <v/>
      </c>
      <c r="R25" s="71">
        <f>Q25+R24</f>
        <v/>
      </c>
      <c r="S25" s="71">
        <f>R25+S24</f>
        <v/>
      </c>
      <c r="T25" s="71">
        <f>S25+T24</f>
        <v/>
      </c>
      <c r="U25" s="71">
        <f>T25+U24</f>
        <v/>
      </c>
      <c r="V25" s="71">
        <f>U25+V24</f>
        <v/>
      </c>
      <c r="W25" s="71">
        <f>V25+W24</f>
        <v/>
      </c>
      <c r="X25" s="71">
        <f>W25+X24</f>
        <v/>
      </c>
      <c r="Y25" s="71">
        <f>X25+Y24</f>
        <v/>
      </c>
      <c r="Z25" s="71">
        <f>Y25+Z24</f>
        <v/>
      </c>
      <c r="AA25" s="71">
        <f>Z25+AA24</f>
        <v/>
      </c>
      <c r="AB25" s="71">
        <f>AA25+AB24</f>
        <v/>
      </c>
      <c r="AC25" s="71">
        <f>AB25+AC24</f>
        <v/>
      </c>
    </row>
    <row r="26">
      <c r="A26" s="65" t="n"/>
      <c r="B26" s="66" t="n"/>
      <c r="C26" s="67" t="inlineStr">
        <is>
          <t>今週出来高金額</t>
        </is>
      </c>
      <c r="D26" s="68" t="n"/>
      <c r="E26" s="65" t="n"/>
      <c r="F26" s="69" t="n"/>
      <c r="G26" s="70" t="n"/>
      <c r="H26" s="72">
        <f>H24*$D23</f>
        <v/>
      </c>
      <c r="I26" s="72">
        <f>I24*$D23</f>
        <v/>
      </c>
      <c r="J26" s="72">
        <f>J24*$D23</f>
        <v/>
      </c>
      <c r="K26" s="72">
        <f>K24*$D23</f>
        <v/>
      </c>
      <c r="L26" s="72">
        <f>L24*$D23</f>
        <v/>
      </c>
      <c r="M26" s="72">
        <f>M24*$D23</f>
        <v/>
      </c>
      <c r="N26" s="72">
        <f>N24*$D23</f>
        <v/>
      </c>
      <c r="O26" s="72">
        <f>O24*$D23</f>
        <v/>
      </c>
      <c r="P26" s="72">
        <f>P24*$D23</f>
        <v/>
      </c>
      <c r="Q26" s="72">
        <f>Q24*$D23</f>
        <v/>
      </c>
      <c r="R26" s="72">
        <f>R24*$D23</f>
        <v/>
      </c>
      <c r="S26" s="72">
        <f>S24*$D23</f>
        <v/>
      </c>
      <c r="T26" s="72">
        <f>T24*$D23</f>
        <v/>
      </c>
      <c r="U26" s="72">
        <f>U24*$D23</f>
        <v/>
      </c>
      <c r="V26" s="72">
        <f>V24*$D23</f>
        <v/>
      </c>
      <c r="W26" s="72">
        <f>W24*$D23</f>
        <v/>
      </c>
      <c r="X26" s="72">
        <f>X24*$D23</f>
        <v/>
      </c>
      <c r="Y26" s="72">
        <f>Y24*$D23</f>
        <v/>
      </c>
      <c r="Z26" s="72">
        <f>Z24*$D23</f>
        <v/>
      </c>
      <c r="AA26" s="72">
        <f>AA24*$D23</f>
        <v/>
      </c>
      <c r="AB26" s="72">
        <f>AB24*$D23</f>
        <v/>
      </c>
      <c r="AC26" s="72">
        <f>AC24*$D23</f>
        <v/>
      </c>
    </row>
    <row r="27">
      <c r="A27" s="65" t="n"/>
      <c r="B27" s="66" t="n"/>
      <c r="C27" s="67" t="inlineStr">
        <is>
          <t>累計出来高金額</t>
        </is>
      </c>
      <c r="D27" s="68" t="n"/>
      <c r="E27" s="65" t="n"/>
      <c r="F27" s="69" t="n"/>
      <c r="G27" s="70" t="n"/>
      <c r="H27" s="72">
        <f>H26</f>
        <v/>
      </c>
      <c r="I27" s="72">
        <f>H27+I26</f>
        <v/>
      </c>
      <c r="J27" s="72">
        <f>I27+J26</f>
        <v/>
      </c>
      <c r="K27" s="72">
        <f>J27+K26</f>
        <v/>
      </c>
      <c r="L27" s="72">
        <f>K27+L26</f>
        <v/>
      </c>
      <c r="M27" s="72">
        <f>L27+M26</f>
        <v/>
      </c>
      <c r="N27" s="72">
        <f>M27+N26</f>
        <v/>
      </c>
      <c r="O27" s="72">
        <f>N27+O26</f>
        <v/>
      </c>
      <c r="P27" s="72">
        <f>O27+P26</f>
        <v/>
      </c>
      <c r="Q27" s="72">
        <f>P27+Q26</f>
        <v/>
      </c>
      <c r="R27" s="72">
        <f>Q27+R26</f>
        <v/>
      </c>
      <c r="S27" s="72">
        <f>R27+S26</f>
        <v/>
      </c>
      <c r="T27" s="72">
        <f>S27+T26</f>
        <v/>
      </c>
      <c r="U27" s="72">
        <f>T27+U26</f>
        <v/>
      </c>
      <c r="V27" s="72">
        <f>U27+V26</f>
        <v/>
      </c>
      <c r="W27" s="72">
        <f>V27+W26</f>
        <v/>
      </c>
      <c r="X27" s="72">
        <f>W27+X26</f>
        <v/>
      </c>
      <c r="Y27" s="72">
        <f>X27+Y26</f>
        <v/>
      </c>
      <c r="Z27" s="72">
        <f>Y27+Z26</f>
        <v/>
      </c>
      <c r="AA27" s="72">
        <f>Z27+AA26</f>
        <v/>
      </c>
      <c r="AB27" s="72">
        <f>AA27+AB26</f>
        <v/>
      </c>
      <c r="AC27" s="72">
        <f>AB27+AC26</f>
        <v/>
      </c>
    </row>
    <row r="28">
      <c r="A28" s="58" t="inlineStr"/>
      <c r="B28" s="59" t="inlineStr">
        <is>
          <t>電気設備工事</t>
        </is>
      </c>
      <c r="C28" s="60" t="inlineStr">
        <is>
          <t>工程</t>
        </is>
      </c>
      <c r="D28" s="61">
        <f>'金額リスト'!C10</f>
        <v/>
      </c>
      <c r="E28" s="58">
        <f>SUMPRODUCT((H28:AC28&lt;&gt;"")*(H$6:AC$6=1))</f>
        <v/>
      </c>
      <c r="F28" s="62">
        <f>SUM(H29:AC29)</f>
        <v/>
      </c>
      <c r="G28" s="63">
        <f>IF(AND(ABS(F28-1)&lt;0.0001,ABS(AC30-1)&lt;0.0001),"OK",IF(E28=0,"工程未設定","NG"))</f>
        <v/>
      </c>
      <c r="H28" s="64" t="n"/>
      <c r="I28" s="64" t="n">
        <v>1</v>
      </c>
      <c r="J28" s="64" t="n"/>
      <c r="K28" s="64" t="n"/>
      <c r="L28" s="64" t="n">
        <v>1</v>
      </c>
      <c r="M28" s="64" t="n">
        <v>1</v>
      </c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</row>
    <row r="29">
      <c r="A29" s="65" t="n"/>
      <c r="B29" s="66" t="n"/>
      <c r="C29" s="67" t="inlineStr">
        <is>
          <t>今週出来高率</t>
        </is>
      </c>
      <c r="D29" s="68" t="n"/>
      <c r="E29" s="65" t="n"/>
      <c r="F29" s="69" t="n"/>
      <c r="G29" s="70" t="n"/>
      <c r="H29" s="71">
        <f>IF(OR($E28=0,H28="",H$6&lt;&gt;1),0,1/$E28)</f>
        <v/>
      </c>
      <c r="I29" s="71">
        <f>IF(OR($E28=0,I28="",I$6&lt;&gt;1),0,1/$E28)</f>
        <v/>
      </c>
      <c r="J29" s="71">
        <f>IF(OR($E28=0,J28="",J$6&lt;&gt;1),0,1/$E28)</f>
        <v/>
      </c>
      <c r="K29" s="71">
        <f>IF(OR($E28=0,K28="",K$6&lt;&gt;1),0,1/$E28)</f>
        <v/>
      </c>
      <c r="L29" s="71">
        <f>IF(OR($E28=0,L28="",L$6&lt;&gt;1),0,1/$E28)</f>
        <v/>
      </c>
      <c r="M29" s="71">
        <f>IF(OR($E28=0,M28="",M$6&lt;&gt;1),0,1/$E28)</f>
        <v/>
      </c>
      <c r="N29" s="71">
        <f>IF(OR($E28=0,N28="",N$6&lt;&gt;1),0,1/$E28)</f>
        <v/>
      </c>
      <c r="O29" s="71">
        <f>IF(OR($E28=0,O28="",O$6&lt;&gt;1),0,1/$E28)</f>
        <v/>
      </c>
      <c r="P29" s="71">
        <f>IF(OR($E28=0,P28="",P$6&lt;&gt;1),0,1/$E28)</f>
        <v/>
      </c>
      <c r="Q29" s="71">
        <f>IF(OR($E28=0,Q28="",Q$6&lt;&gt;1),0,1/$E28)</f>
        <v/>
      </c>
      <c r="R29" s="71">
        <f>IF(OR($E28=0,R28="",R$6&lt;&gt;1),0,1/$E28)</f>
        <v/>
      </c>
      <c r="S29" s="71">
        <f>IF(OR($E28=0,S28="",S$6&lt;&gt;1),0,1/$E28)</f>
        <v/>
      </c>
      <c r="T29" s="71">
        <f>IF(OR($E28=0,T28="",T$6&lt;&gt;1),0,1/$E28)</f>
        <v/>
      </c>
      <c r="U29" s="71">
        <f>IF(OR($E28=0,U28="",U$6&lt;&gt;1),0,1/$E28)</f>
        <v/>
      </c>
      <c r="V29" s="71">
        <f>IF(OR($E28=0,V28="",V$6&lt;&gt;1),0,1/$E28)</f>
        <v/>
      </c>
      <c r="W29" s="71">
        <f>IF(OR($E28=0,W28="",W$6&lt;&gt;1),0,1/$E28)</f>
        <v/>
      </c>
      <c r="X29" s="71">
        <f>IF(OR($E28=0,X28="",X$6&lt;&gt;1),0,1/$E28)</f>
        <v/>
      </c>
      <c r="Y29" s="71">
        <f>IF(OR($E28=0,Y28="",Y$6&lt;&gt;1),0,1/$E28)</f>
        <v/>
      </c>
      <c r="Z29" s="71">
        <f>IF(OR($E28=0,Z28="",Z$6&lt;&gt;1),0,1/$E28)</f>
        <v/>
      </c>
      <c r="AA29" s="71">
        <f>IF(OR($E28=0,AA28="",AA$6&lt;&gt;1),0,1/$E28)</f>
        <v/>
      </c>
      <c r="AB29" s="71">
        <f>IF(OR($E28=0,AB28="",AB$6&lt;&gt;1),0,1/$E28)</f>
        <v/>
      </c>
      <c r="AC29" s="71">
        <f>IF(OR($E28=0,AC28="",AC$6&lt;&gt;1),0,1/$E28)</f>
        <v/>
      </c>
    </row>
    <row r="30">
      <c r="A30" s="65" t="n"/>
      <c r="B30" s="66" t="n"/>
      <c r="C30" s="67" t="inlineStr">
        <is>
          <t>累計出来高率</t>
        </is>
      </c>
      <c r="D30" s="68" t="n"/>
      <c r="E30" s="65" t="n"/>
      <c r="F30" s="69" t="n"/>
      <c r="G30" s="70" t="n"/>
      <c r="H30" s="71">
        <f>H29</f>
        <v/>
      </c>
      <c r="I30" s="71">
        <f>H30+I29</f>
        <v/>
      </c>
      <c r="J30" s="71">
        <f>I30+J29</f>
        <v/>
      </c>
      <c r="K30" s="71">
        <f>J30+K29</f>
        <v/>
      </c>
      <c r="L30" s="71">
        <f>K30+L29</f>
        <v/>
      </c>
      <c r="M30" s="71">
        <f>L30+M29</f>
        <v/>
      </c>
      <c r="N30" s="71">
        <f>M30+N29</f>
        <v/>
      </c>
      <c r="O30" s="71">
        <f>N30+O29</f>
        <v/>
      </c>
      <c r="P30" s="71">
        <f>O30+P29</f>
        <v/>
      </c>
      <c r="Q30" s="71">
        <f>P30+Q29</f>
        <v/>
      </c>
      <c r="R30" s="71">
        <f>Q30+R29</f>
        <v/>
      </c>
      <c r="S30" s="71">
        <f>R30+S29</f>
        <v/>
      </c>
      <c r="T30" s="71">
        <f>S30+T29</f>
        <v/>
      </c>
      <c r="U30" s="71">
        <f>T30+U29</f>
        <v/>
      </c>
      <c r="V30" s="71">
        <f>U30+V29</f>
        <v/>
      </c>
      <c r="W30" s="71">
        <f>V30+W29</f>
        <v/>
      </c>
      <c r="X30" s="71">
        <f>W30+X29</f>
        <v/>
      </c>
      <c r="Y30" s="71">
        <f>X30+Y29</f>
        <v/>
      </c>
      <c r="Z30" s="71">
        <f>Y30+Z29</f>
        <v/>
      </c>
      <c r="AA30" s="71">
        <f>Z30+AA29</f>
        <v/>
      </c>
      <c r="AB30" s="71">
        <f>AA30+AB29</f>
        <v/>
      </c>
      <c r="AC30" s="71">
        <f>AB30+AC29</f>
        <v/>
      </c>
    </row>
    <row r="31">
      <c r="A31" s="65" t="n"/>
      <c r="B31" s="66" t="n"/>
      <c r="C31" s="67" t="inlineStr">
        <is>
          <t>今週出来高金額</t>
        </is>
      </c>
      <c r="D31" s="68" t="n"/>
      <c r="E31" s="65" t="n"/>
      <c r="F31" s="69" t="n"/>
      <c r="G31" s="70" t="n"/>
      <c r="H31" s="72">
        <f>H29*$D28</f>
        <v/>
      </c>
      <c r="I31" s="72">
        <f>I29*$D28</f>
        <v/>
      </c>
      <c r="J31" s="72">
        <f>J29*$D28</f>
        <v/>
      </c>
      <c r="K31" s="72">
        <f>K29*$D28</f>
        <v/>
      </c>
      <c r="L31" s="72">
        <f>L29*$D28</f>
        <v/>
      </c>
      <c r="M31" s="72">
        <f>M29*$D28</f>
        <v/>
      </c>
      <c r="N31" s="72">
        <f>N29*$D28</f>
        <v/>
      </c>
      <c r="O31" s="72">
        <f>O29*$D28</f>
        <v/>
      </c>
      <c r="P31" s="72">
        <f>P29*$D28</f>
        <v/>
      </c>
      <c r="Q31" s="72">
        <f>Q29*$D28</f>
        <v/>
      </c>
      <c r="R31" s="72">
        <f>R29*$D28</f>
        <v/>
      </c>
      <c r="S31" s="72">
        <f>S29*$D28</f>
        <v/>
      </c>
      <c r="T31" s="72">
        <f>T29*$D28</f>
        <v/>
      </c>
      <c r="U31" s="72">
        <f>U29*$D28</f>
        <v/>
      </c>
      <c r="V31" s="72">
        <f>V29*$D28</f>
        <v/>
      </c>
      <c r="W31" s="72">
        <f>W29*$D28</f>
        <v/>
      </c>
      <c r="X31" s="72">
        <f>X29*$D28</f>
        <v/>
      </c>
      <c r="Y31" s="72">
        <f>Y29*$D28</f>
        <v/>
      </c>
      <c r="Z31" s="72">
        <f>Z29*$D28</f>
        <v/>
      </c>
      <c r="AA31" s="72">
        <f>AA29*$D28</f>
        <v/>
      </c>
      <c r="AB31" s="72">
        <f>AB29*$D28</f>
        <v/>
      </c>
      <c r="AC31" s="72">
        <f>AC29*$D28</f>
        <v/>
      </c>
    </row>
    <row r="32">
      <c r="A32" s="65" t="n"/>
      <c r="B32" s="66" t="n"/>
      <c r="C32" s="67" t="inlineStr">
        <is>
          <t>累計出来高金額</t>
        </is>
      </c>
      <c r="D32" s="68" t="n"/>
      <c r="E32" s="65" t="n"/>
      <c r="F32" s="69" t="n"/>
      <c r="G32" s="70" t="n"/>
      <c r="H32" s="72">
        <f>H31</f>
        <v/>
      </c>
      <c r="I32" s="72">
        <f>H32+I31</f>
        <v/>
      </c>
      <c r="J32" s="72">
        <f>I32+J31</f>
        <v/>
      </c>
      <c r="K32" s="72">
        <f>J32+K31</f>
        <v/>
      </c>
      <c r="L32" s="72">
        <f>K32+L31</f>
        <v/>
      </c>
      <c r="M32" s="72">
        <f>L32+M31</f>
        <v/>
      </c>
      <c r="N32" s="72">
        <f>M32+N31</f>
        <v/>
      </c>
      <c r="O32" s="72">
        <f>N32+O31</f>
        <v/>
      </c>
      <c r="P32" s="72">
        <f>O32+P31</f>
        <v/>
      </c>
      <c r="Q32" s="72">
        <f>P32+Q31</f>
        <v/>
      </c>
      <c r="R32" s="72">
        <f>Q32+R31</f>
        <v/>
      </c>
      <c r="S32" s="72">
        <f>R32+S31</f>
        <v/>
      </c>
      <c r="T32" s="72">
        <f>S32+T31</f>
        <v/>
      </c>
      <c r="U32" s="72">
        <f>T32+U31</f>
        <v/>
      </c>
      <c r="V32" s="72">
        <f>U32+V31</f>
        <v/>
      </c>
      <c r="W32" s="72">
        <f>V32+W31</f>
        <v/>
      </c>
      <c r="X32" s="72">
        <f>W32+X31</f>
        <v/>
      </c>
      <c r="Y32" s="72">
        <f>X32+Y31</f>
        <v/>
      </c>
      <c r="Z32" s="72">
        <f>Y32+Z31</f>
        <v/>
      </c>
      <c r="AA32" s="72">
        <f>Z32+AA31</f>
        <v/>
      </c>
      <c r="AB32" s="72">
        <f>AA32+AB31</f>
        <v/>
      </c>
      <c r="AC32" s="72">
        <f>AB32+AC31</f>
        <v/>
      </c>
    </row>
    <row r="33">
      <c r="A33" s="58" t="inlineStr"/>
      <c r="B33" s="59" t="inlineStr">
        <is>
          <t>空気調和設備工事</t>
        </is>
      </c>
      <c r="C33" s="60" t="inlineStr">
        <is>
          <t>工程</t>
        </is>
      </c>
      <c r="D33" s="61">
        <f>'金額リスト'!C11</f>
        <v/>
      </c>
      <c r="E33" s="58">
        <f>SUMPRODUCT((H33:AC33&lt;&gt;"")*(H$6:AC$6=1))</f>
        <v/>
      </c>
      <c r="F33" s="62">
        <f>SUM(H34:AC34)</f>
        <v/>
      </c>
      <c r="G33" s="63">
        <f>IF(AND(ABS(F33-1)&lt;0.0001,ABS(AC35-1)&lt;0.0001),"OK",IF(E33=0,"工程未設定","NG"))</f>
        <v/>
      </c>
      <c r="H33" s="64" t="n"/>
      <c r="I33" s="64" t="n">
        <v>1</v>
      </c>
      <c r="J33" s="64" t="n"/>
      <c r="K33" s="64" t="n"/>
      <c r="L33" s="64" t="n">
        <v>1</v>
      </c>
      <c r="M33" s="64" t="n">
        <v>1</v>
      </c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</row>
    <row r="34">
      <c r="A34" s="65" t="n"/>
      <c r="B34" s="66" t="n"/>
      <c r="C34" s="67" t="inlineStr">
        <is>
          <t>今週出来高率</t>
        </is>
      </c>
      <c r="D34" s="68" t="n"/>
      <c r="E34" s="65" t="n"/>
      <c r="F34" s="69" t="n"/>
      <c r="G34" s="70" t="n"/>
      <c r="H34" s="71">
        <f>IF(OR($E33=0,H33="",H$6&lt;&gt;1),0,1/$E33)</f>
        <v/>
      </c>
      <c r="I34" s="71">
        <f>IF(OR($E33=0,I33="",I$6&lt;&gt;1),0,1/$E33)</f>
        <v/>
      </c>
      <c r="J34" s="71">
        <f>IF(OR($E33=0,J33="",J$6&lt;&gt;1),0,1/$E33)</f>
        <v/>
      </c>
      <c r="K34" s="71">
        <f>IF(OR($E33=0,K33="",K$6&lt;&gt;1),0,1/$E33)</f>
        <v/>
      </c>
      <c r="L34" s="71">
        <f>IF(OR($E33=0,L33="",L$6&lt;&gt;1),0,1/$E33)</f>
        <v/>
      </c>
      <c r="M34" s="71">
        <f>IF(OR($E33=0,M33="",M$6&lt;&gt;1),0,1/$E33)</f>
        <v/>
      </c>
      <c r="N34" s="71">
        <f>IF(OR($E33=0,N33="",N$6&lt;&gt;1),0,1/$E33)</f>
        <v/>
      </c>
      <c r="O34" s="71">
        <f>IF(OR($E33=0,O33="",O$6&lt;&gt;1),0,1/$E33)</f>
        <v/>
      </c>
      <c r="P34" s="71">
        <f>IF(OR($E33=0,P33="",P$6&lt;&gt;1),0,1/$E33)</f>
        <v/>
      </c>
      <c r="Q34" s="71">
        <f>IF(OR($E33=0,Q33="",Q$6&lt;&gt;1),0,1/$E33)</f>
        <v/>
      </c>
      <c r="R34" s="71">
        <f>IF(OR($E33=0,R33="",R$6&lt;&gt;1),0,1/$E33)</f>
        <v/>
      </c>
      <c r="S34" s="71">
        <f>IF(OR($E33=0,S33="",S$6&lt;&gt;1),0,1/$E33)</f>
        <v/>
      </c>
      <c r="T34" s="71">
        <f>IF(OR($E33=0,T33="",T$6&lt;&gt;1),0,1/$E33)</f>
        <v/>
      </c>
      <c r="U34" s="71">
        <f>IF(OR($E33=0,U33="",U$6&lt;&gt;1),0,1/$E33)</f>
        <v/>
      </c>
      <c r="V34" s="71">
        <f>IF(OR($E33=0,V33="",V$6&lt;&gt;1),0,1/$E33)</f>
        <v/>
      </c>
      <c r="W34" s="71">
        <f>IF(OR($E33=0,W33="",W$6&lt;&gt;1),0,1/$E33)</f>
        <v/>
      </c>
      <c r="X34" s="71">
        <f>IF(OR($E33=0,X33="",X$6&lt;&gt;1),0,1/$E33)</f>
        <v/>
      </c>
      <c r="Y34" s="71">
        <f>IF(OR($E33=0,Y33="",Y$6&lt;&gt;1),0,1/$E33)</f>
        <v/>
      </c>
      <c r="Z34" s="71">
        <f>IF(OR($E33=0,Z33="",Z$6&lt;&gt;1),0,1/$E33)</f>
        <v/>
      </c>
      <c r="AA34" s="71">
        <f>IF(OR($E33=0,AA33="",AA$6&lt;&gt;1),0,1/$E33)</f>
        <v/>
      </c>
      <c r="AB34" s="71">
        <f>IF(OR($E33=0,AB33="",AB$6&lt;&gt;1),0,1/$E33)</f>
        <v/>
      </c>
      <c r="AC34" s="71">
        <f>IF(OR($E33=0,AC33="",AC$6&lt;&gt;1),0,1/$E33)</f>
        <v/>
      </c>
    </row>
    <row r="35">
      <c r="A35" s="65" t="n"/>
      <c r="B35" s="66" t="n"/>
      <c r="C35" s="67" t="inlineStr">
        <is>
          <t>累計出来高率</t>
        </is>
      </c>
      <c r="D35" s="68" t="n"/>
      <c r="E35" s="65" t="n"/>
      <c r="F35" s="69" t="n"/>
      <c r="G35" s="70" t="n"/>
      <c r="H35" s="71">
        <f>H34</f>
        <v/>
      </c>
      <c r="I35" s="71">
        <f>H35+I34</f>
        <v/>
      </c>
      <c r="J35" s="71">
        <f>I35+J34</f>
        <v/>
      </c>
      <c r="K35" s="71">
        <f>J35+K34</f>
        <v/>
      </c>
      <c r="L35" s="71">
        <f>K35+L34</f>
        <v/>
      </c>
      <c r="M35" s="71">
        <f>L35+M34</f>
        <v/>
      </c>
      <c r="N35" s="71">
        <f>M35+N34</f>
        <v/>
      </c>
      <c r="O35" s="71">
        <f>N35+O34</f>
        <v/>
      </c>
      <c r="P35" s="71">
        <f>O35+P34</f>
        <v/>
      </c>
      <c r="Q35" s="71">
        <f>P35+Q34</f>
        <v/>
      </c>
      <c r="R35" s="71">
        <f>Q35+R34</f>
        <v/>
      </c>
      <c r="S35" s="71">
        <f>R35+S34</f>
        <v/>
      </c>
      <c r="T35" s="71">
        <f>S35+T34</f>
        <v/>
      </c>
      <c r="U35" s="71">
        <f>T35+U34</f>
        <v/>
      </c>
      <c r="V35" s="71">
        <f>U35+V34</f>
        <v/>
      </c>
      <c r="W35" s="71">
        <f>V35+W34</f>
        <v/>
      </c>
      <c r="X35" s="71">
        <f>W35+X34</f>
        <v/>
      </c>
      <c r="Y35" s="71">
        <f>X35+Y34</f>
        <v/>
      </c>
      <c r="Z35" s="71">
        <f>Y35+Z34</f>
        <v/>
      </c>
      <c r="AA35" s="71">
        <f>Z35+AA34</f>
        <v/>
      </c>
      <c r="AB35" s="71">
        <f>AA35+AB34</f>
        <v/>
      </c>
      <c r="AC35" s="71">
        <f>AB35+AC34</f>
        <v/>
      </c>
    </row>
    <row r="36">
      <c r="A36" s="65" t="n"/>
      <c r="B36" s="66" t="n"/>
      <c r="C36" s="67" t="inlineStr">
        <is>
          <t>今週出来高金額</t>
        </is>
      </c>
      <c r="D36" s="68" t="n"/>
      <c r="E36" s="65" t="n"/>
      <c r="F36" s="69" t="n"/>
      <c r="G36" s="70" t="n"/>
      <c r="H36" s="72">
        <f>H34*$D33</f>
        <v/>
      </c>
      <c r="I36" s="72">
        <f>I34*$D33</f>
        <v/>
      </c>
      <c r="J36" s="72">
        <f>J34*$D33</f>
        <v/>
      </c>
      <c r="K36" s="72">
        <f>K34*$D33</f>
        <v/>
      </c>
      <c r="L36" s="72">
        <f>L34*$D33</f>
        <v/>
      </c>
      <c r="M36" s="72">
        <f>M34*$D33</f>
        <v/>
      </c>
      <c r="N36" s="72">
        <f>N34*$D33</f>
        <v/>
      </c>
      <c r="O36" s="72">
        <f>O34*$D33</f>
        <v/>
      </c>
      <c r="P36" s="72">
        <f>P34*$D33</f>
        <v/>
      </c>
      <c r="Q36" s="72">
        <f>Q34*$D33</f>
        <v/>
      </c>
      <c r="R36" s="72">
        <f>R34*$D33</f>
        <v/>
      </c>
      <c r="S36" s="72">
        <f>S34*$D33</f>
        <v/>
      </c>
      <c r="T36" s="72">
        <f>T34*$D33</f>
        <v/>
      </c>
      <c r="U36" s="72">
        <f>U34*$D33</f>
        <v/>
      </c>
      <c r="V36" s="72">
        <f>V34*$D33</f>
        <v/>
      </c>
      <c r="W36" s="72">
        <f>W34*$D33</f>
        <v/>
      </c>
      <c r="X36" s="72">
        <f>X34*$D33</f>
        <v/>
      </c>
      <c r="Y36" s="72">
        <f>Y34*$D33</f>
        <v/>
      </c>
      <c r="Z36" s="72">
        <f>Z34*$D33</f>
        <v/>
      </c>
      <c r="AA36" s="72">
        <f>AA34*$D33</f>
        <v/>
      </c>
      <c r="AB36" s="72">
        <f>AB34*$D33</f>
        <v/>
      </c>
      <c r="AC36" s="72">
        <f>AC34*$D33</f>
        <v/>
      </c>
    </row>
    <row r="37">
      <c r="A37" s="65" t="n"/>
      <c r="B37" s="66" t="n"/>
      <c r="C37" s="67" t="inlineStr">
        <is>
          <t>累計出来高金額</t>
        </is>
      </c>
      <c r="D37" s="68" t="n"/>
      <c r="E37" s="65" t="n"/>
      <c r="F37" s="69" t="n"/>
      <c r="G37" s="70" t="n"/>
      <c r="H37" s="72">
        <f>H36</f>
        <v/>
      </c>
      <c r="I37" s="72">
        <f>H37+I36</f>
        <v/>
      </c>
      <c r="J37" s="72">
        <f>I37+J36</f>
        <v/>
      </c>
      <c r="K37" s="72">
        <f>J37+K36</f>
        <v/>
      </c>
      <c r="L37" s="72">
        <f>K37+L36</f>
        <v/>
      </c>
      <c r="M37" s="72">
        <f>L37+M36</f>
        <v/>
      </c>
      <c r="N37" s="72">
        <f>M37+N36</f>
        <v/>
      </c>
      <c r="O37" s="72">
        <f>N37+O36</f>
        <v/>
      </c>
      <c r="P37" s="72">
        <f>O37+P36</f>
        <v/>
      </c>
      <c r="Q37" s="72">
        <f>P37+Q36</f>
        <v/>
      </c>
      <c r="R37" s="72">
        <f>Q37+R36</f>
        <v/>
      </c>
      <c r="S37" s="72">
        <f>R37+S36</f>
        <v/>
      </c>
      <c r="T37" s="72">
        <f>S37+T36</f>
        <v/>
      </c>
      <c r="U37" s="72">
        <f>T37+U36</f>
        <v/>
      </c>
      <c r="V37" s="72">
        <f>U37+V36</f>
        <v/>
      </c>
      <c r="W37" s="72">
        <f>V37+W36</f>
        <v/>
      </c>
      <c r="X37" s="72">
        <f>W37+X36</f>
        <v/>
      </c>
      <c r="Y37" s="72">
        <f>X37+Y36</f>
        <v/>
      </c>
      <c r="Z37" s="72">
        <f>Y37+Z36</f>
        <v/>
      </c>
      <c r="AA37" s="72">
        <f>Z37+AA36</f>
        <v/>
      </c>
      <c r="AB37" s="72">
        <f>AA37+AB36</f>
        <v/>
      </c>
      <c r="AC37" s="72">
        <f>AB37+AC36</f>
        <v/>
      </c>
    </row>
    <row r="38">
      <c r="A38" s="58" t="inlineStr"/>
      <c r="B38" s="59" t="inlineStr">
        <is>
          <t>衛生設備工事</t>
        </is>
      </c>
      <c r="C38" s="60" t="inlineStr">
        <is>
          <t>工程</t>
        </is>
      </c>
      <c r="D38" s="61">
        <f>'金額リスト'!C12</f>
        <v/>
      </c>
      <c r="E38" s="58">
        <f>SUMPRODUCT((H38:AC38&lt;&gt;"")*(H$6:AC$6=1))</f>
        <v/>
      </c>
      <c r="F38" s="62">
        <f>SUM(H39:AC39)</f>
        <v/>
      </c>
      <c r="G38" s="63">
        <f>IF(AND(ABS(F38-1)&lt;0.0001,ABS(AC40-1)&lt;0.0001),"OK",IF(E38=0,"工程未設定","NG"))</f>
        <v/>
      </c>
      <c r="H38" s="64" t="n"/>
      <c r="I38" s="64" t="n">
        <v>1</v>
      </c>
      <c r="J38" s="64" t="n"/>
      <c r="K38" s="64" t="n"/>
      <c r="L38" s="64" t="n">
        <v>1</v>
      </c>
      <c r="M38" s="64" t="n">
        <v>1</v>
      </c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</row>
    <row r="39">
      <c r="A39" s="65" t="n"/>
      <c r="B39" s="66" t="n"/>
      <c r="C39" s="67" t="inlineStr">
        <is>
          <t>今週出来高率</t>
        </is>
      </c>
      <c r="D39" s="68" t="n"/>
      <c r="E39" s="65" t="n"/>
      <c r="F39" s="69" t="n"/>
      <c r="G39" s="70" t="n"/>
      <c r="H39" s="71">
        <f>IF(OR($E38=0,H38="",H$6&lt;&gt;1),0,1/$E38)</f>
        <v/>
      </c>
      <c r="I39" s="71">
        <f>IF(OR($E38=0,I38="",I$6&lt;&gt;1),0,1/$E38)</f>
        <v/>
      </c>
      <c r="J39" s="71">
        <f>IF(OR($E38=0,J38="",J$6&lt;&gt;1),0,1/$E38)</f>
        <v/>
      </c>
      <c r="K39" s="71">
        <f>IF(OR($E38=0,K38="",K$6&lt;&gt;1),0,1/$E38)</f>
        <v/>
      </c>
      <c r="L39" s="71">
        <f>IF(OR($E38=0,L38="",L$6&lt;&gt;1),0,1/$E38)</f>
        <v/>
      </c>
      <c r="M39" s="71">
        <f>IF(OR($E38=0,M38="",M$6&lt;&gt;1),0,1/$E38)</f>
        <v/>
      </c>
      <c r="N39" s="71">
        <f>IF(OR($E38=0,N38="",N$6&lt;&gt;1),0,1/$E38)</f>
        <v/>
      </c>
      <c r="O39" s="71">
        <f>IF(OR($E38=0,O38="",O$6&lt;&gt;1),0,1/$E38)</f>
        <v/>
      </c>
      <c r="P39" s="71">
        <f>IF(OR($E38=0,P38="",P$6&lt;&gt;1),0,1/$E38)</f>
        <v/>
      </c>
      <c r="Q39" s="71">
        <f>IF(OR($E38=0,Q38="",Q$6&lt;&gt;1),0,1/$E38)</f>
        <v/>
      </c>
      <c r="R39" s="71">
        <f>IF(OR($E38=0,R38="",R$6&lt;&gt;1),0,1/$E38)</f>
        <v/>
      </c>
      <c r="S39" s="71">
        <f>IF(OR($E38=0,S38="",S$6&lt;&gt;1),0,1/$E38)</f>
        <v/>
      </c>
      <c r="T39" s="71">
        <f>IF(OR($E38=0,T38="",T$6&lt;&gt;1),0,1/$E38)</f>
        <v/>
      </c>
      <c r="U39" s="71">
        <f>IF(OR($E38=0,U38="",U$6&lt;&gt;1),0,1/$E38)</f>
        <v/>
      </c>
      <c r="V39" s="71">
        <f>IF(OR($E38=0,V38="",V$6&lt;&gt;1),0,1/$E38)</f>
        <v/>
      </c>
      <c r="W39" s="71">
        <f>IF(OR($E38=0,W38="",W$6&lt;&gt;1),0,1/$E38)</f>
        <v/>
      </c>
      <c r="X39" s="71">
        <f>IF(OR($E38=0,X38="",X$6&lt;&gt;1),0,1/$E38)</f>
        <v/>
      </c>
      <c r="Y39" s="71">
        <f>IF(OR($E38=0,Y38="",Y$6&lt;&gt;1),0,1/$E38)</f>
        <v/>
      </c>
      <c r="Z39" s="71">
        <f>IF(OR($E38=0,Z38="",Z$6&lt;&gt;1),0,1/$E38)</f>
        <v/>
      </c>
      <c r="AA39" s="71">
        <f>IF(OR($E38=0,AA38="",AA$6&lt;&gt;1),0,1/$E38)</f>
        <v/>
      </c>
      <c r="AB39" s="71">
        <f>IF(OR($E38=0,AB38="",AB$6&lt;&gt;1),0,1/$E38)</f>
        <v/>
      </c>
      <c r="AC39" s="71">
        <f>IF(OR($E38=0,AC38="",AC$6&lt;&gt;1),0,1/$E38)</f>
        <v/>
      </c>
    </row>
    <row r="40">
      <c r="A40" s="65" t="n"/>
      <c r="B40" s="66" t="n"/>
      <c r="C40" s="67" t="inlineStr">
        <is>
          <t>累計出来高率</t>
        </is>
      </c>
      <c r="D40" s="68" t="n"/>
      <c r="E40" s="65" t="n"/>
      <c r="F40" s="69" t="n"/>
      <c r="G40" s="70" t="n"/>
      <c r="H40" s="71">
        <f>H39</f>
        <v/>
      </c>
      <c r="I40" s="71">
        <f>H40+I39</f>
        <v/>
      </c>
      <c r="J40" s="71">
        <f>I40+J39</f>
        <v/>
      </c>
      <c r="K40" s="71">
        <f>J40+K39</f>
        <v/>
      </c>
      <c r="L40" s="71">
        <f>K40+L39</f>
        <v/>
      </c>
      <c r="M40" s="71">
        <f>L40+M39</f>
        <v/>
      </c>
      <c r="N40" s="71">
        <f>M40+N39</f>
        <v/>
      </c>
      <c r="O40" s="71">
        <f>N40+O39</f>
        <v/>
      </c>
      <c r="P40" s="71">
        <f>O40+P39</f>
        <v/>
      </c>
      <c r="Q40" s="71">
        <f>P40+Q39</f>
        <v/>
      </c>
      <c r="R40" s="71">
        <f>Q40+R39</f>
        <v/>
      </c>
      <c r="S40" s="71">
        <f>R40+S39</f>
        <v/>
      </c>
      <c r="T40" s="71">
        <f>S40+T39</f>
        <v/>
      </c>
      <c r="U40" s="71">
        <f>T40+U39</f>
        <v/>
      </c>
      <c r="V40" s="71">
        <f>U40+V39</f>
        <v/>
      </c>
      <c r="W40" s="71">
        <f>V40+W39</f>
        <v/>
      </c>
      <c r="X40" s="71">
        <f>W40+X39</f>
        <v/>
      </c>
      <c r="Y40" s="71">
        <f>X40+Y39</f>
        <v/>
      </c>
      <c r="Z40" s="71">
        <f>Y40+Z39</f>
        <v/>
      </c>
      <c r="AA40" s="71">
        <f>Z40+AA39</f>
        <v/>
      </c>
      <c r="AB40" s="71">
        <f>AA40+AB39</f>
        <v/>
      </c>
      <c r="AC40" s="71">
        <f>AB40+AC39</f>
        <v/>
      </c>
    </row>
    <row r="41">
      <c r="A41" s="65" t="n"/>
      <c r="B41" s="66" t="n"/>
      <c r="C41" s="67" t="inlineStr">
        <is>
          <t>今週出来高金額</t>
        </is>
      </c>
      <c r="D41" s="68" t="n"/>
      <c r="E41" s="65" t="n"/>
      <c r="F41" s="69" t="n"/>
      <c r="G41" s="70" t="n"/>
      <c r="H41" s="72">
        <f>H39*$D38</f>
        <v/>
      </c>
      <c r="I41" s="72">
        <f>I39*$D38</f>
        <v/>
      </c>
      <c r="J41" s="72">
        <f>J39*$D38</f>
        <v/>
      </c>
      <c r="K41" s="72">
        <f>K39*$D38</f>
        <v/>
      </c>
      <c r="L41" s="72">
        <f>L39*$D38</f>
        <v/>
      </c>
      <c r="M41" s="72">
        <f>M39*$D38</f>
        <v/>
      </c>
      <c r="N41" s="72">
        <f>N39*$D38</f>
        <v/>
      </c>
      <c r="O41" s="72">
        <f>O39*$D38</f>
        <v/>
      </c>
      <c r="P41" s="72">
        <f>P39*$D38</f>
        <v/>
      </c>
      <c r="Q41" s="72">
        <f>Q39*$D38</f>
        <v/>
      </c>
      <c r="R41" s="72">
        <f>R39*$D38</f>
        <v/>
      </c>
      <c r="S41" s="72">
        <f>S39*$D38</f>
        <v/>
      </c>
      <c r="T41" s="72">
        <f>T39*$D38</f>
        <v/>
      </c>
      <c r="U41" s="72">
        <f>U39*$D38</f>
        <v/>
      </c>
      <c r="V41" s="72">
        <f>V39*$D38</f>
        <v/>
      </c>
      <c r="W41" s="72">
        <f>W39*$D38</f>
        <v/>
      </c>
      <c r="X41" s="72">
        <f>X39*$D38</f>
        <v/>
      </c>
      <c r="Y41" s="72">
        <f>Y39*$D38</f>
        <v/>
      </c>
      <c r="Z41" s="72">
        <f>Z39*$D38</f>
        <v/>
      </c>
      <c r="AA41" s="72">
        <f>AA39*$D38</f>
        <v/>
      </c>
      <c r="AB41" s="72">
        <f>AB39*$D38</f>
        <v/>
      </c>
      <c r="AC41" s="72">
        <f>AC39*$D38</f>
        <v/>
      </c>
    </row>
    <row r="42">
      <c r="A42" s="65" t="n"/>
      <c r="B42" s="66" t="n"/>
      <c r="C42" s="67" t="inlineStr">
        <is>
          <t>累計出来高金額</t>
        </is>
      </c>
      <c r="D42" s="68" t="n"/>
      <c r="E42" s="65" t="n"/>
      <c r="F42" s="69" t="n"/>
      <c r="G42" s="70" t="n"/>
      <c r="H42" s="72">
        <f>H41</f>
        <v/>
      </c>
      <c r="I42" s="72">
        <f>H42+I41</f>
        <v/>
      </c>
      <c r="J42" s="72">
        <f>I42+J41</f>
        <v/>
      </c>
      <c r="K42" s="72">
        <f>J42+K41</f>
        <v/>
      </c>
      <c r="L42" s="72">
        <f>K42+L41</f>
        <v/>
      </c>
      <c r="M42" s="72">
        <f>L42+M41</f>
        <v/>
      </c>
      <c r="N42" s="72">
        <f>M42+N41</f>
        <v/>
      </c>
      <c r="O42" s="72">
        <f>N42+O41</f>
        <v/>
      </c>
      <c r="P42" s="72">
        <f>O42+P41</f>
        <v/>
      </c>
      <c r="Q42" s="72">
        <f>P42+Q41</f>
        <v/>
      </c>
      <c r="R42" s="72">
        <f>Q42+R41</f>
        <v/>
      </c>
      <c r="S42" s="72">
        <f>R42+S41</f>
        <v/>
      </c>
      <c r="T42" s="72">
        <f>S42+T41</f>
        <v/>
      </c>
      <c r="U42" s="72">
        <f>T42+U41</f>
        <v/>
      </c>
      <c r="V42" s="72">
        <f>U42+V41</f>
        <v/>
      </c>
      <c r="W42" s="72">
        <f>V42+W41</f>
        <v/>
      </c>
      <c r="X42" s="72">
        <f>W42+X41</f>
        <v/>
      </c>
      <c r="Y42" s="72">
        <f>X42+Y41</f>
        <v/>
      </c>
      <c r="Z42" s="72">
        <f>Y42+Z41</f>
        <v/>
      </c>
      <c r="AA42" s="72">
        <f>Z42+AA41</f>
        <v/>
      </c>
      <c r="AB42" s="72">
        <f>AA42+AB41</f>
        <v/>
      </c>
      <c r="AC42" s="72">
        <f>AB42+AC41</f>
        <v/>
      </c>
    </row>
    <row r="43">
      <c r="A43" s="43" t="inlineStr">
        <is>
          <t>c)</t>
        </is>
      </c>
      <c r="B43" s="44" t="inlineStr">
        <is>
          <t>改修工事</t>
        </is>
      </c>
      <c r="C43" s="45" t="inlineStr">
        <is>
          <t>工程</t>
        </is>
      </c>
      <c r="D43" s="56">
        <f>D48+D113+D118+D123</f>
        <v/>
      </c>
      <c r="E43" s="43">
        <f>COUNTIF(H44:AC44,"&gt;0")</f>
        <v/>
      </c>
      <c r="F43" s="47">
        <f>SUM(H44:AC44)</f>
        <v/>
      </c>
      <c r="G43" s="48">
        <f>IF(AND(ABS(F43-1)&lt;0.0001,ABS(AC45-1)&lt;0.0001),"OK",IF(E43=0,"工程未設定","NG"))</f>
        <v/>
      </c>
      <c r="H43" s="35">
        <f>IF(H44&gt;0,"■","")</f>
        <v/>
      </c>
      <c r="I43" s="35">
        <f>IF(I44&gt;0,"■","")</f>
        <v/>
      </c>
      <c r="J43" s="35">
        <f>IF(J44&gt;0,"■","")</f>
        <v/>
      </c>
      <c r="K43" s="35">
        <f>IF(K44&gt;0,"■","")</f>
        <v/>
      </c>
      <c r="L43" s="35">
        <f>IF(L44&gt;0,"■","")</f>
        <v/>
      </c>
      <c r="M43" s="35">
        <f>IF(M44&gt;0,"■","")</f>
        <v/>
      </c>
      <c r="N43" s="35">
        <f>IF(N44&gt;0,"■","")</f>
        <v/>
      </c>
      <c r="O43" s="35">
        <f>IF(O44&gt;0,"■","")</f>
        <v/>
      </c>
      <c r="P43" s="35">
        <f>IF(P44&gt;0,"■","")</f>
        <v/>
      </c>
      <c r="Q43" s="35">
        <f>IF(Q44&gt;0,"■","")</f>
        <v/>
      </c>
      <c r="R43" s="35">
        <f>IF(R44&gt;0,"■","")</f>
        <v/>
      </c>
      <c r="S43" s="35">
        <f>IF(S44&gt;0,"■","")</f>
        <v/>
      </c>
      <c r="T43" s="35">
        <f>IF(T44&gt;0,"■","")</f>
        <v/>
      </c>
      <c r="U43" s="35">
        <f>IF(U44&gt;0,"■","")</f>
        <v/>
      </c>
      <c r="V43" s="35">
        <f>IF(V44&gt;0,"■","")</f>
        <v/>
      </c>
      <c r="W43" s="35">
        <f>IF(W44&gt;0,"■","")</f>
        <v/>
      </c>
      <c r="X43" s="35">
        <f>IF(X44&gt;0,"■","")</f>
        <v/>
      </c>
      <c r="Y43" s="35">
        <f>IF(Y44&gt;0,"■","")</f>
        <v/>
      </c>
      <c r="Z43" s="35">
        <f>IF(Z44&gt;0,"■","")</f>
        <v/>
      </c>
      <c r="AA43" s="35">
        <f>IF(AA44&gt;0,"■","")</f>
        <v/>
      </c>
      <c r="AB43" s="35">
        <f>IF(AB44&gt;0,"■","")</f>
        <v/>
      </c>
      <c r="AC43" s="35">
        <f>IF(AC44&gt;0,"■","")</f>
        <v/>
      </c>
    </row>
    <row r="44">
      <c r="A44" s="50" t="n"/>
      <c r="B44" s="51" t="n"/>
      <c r="C44" s="52" t="inlineStr">
        <is>
          <t>今週出来高率</t>
        </is>
      </c>
      <c r="D44" s="57" t="n"/>
      <c r="E44" s="50" t="n"/>
      <c r="F44" s="54" t="n"/>
      <c r="G44" s="55" t="n"/>
      <c r="H44" s="41">
        <f>IF($D43=0,0,(H49*$D48+H114*$D113+H119*$D118+H124*$D123)/$D43)</f>
        <v/>
      </c>
      <c r="I44" s="41">
        <f>IF($D43=0,0,(I49*$D48+I114*$D113+I119*$D118+I124*$D123)/$D43)</f>
        <v/>
      </c>
      <c r="J44" s="41">
        <f>IF($D43=0,0,(J49*$D48+J114*$D113+J119*$D118+J124*$D123)/$D43)</f>
        <v/>
      </c>
      <c r="K44" s="41">
        <f>IF($D43=0,0,(K49*$D48+K114*$D113+K119*$D118+K124*$D123)/$D43)</f>
        <v/>
      </c>
      <c r="L44" s="41">
        <f>IF($D43=0,0,(L49*$D48+L114*$D113+L119*$D118+L124*$D123)/$D43)</f>
        <v/>
      </c>
      <c r="M44" s="41">
        <f>IF($D43=0,0,(M49*$D48+M114*$D113+M119*$D118+M124*$D123)/$D43)</f>
        <v/>
      </c>
      <c r="N44" s="41">
        <f>IF($D43=0,0,(N49*$D48+N114*$D113+N119*$D118+N124*$D123)/$D43)</f>
        <v/>
      </c>
      <c r="O44" s="41">
        <f>IF($D43=0,0,(O49*$D48+O114*$D113+O119*$D118+O124*$D123)/$D43)</f>
        <v/>
      </c>
      <c r="P44" s="41">
        <f>IF($D43=0,0,(P49*$D48+P114*$D113+P119*$D118+P124*$D123)/$D43)</f>
        <v/>
      </c>
      <c r="Q44" s="41">
        <f>IF($D43=0,0,(Q49*$D48+Q114*$D113+Q119*$D118+Q124*$D123)/$D43)</f>
        <v/>
      </c>
      <c r="R44" s="41">
        <f>IF($D43=0,0,(R49*$D48+R114*$D113+R119*$D118+R124*$D123)/$D43)</f>
        <v/>
      </c>
      <c r="S44" s="41">
        <f>IF($D43=0,0,(S49*$D48+S114*$D113+S119*$D118+S124*$D123)/$D43)</f>
        <v/>
      </c>
      <c r="T44" s="41">
        <f>IF($D43=0,0,(T49*$D48+T114*$D113+T119*$D118+T124*$D123)/$D43)</f>
        <v/>
      </c>
      <c r="U44" s="41">
        <f>IF($D43=0,0,(U49*$D48+U114*$D113+U119*$D118+U124*$D123)/$D43)</f>
        <v/>
      </c>
      <c r="V44" s="41">
        <f>IF($D43=0,0,(V49*$D48+V114*$D113+V119*$D118+V124*$D123)/$D43)</f>
        <v/>
      </c>
      <c r="W44" s="41">
        <f>IF($D43=0,0,(W49*$D48+W114*$D113+W119*$D118+W124*$D123)/$D43)</f>
        <v/>
      </c>
      <c r="X44" s="41">
        <f>IF($D43=0,0,(X49*$D48+X114*$D113+X119*$D118+X124*$D123)/$D43)</f>
        <v/>
      </c>
      <c r="Y44" s="41">
        <f>IF($D43=0,0,(Y49*$D48+Y114*$D113+Y119*$D118+Y124*$D123)/$D43)</f>
        <v/>
      </c>
      <c r="Z44" s="41">
        <f>IF($D43=0,0,(Z49*$D48+Z114*$D113+Z119*$D118+Z124*$D123)/$D43)</f>
        <v/>
      </c>
      <c r="AA44" s="41">
        <f>IF($D43=0,0,(AA49*$D48+AA114*$D113+AA119*$D118+AA124*$D123)/$D43)</f>
        <v/>
      </c>
      <c r="AB44" s="41">
        <f>IF($D43=0,0,(AB49*$D48+AB114*$D113+AB119*$D118+AB124*$D123)/$D43)</f>
        <v/>
      </c>
      <c r="AC44" s="41">
        <f>IF($D43=0,0,(AC49*$D48+AC114*$D113+AC119*$D118+AC124*$D123)/$D43)</f>
        <v/>
      </c>
    </row>
    <row r="45">
      <c r="A45" s="50" t="n"/>
      <c r="B45" s="51" t="n"/>
      <c r="C45" s="52" t="inlineStr">
        <is>
          <t>累計出来高率</t>
        </is>
      </c>
      <c r="D45" s="57" t="n"/>
      <c r="E45" s="50" t="n"/>
      <c r="F45" s="54" t="n"/>
      <c r="G45" s="55" t="n"/>
      <c r="H45" s="41">
        <f>H44</f>
        <v/>
      </c>
      <c r="I45" s="41">
        <f>H45+I44</f>
        <v/>
      </c>
      <c r="J45" s="41">
        <f>I45+J44</f>
        <v/>
      </c>
      <c r="K45" s="41">
        <f>J45+K44</f>
        <v/>
      </c>
      <c r="L45" s="41">
        <f>K45+L44</f>
        <v/>
      </c>
      <c r="M45" s="41">
        <f>L45+M44</f>
        <v/>
      </c>
      <c r="N45" s="41">
        <f>M45+N44</f>
        <v/>
      </c>
      <c r="O45" s="41">
        <f>N45+O44</f>
        <v/>
      </c>
      <c r="P45" s="41">
        <f>O45+P44</f>
        <v/>
      </c>
      <c r="Q45" s="41">
        <f>P45+Q44</f>
        <v/>
      </c>
      <c r="R45" s="41">
        <f>Q45+R44</f>
        <v/>
      </c>
      <c r="S45" s="41">
        <f>R45+S44</f>
        <v/>
      </c>
      <c r="T45" s="41">
        <f>S45+T44</f>
        <v/>
      </c>
      <c r="U45" s="41">
        <f>T45+U44</f>
        <v/>
      </c>
      <c r="V45" s="41">
        <f>U45+V44</f>
        <v/>
      </c>
      <c r="W45" s="41">
        <f>V45+W44</f>
        <v/>
      </c>
      <c r="X45" s="41">
        <f>W45+X44</f>
        <v/>
      </c>
      <c r="Y45" s="41">
        <f>X45+Y44</f>
        <v/>
      </c>
      <c r="Z45" s="41">
        <f>Y45+Z44</f>
        <v/>
      </c>
      <c r="AA45" s="41">
        <f>Z45+AA44</f>
        <v/>
      </c>
      <c r="AB45" s="41">
        <f>AA45+AB44</f>
        <v/>
      </c>
      <c r="AC45" s="41">
        <f>AB45+AC44</f>
        <v/>
      </c>
    </row>
    <row r="46">
      <c r="A46" s="50" t="n"/>
      <c r="B46" s="51" t="n"/>
      <c r="C46" s="52" t="inlineStr">
        <is>
          <t>今週出来高金額</t>
        </is>
      </c>
      <c r="D46" s="57" t="n"/>
      <c r="E46" s="50" t="n"/>
      <c r="F46" s="54" t="n"/>
      <c r="G46" s="55" t="n"/>
      <c r="H46" s="42">
        <f>H51+H116+H121+H126</f>
        <v/>
      </c>
      <c r="I46" s="42">
        <f>I51+I116+I121+I126</f>
        <v/>
      </c>
      <c r="J46" s="42">
        <f>J51+J116+J121+J126</f>
        <v/>
      </c>
      <c r="K46" s="42">
        <f>K51+K116+K121+K126</f>
        <v/>
      </c>
      <c r="L46" s="42">
        <f>L51+L116+L121+L126</f>
        <v/>
      </c>
      <c r="M46" s="42">
        <f>M51+M116+M121+M126</f>
        <v/>
      </c>
      <c r="N46" s="42">
        <f>N51+N116+N121+N126</f>
        <v/>
      </c>
      <c r="O46" s="42">
        <f>O51+O116+O121+O126</f>
        <v/>
      </c>
      <c r="P46" s="42">
        <f>P51+P116+P121+P126</f>
        <v/>
      </c>
      <c r="Q46" s="42">
        <f>Q51+Q116+Q121+Q126</f>
        <v/>
      </c>
      <c r="R46" s="42">
        <f>R51+R116+R121+R126</f>
        <v/>
      </c>
      <c r="S46" s="42">
        <f>S51+S116+S121+S126</f>
        <v/>
      </c>
      <c r="T46" s="42">
        <f>T51+T116+T121+T126</f>
        <v/>
      </c>
      <c r="U46" s="42">
        <f>U51+U116+U121+U126</f>
        <v/>
      </c>
      <c r="V46" s="42">
        <f>V51+V116+V121+V126</f>
        <v/>
      </c>
      <c r="W46" s="42">
        <f>W51+W116+W121+W126</f>
        <v/>
      </c>
      <c r="X46" s="42">
        <f>X51+X116+X121+X126</f>
        <v/>
      </c>
      <c r="Y46" s="42">
        <f>Y51+Y116+Y121+Y126</f>
        <v/>
      </c>
      <c r="Z46" s="42">
        <f>Z51+Z116+Z121+Z126</f>
        <v/>
      </c>
      <c r="AA46" s="42">
        <f>AA51+AA116+AA121+AA126</f>
        <v/>
      </c>
      <c r="AB46" s="42">
        <f>AB51+AB116+AB121+AB126</f>
        <v/>
      </c>
      <c r="AC46" s="42">
        <f>AC51+AC116+AC121+AC126</f>
        <v/>
      </c>
    </row>
    <row r="47">
      <c r="A47" s="50" t="n"/>
      <c r="B47" s="51" t="n"/>
      <c r="C47" s="52" t="inlineStr">
        <is>
          <t>累計出来高金額</t>
        </is>
      </c>
      <c r="D47" s="57" t="n"/>
      <c r="E47" s="50" t="n"/>
      <c r="F47" s="54" t="n"/>
      <c r="G47" s="55" t="n"/>
      <c r="H47" s="42">
        <f>H46</f>
        <v/>
      </c>
      <c r="I47" s="42">
        <f>H47+I46</f>
        <v/>
      </c>
      <c r="J47" s="42">
        <f>I47+J46</f>
        <v/>
      </c>
      <c r="K47" s="42">
        <f>J47+K46</f>
        <v/>
      </c>
      <c r="L47" s="42">
        <f>K47+L46</f>
        <v/>
      </c>
      <c r="M47" s="42">
        <f>L47+M46</f>
        <v/>
      </c>
      <c r="N47" s="42">
        <f>M47+N46</f>
        <v/>
      </c>
      <c r="O47" s="42">
        <f>N47+O46</f>
        <v/>
      </c>
      <c r="P47" s="42">
        <f>O47+P46</f>
        <v/>
      </c>
      <c r="Q47" s="42">
        <f>P47+Q46</f>
        <v/>
      </c>
      <c r="R47" s="42">
        <f>Q47+R46</f>
        <v/>
      </c>
      <c r="S47" s="42">
        <f>R47+S46</f>
        <v/>
      </c>
      <c r="T47" s="42">
        <f>S47+T46</f>
        <v/>
      </c>
      <c r="U47" s="42">
        <f>T47+U46</f>
        <v/>
      </c>
      <c r="V47" s="42">
        <f>U47+V46</f>
        <v/>
      </c>
      <c r="W47" s="42">
        <f>V47+W46</f>
        <v/>
      </c>
      <c r="X47" s="42">
        <f>W47+X46</f>
        <v/>
      </c>
      <c r="Y47" s="42">
        <f>X47+Y46</f>
        <v/>
      </c>
      <c r="Z47" s="42">
        <f>Y47+Z46</f>
        <v/>
      </c>
      <c r="AA47" s="42">
        <f>Z47+AA46</f>
        <v/>
      </c>
      <c r="AB47" s="42">
        <f>AA47+AB46</f>
        <v/>
      </c>
      <c r="AC47" s="42">
        <f>AB47+AC46</f>
        <v/>
      </c>
    </row>
    <row r="48">
      <c r="A48" s="58" t="inlineStr">
        <is>
          <t>c)-1</t>
        </is>
      </c>
      <c r="B48" s="59" t="inlineStr">
        <is>
          <t>建築工事</t>
        </is>
      </c>
      <c r="C48" s="60" t="inlineStr">
        <is>
          <t>工程</t>
        </is>
      </c>
      <c r="D48" s="73">
        <f>D53+D58+D63+D68+D73+D78+D83+D88+D93+D98+D103+D108</f>
        <v/>
      </c>
      <c r="E48" s="58">
        <f>COUNTIF(H49:AC49,"&gt;0")</f>
        <v/>
      </c>
      <c r="F48" s="62">
        <f>SUM(H49:AC49)</f>
        <v/>
      </c>
      <c r="G48" s="63">
        <f>IF(AND(ABS(F48-1)&lt;0.0001,ABS(AC50-1)&lt;0.0001),"OK",IF(E48=0,"工程未設定","NG"))</f>
        <v/>
      </c>
      <c r="H48" s="74">
        <f>IF(H49&gt;0,"■","")</f>
        <v/>
      </c>
      <c r="I48" s="74">
        <f>IF(I49&gt;0,"■","")</f>
        <v/>
      </c>
      <c r="J48" s="74">
        <f>IF(J49&gt;0,"■","")</f>
        <v/>
      </c>
      <c r="K48" s="74">
        <f>IF(K49&gt;0,"■","")</f>
        <v/>
      </c>
      <c r="L48" s="74">
        <f>IF(L49&gt;0,"■","")</f>
        <v/>
      </c>
      <c r="M48" s="74">
        <f>IF(M49&gt;0,"■","")</f>
        <v/>
      </c>
      <c r="N48" s="74">
        <f>IF(N49&gt;0,"■","")</f>
        <v/>
      </c>
      <c r="O48" s="74">
        <f>IF(O49&gt;0,"■","")</f>
        <v/>
      </c>
      <c r="P48" s="74">
        <f>IF(P49&gt;0,"■","")</f>
        <v/>
      </c>
      <c r="Q48" s="74">
        <f>IF(Q49&gt;0,"■","")</f>
        <v/>
      </c>
      <c r="R48" s="74">
        <f>IF(R49&gt;0,"■","")</f>
        <v/>
      </c>
      <c r="S48" s="74">
        <f>IF(S49&gt;0,"■","")</f>
        <v/>
      </c>
      <c r="T48" s="74">
        <f>IF(T49&gt;0,"■","")</f>
        <v/>
      </c>
      <c r="U48" s="74">
        <f>IF(U49&gt;0,"■","")</f>
        <v/>
      </c>
      <c r="V48" s="74">
        <f>IF(V49&gt;0,"■","")</f>
        <v/>
      </c>
      <c r="W48" s="74">
        <f>IF(W49&gt;0,"■","")</f>
        <v/>
      </c>
      <c r="X48" s="74">
        <f>IF(X49&gt;0,"■","")</f>
        <v/>
      </c>
      <c r="Y48" s="74">
        <f>IF(Y49&gt;0,"■","")</f>
        <v/>
      </c>
      <c r="Z48" s="74">
        <f>IF(Z49&gt;0,"■","")</f>
        <v/>
      </c>
      <c r="AA48" s="74">
        <f>IF(AA49&gt;0,"■","")</f>
        <v/>
      </c>
      <c r="AB48" s="74">
        <f>IF(AB49&gt;0,"■","")</f>
        <v/>
      </c>
      <c r="AC48" s="74">
        <f>IF(AC49&gt;0,"■","")</f>
        <v/>
      </c>
    </row>
    <row r="49">
      <c r="A49" s="65" t="n"/>
      <c r="B49" s="66" t="n"/>
      <c r="C49" s="67" t="inlineStr">
        <is>
          <t>今週出来高率</t>
        </is>
      </c>
      <c r="D49" s="75" t="n"/>
      <c r="E49" s="65" t="n"/>
      <c r="F49" s="69" t="n"/>
      <c r="G49" s="70" t="n"/>
      <c r="H49" s="71">
        <f>IF($D48=0,0,(H54*$D53+H59*$D58+H64*$D63+H69*$D68+H74*$D73+H79*$D78+H84*$D83+H89*$D88+H94*$D93+H99*$D98+H104*$D103+H109*$D108)/$D48)</f>
        <v/>
      </c>
      <c r="I49" s="71">
        <f>IF($D48=0,0,(I54*$D53+I59*$D58+I64*$D63+I69*$D68+I74*$D73+I79*$D78+I84*$D83+I89*$D88+I94*$D93+I99*$D98+I104*$D103+I109*$D108)/$D48)</f>
        <v/>
      </c>
      <c r="J49" s="71">
        <f>IF($D48=0,0,(J54*$D53+J59*$D58+J64*$D63+J69*$D68+J74*$D73+J79*$D78+J84*$D83+J89*$D88+J94*$D93+J99*$D98+J104*$D103+J109*$D108)/$D48)</f>
        <v/>
      </c>
      <c r="K49" s="71">
        <f>IF($D48=0,0,(K54*$D53+K59*$D58+K64*$D63+K69*$D68+K74*$D73+K79*$D78+K84*$D83+K89*$D88+K94*$D93+K99*$D98+K104*$D103+K109*$D108)/$D48)</f>
        <v/>
      </c>
      <c r="L49" s="71">
        <f>IF($D48=0,0,(L54*$D53+L59*$D58+L64*$D63+L69*$D68+L74*$D73+L79*$D78+L84*$D83+L89*$D88+L94*$D93+L99*$D98+L104*$D103+L109*$D108)/$D48)</f>
        <v/>
      </c>
      <c r="M49" s="71">
        <f>IF($D48=0,0,(M54*$D53+M59*$D58+M64*$D63+M69*$D68+M74*$D73+M79*$D78+M84*$D83+M89*$D88+M94*$D93+M99*$D98+M104*$D103+M109*$D108)/$D48)</f>
        <v/>
      </c>
      <c r="N49" s="71">
        <f>IF($D48=0,0,(N54*$D53+N59*$D58+N64*$D63+N69*$D68+N74*$D73+N79*$D78+N84*$D83+N89*$D88+N94*$D93+N99*$D98+N104*$D103+N109*$D108)/$D48)</f>
        <v/>
      </c>
      <c r="O49" s="71">
        <f>IF($D48=0,0,(O54*$D53+O59*$D58+O64*$D63+O69*$D68+O74*$D73+O79*$D78+O84*$D83+O89*$D88+O94*$D93+O99*$D98+O104*$D103+O109*$D108)/$D48)</f>
        <v/>
      </c>
      <c r="P49" s="71">
        <f>IF($D48=0,0,(P54*$D53+P59*$D58+P64*$D63+P69*$D68+P74*$D73+P79*$D78+P84*$D83+P89*$D88+P94*$D93+P99*$D98+P104*$D103+P109*$D108)/$D48)</f>
        <v/>
      </c>
      <c r="Q49" s="71">
        <f>IF($D48=0,0,(Q54*$D53+Q59*$D58+Q64*$D63+Q69*$D68+Q74*$D73+Q79*$D78+Q84*$D83+Q89*$D88+Q94*$D93+Q99*$D98+Q104*$D103+Q109*$D108)/$D48)</f>
        <v/>
      </c>
      <c r="R49" s="71">
        <f>IF($D48=0,0,(R54*$D53+R59*$D58+R64*$D63+R69*$D68+R74*$D73+R79*$D78+R84*$D83+R89*$D88+R94*$D93+R99*$D98+R104*$D103+R109*$D108)/$D48)</f>
        <v/>
      </c>
      <c r="S49" s="71">
        <f>IF($D48=0,0,(S54*$D53+S59*$D58+S64*$D63+S69*$D68+S74*$D73+S79*$D78+S84*$D83+S89*$D88+S94*$D93+S99*$D98+S104*$D103+S109*$D108)/$D48)</f>
        <v/>
      </c>
      <c r="T49" s="71">
        <f>IF($D48=0,0,(T54*$D53+T59*$D58+T64*$D63+T69*$D68+T74*$D73+T79*$D78+T84*$D83+T89*$D88+T94*$D93+T99*$D98+T104*$D103+T109*$D108)/$D48)</f>
        <v/>
      </c>
      <c r="U49" s="71">
        <f>IF($D48=0,0,(U54*$D53+U59*$D58+U64*$D63+U69*$D68+U74*$D73+U79*$D78+U84*$D83+U89*$D88+U94*$D93+U99*$D98+U104*$D103+U109*$D108)/$D48)</f>
        <v/>
      </c>
      <c r="V49" s="71">
        <f>IF($D48=0,0,(V54*$D53+V59*$D58+V64*$D63+V69*$D68+V74*$D73+V79*$D78+V84*$D83+V89*$D88+V94*$D93+V99*$D98+V104*$D103+V109*$D108)/$D48)</f>
        <v/>
      </c>
      <c r="W49" s="71">
        <f>IF($D48=0,0,(W54*$D53+W59*$D58+W64*$D63+W69*$D68+W74*$D73+W79*$D78+W84*$D83+W89*$D88+W94*$D93+W99*$D98+W104*$D103+W109*$D108)/$D48)</f>
        <v/>
      </c>
      <c r="X49" s="71">
        <f>IF($D48=0,0,(X54*$D53+X59*$D58+X64*$D63+X69*$D68+X74*$D73+X79*$D78+X84*$D83+X89*$D88+X94*$D93+X99*$D98+X104*$D103+X109*$D108)/$D48)</f>
        <v/>
      </c>
      <c r="Y49" s="71">
        <f>IF($D48=0,0,(Y54*$D53+Y59*$D58+Y64*$D63+Y69*$D68+Y74*$D73+Y79*$D78+Y84*$D83+Y89*$D88+Y94*$D93+Y99*$D98+Y104*$D103+Y109*$D108)/$D48)</f>
        <v/>
      </c>
      <c r="Z49" s="71">
        <f>IF($D48=0,0,(Z54*$D53+Z59*$D58+Z64*$D63+Z69*$D68+Z74*$D73+Z79*$D78+Z84*$D83+Z89*$D88+Z94*$D93+Z99*$D98+Z104*$D103+Z109*$D108)/$D48)</f>
        <v/>
      </c>
      <c r="AA49" s="71">
        <f>IF($D48=0,0,(AA54*$D53+AA59*$D58+AA64*$D63+AA69*$D68+AA74*$D73+AA79*$D78+AA84*$D83+AA89*$D88+AA94*$D93+AA99*$D98+AA104*$D103+AA109*$D108)/$D48)</f>
        <v/>
      </c>
      <c r="AB49" s="71">
        <f>IF($D48=0,0,(AB54*$D53+AB59*$D58+AB64*$D63+AB69*$D68+AB74*$D73+AB79*$D78+AB84*$D83+AB89*$D88+AB94*$D93+AB99*$D98+AB104*$D103+AB109*$D108)/$D48)</f>
        <v/>
      </c>
      <c r="AC49" s="71">
        <f>IF($D48=0,0,(AC54*$D53+AC59*$D58+AC64*$D63+AC69*$D68+AC74*$D73+AC79*$D78+AC84*$D83+AC89*$D88+AC94*$D93+AC99*$D98+AC104*$D103+AC109*$D108)/$D48)</f>
        <v/>
      </c>
    </row>
    <row r="50">
      <c r="A50" s="65" t="n"/>
      <c r="B50" s="66" t="n"/>
      <c r="C50" s="67" t="inlineStr">
        <is>
          <t>累計出来高率</t>
        </is>
      </c>
      <c r="D50" s="75" t="n"/>
      <c r="E50" s="65" t="n"/>
      <c r="F50" s="69" t="n"/>
      <c r="G50" s="70" t="n"/>
      <c r="H50" s="71">
        <f>H49</f>
        <v/>
      </c>
      <c r="I50" s="71">
        <f>H50+I49</f>
        <v/>
      </c>
      <c r="J50" s="71">
        <f>I50+J49</f>
        <v/>
      </c>
      <c r="K50" s="71">
        <f>J50+K49</f>
        <v/>
      </c>
      <c r="L50" s="71">
        <f>K50+L49</f>
        <v/>
      </c>
      <c r="M50" s="71">
        <f>L50+M49</f>
        <v/>
      </c>
      <c r="N50" s="71">
        <f>M50+N49</f>
        <v/>
      </c>
      <c r="O50" s="71">
        <f>N50+O49</f>
        <v/>
      </c>
      <c r="P50" s="71">
        <f>O50+P49</f>
        <v/>
      </c>
      <c r="Q50" s="71">
        <f>P50+Q49</f>
        <v/>
      </c>
      <c r="R50" s="71">
        <f>Q50+R49</f>
        <v/>
      </c>
      <c r="S50" s="71">
        <f>R50+S49</f>
        <v/>
      </c>
      <c r="T50" s="71">
        <f>S50+T49</f>
        <v/>
      </c>
      <c r="U50" s="71">
        <f>T50+U49</f>
        <v/>
      </c>
      <c r="V50" s="71">
        <f>U50+V49</f>
        <v/>
      </c>
      <c r="W50" s="71">
        <f>V50+W49</f>
        <v/>
      </c>
      <c r="X50" s="71">
        <f>W50+X49</f>
        <v/>
      </c>
      <c r="Y50" s="71">
        <f>X50+Y49</f>
        <v/>
      </c>
      <c r="Z50" s="71">
        <f>Y50+Z49</f>
        <v/>
      </c>
      <c r="AA50" s="71">
        <f>Z50+AA49</f>
        <v/>
      </c>
      <c r="AB50" s="71">
        <f>AA50+AB49</f>
        <v/>
      </c>
      <c r="AC50" s="71">
        <f>AB50+AC49</f>
        <v/>
      </c>
    </row>
    <row r="51">
      <c r="A51" s="65" t="n"/>
      <c r="B51" s="66" t="n"/>
      <c r="C51" s="67" t="inlineStr">
        <is>
          <t>今週出来高金額</t>
        </is>
      </c>
      <c r="D51" s="75" t="n"/>
      <c r="E51" s="65" t="n"/>
      <c r="F51" s="69" t="n"/>
      <c r="G51" s="70" t="n"/>
      <c r="H51" s="72">
        <f>H56+H61+H66+H71+H76+H81+H86+H91+H96+H101+H106+H111</f>
        <v/>
      </c>
      <c r="I51" s="72">
        <f>I56+I61+I66+I71+I76+I81+I86+I91+I96+I101+I106+I111</f>
        <v/>
      </c>
      <c r="J51" s="72">
        <f>J56+J61+J66+J71+J76+J81+J86+J91+J96+J101+J106+J111</f>
        <v/>
      </c>
      <c r="K51" s="72">
        <f>K56+K61+K66+K71+K76+K81+K86+K91+K96+K101+K106+K111</f>
        <v/>
      </c>
      <c r="L51" s="72">
        <f>L56+L61+L66+L71+L76+L81+L86+L91+L96+L101+L106+L111</f>
        <v/>
      </c>
      <c r="M51" s="72">
        <f>M56+M61+M66+M71+M76+M81+M86+M91+M96+M101+M106+M111</f>
        <v/>
      </c>
      <c r="N51" s="72">
        <f>N56+N61+N66+N71+N76+N81+N86+N91+N96+N101+N106+N111</f>
        <v/>
      </c>
      <c r="O51" s="72">
        <f>O56+O61+O66+O71+O76+O81+O86+O91+O96+O101+O106+O111</f>
        <v/>
      </c>
      <c r="P51" s="72">
        <f>P56+P61+P66+P71+P76+P81+P86+P91+P96+P101+P106+P111</f>
        <v/>
      </c>
      <c r="Q51" s="72">
        <f>Q56+Q61+Q66+Q71+Q76+Q81+Q86+Q91+Q96+Q101+Q106+Q111</f>
        <v/>
      </c>
      <c r="R51" s="72">
        <f>R56+R61+R66+R71+R76+R81+R86+R91+R96+R101+R106+R111</f>
        <v/>
      </c>
      <c r="S51" s="72">
        <f>S56+S61+S66+S71+S76+S81+S86+S91+S96+S101+S106+S111</f>
        <v/>
      </c>
      <c r="T51" s="72">
        <f>T56+T61+T66+T71+T76+T81+T86+T91+T96+T101+T106+T111</f>
        <v/>
      </c>
      <c r="U51" s="72">
        <f>U56+U61+U66+U71+U76+U81+U86+U91+U96+U101+U106+U111</f>
        <v/>
      </c>
      <c r="V51" s="72">
        <f>V56+V61+V66+V71+V76+V81+V86+V91+V96+V101+V106+V111</f>
        <v/>
      </c>
      <c r="W51" s="72">
        <f>W56+W61+W66+W71+W76+W81+W86+W91+W96+W101+W106+W111</f>
        <v/>
      </c>
      <c r="X51" s="72">
        <f>X56+X61+X66+X71+X76+X81+X86+X91+X96+X101+X106+X111</f>
        <v/>
      </c>
      <c r="Y51" s="72">
        <f>Y56+Y61+Y66+Y71+Y76+Y81+Y86+Y91+Y96+Y101+Y106+Y111</f>
        <v/>
      </c>
      <c r="Z51" s="72">
        <f>Z56+Z61+Z66+Z71+Z76+Z81+Z86+Z91+Z96+Z101+Z106+Z111</f>
        <v/>
      </c>
      <c r="AA51" s="72">
        <f>AA56+AA61+AA66+AA71+AA76+AA81+AA86+AA91+AA96+AA101+AA106+AA111</f>
        <v/>
      </c>
      <c r="AB51" s="72">
        <f>AB56+AB61+AB66+AB71+AB76+AB81+AB86+AB91+AB96+AB101+AB106+AB111</f>
        <v/>
      </c>
      <c r="AC51" s="72">
        <f>AC56+AC61+AC66+AC71+AC76+AC81+AC86+AC91+AC96+AC101+AC106+AC111</f>
        <v/>
      </c>
    </row>
    <row r="52">
      <c r="A52" s="65" t="n"/>
      <c r="B52" s="66" t="n"/>
      <c r="C52" s="67" t="inlineStr">
        <is>
          <t>累計出来高金額</t>
        </is>
      </c>
      <c r="D52" s="75" t="n"/>
      <c r="E52" s="65" t="n"/>
      <c r="F52" s="69" t="n"/>
      <c r="G52" s="70" t="n"/>
      <c r="H52" s="72">
        <f>H51</f>
        <v/>
      </c>
      <c r="I52" s="72">
        <f>H52+I51</f>
        <v/>
      </c>
      <c r="J52" s="72">
        <f>I52+J51</f>
        <v/>
      </c>
      <c r="K52" s="72">
        <f>J52+K51</f>
        <v/>
      </c>
      <c r="L52" s="72">
        <f>K52+L51</f>
        <v/>
      </c>
      <c r="M52" s="72">
        <f>L52+M51</f>
        <v/>
      </c>
      <c r="N52" s="72">
        <f>M52+N51</f>
        <v/>
      </c>
      <c r="O52" s="72">
        <f>N52+O51</f>
        <v/>
      </c>
      <c r="P52" s="72">
        <f>O52+P51</f>
        <v/>
      </c>
      <c r="Q52" s="72">
        <f>P52+Q51</f>
        <v/>
      </c>
      <c r="R52" s="72">
        <f>Q52+R51</f>
        <v/>
      </c>
      <c r="S52" s="72">
        <f>R52+S51</f>
        <v/>
      </c>
      <c r="T52" s="72">
        <f>S52+T51</f>
        <v/>
      </c>
      <c r="U52" s="72">
        <f>T52+U51</f>
        <v/>
      </c>
      <c r="V52" s="72">
        <f>U52+V51</f>
        <v/>
      </c>
      <c r="W52" s="72">
        <f>V52+W51</f>
        <v/>
      </c>
      <c r="X52" s="72">
        <f>W52+X51</f>
        <v/>
      </c>
      <c r="Y52" s="72">
        <f>X52+Y51</f>
        <v/>
      </c>
      <c r="Z52" s="72">
        <f>Y52+Z51</f>
        <v/>
      </c>
      <c r="AA52" s="72">
        <f>Z52+AA51</f>
        <v/>
      </c>
      <c r="AB52" s="72">
        <f>AA52+AB51</f>
        <v/>
      </c>
      <c r="AC52" s="72">
        <f>AB52+AC51</f>
        <v/>
      </c>
    </row>
    <row r="53">
      <c r="A53" s="76" t="inlineStr">
        <is>
          <t>1</t>
        </is>
      </c>
      <c r="B53" s="77" t="inlineStr">
        <is>
          <t>直接仮設工事</t>
        </is>
      </c>
      <c r="C53" s="78" t="inlineStr">
        <is>
          <t>工程</t>
        </is>
      </c>
      <c r="D53" s="79">
        <f>'金額リスト'!C15</f>
        <v/>
      </c>
      <c r="E53" s="76">
        <f>SUMPRODUCT((H53:AC53&lt;&gt;"")*(H$6:AC$6=1))</f>
        <v/>
      </c>
      <c r="F53" s="80">
        <f>SUM(H54:AC54)</f>
        <v/>
      </c>
      <c r="G53" s="81">
        <f>IF(AND(ABS(F53-1)&lt;0.0001,ABS(AC55-1)&lt;0.0001),"OK",IF(E53=0,"工程未設定","NG"))</f>
        <v/>
      </c>
      <c r="H53" s="64" t="n"/>
      <c r="I53" s="64" t="n">
        <v>1</v>
      </c>
      <c r="J53" s="64" t="n"/>
      <c r="K53" s="64" t="n"/>
      <c r="L53" s="64" t="n">
        <v>1</v>
      </c>
      <c r="M53" s="64" t="n"/>
      <c r="N53" s="64" t="n">
        <v>1</v>
      </c>
      <c r="O53" s="64" t="n"/>
      <c r="P53" s="64" t="n"/>
      <c r="Q53" s="64" t="n">
        <v>1</v>
      </c>
      <c r="R53" s="64" t="n"/>
      <c r="S53" s="64" t="n"/>
      <c r="T53" s="64" t="n"/>
      <c r="U53" s="64" t="n"/>
      <c r="V53" s="64" t="n"/>
      <c r="W53" s="64" t="n"/>
      <c r="X53" s="64" t="n">
        <v>1</v>
      </c>
      <c r="Y53" s="64" t="n"/>
      <c r="Z53" s="64" t="n"/>
      <c r="AA53" s="64" t="n">
        <v>1</v>
      </c>
      <c r="AB53" s="64" t="n"/>
      <c r="AC53" s="64" t="n"/>
    </row>
    <row r="54">
      <c r="A54" s="82" t="n"/>
      <c r="B54" s="83" t="n"/>
      <c r="C54" s="84" t="inlineStr">
        <is>
          <t>今週出来高率</t>
        </is>
      </c>
      <c r="D54" s="85" t="n"/>
      <c r="E54" s="82" t="n"/>
      <c r="F54" s="86" t="n"/>
      <c r="G54" s="87" t="n"/>
      <c r="H54" s="71">
        <f>IF(OR($E53=0,H53="",H$6&lt;&gt;1),0,1/$E53)</f>
        <v/>
      </c>
      <c r="I54" s="71">
        <f>IF(OR($E53=0,I53="",I$6&lt;&gt;1),0,1/$E53)</f>
        <v/>
      </c>
      <c r="J54" s="71">
        <f>IF(OR($E53=0,J53="",J$6&lt;&gt;1),0,1/$E53)</f>
        <v/>
      </c>
      <c r="K54" s="71">
        <f>IF(OR($E53=0,K53="",K$6&lt;&gt;1),0,1/$E53)</f>
        <v/>
      </c>
      <c r="L54" s="71">
        <f>IF(OR($E53=0,L53="",L$6&lt;&gt;1),0,1/$E53)</f>
        <v/>
      </c>
      <c r="M54" s="71">
        <f>IF(OR($E53=0,M53="",M$6&lt;&gt;1),0,1/$E53)</f>
        <v/>
      </c>
      <c r="N54" s="71">
        <f>IF(OR($E53=0,N53="",N$6&lt;&gt;1),0,1/$E53)</f>
        <v/>
      </c>
      <c r="O54" s="71">
        <f>IF(OR($E53=0,O53="",O$6&lt;&gt;1),0,1/$E53)</f>
        <v/>
      </c>
      <c r="P54" s="71">
        <f>IF(OR($E53=0,P53="",P$6&lt;&gt;1),0,1/$E53)</f>
        <v/>
      </c>
      <c r="Q54" s="71">
        <f>IF(OR($E53=0,Q53="",Q$6&lt;&gt;1),0,1/$E53)</f>
        <v/>
      </c>
      <c r="R54" s="71">
        <f>IF(OR($E53=0,R53="",R$6&lt;&gt;1),0,1/$E53)</f>
        <v/>
      </c>
      <c r="S54" s="71">
        <f>IF(OR($E53=0,S53="",S$6&lt;&gt;1),0,1/$E53)</f>
        <v/>
      </c>
      <c r="T54" s="71">
        <f>IF(OR($E53=0,T53="",T$6&lt;&gt;1),0,1/$E53)</f>
        <v/>
      </c>
      <c r="U54" s="71">
        <f>IF(OR($E53=0,U53="",U$6&lt;&gt;1),0,1/$E53)</f>
        <v/>
      </c>
      <c r="V54" s="71">
        <f>IF(OR($E53=0,V53="",V$6&lt;&gt;1),0,1/$E53)</f>
        <v/>
      </c>
      <c r="W54" s="71">
        <f>IF(OR($E53=0,W53="",W$6&lt;&gt;1),0,1/$E53)</f>
        <v/>
      </c>
      <c r="X54" s="71">
        <f>IF(OR($E53=0,X53="",X$6&lt;&gt;1),0,1/$E53)</f>
        <v/>
      </c>
      <c r="Y54" s="71">
        <f>IF(OR($E53=0,Y53="",Y$6&lt;&gt;1),0,1/$E53)</f>
        <v/>
      </c>
      <c r="Z54" s="71">
        <f>IF(OR($E53=0,Z53="",Z$6&lt;&gt;1),0,1/$E53)</f>
        <v/>
      </c>
      <c r="AA54" s="71">
        <f>IF(OR($E53=0,AA53="",AA$6&lt;&gt;1),0,1/$E53)</f>
        <v/>
      </c>
      <c r="AB54" s="71">
        <f>IF(OR($E53=0,AB53="",AB$6&lt;&gt;1),0,1/$E53)</f>
        <v/>
      </c>
      <c r="AC54" s="71">
        <f>IF(OR($E53=0,AC53="",AC$6&lt;&gt;1),0,1/$E53)</f>
        <v/>
      </c>
    </row>
    <row r="55">
      <c r="A55" s="82" t="n"/>
      <c r="B55" s="83" t="n"/>
      <c r="C55" s="84" t="inlineStr">
        <is>
          <t>累計出来高率</t>
        </is>
      </c>
      <c r="D55" s="85" t="n"/>
      <c r="E55" s="82" t="n"/>
      <c r="F55" s="86" t="n"/>
      <c r="G55" s="87" t="n"/>
      <c r="H55" s="71">
        <f>H54</f>
        <v/>
      </c>
      <c r="I55" s="71">
        <f>H55+I54</f>
        <v/>
      </c>
      <c r="J55" s="71">
        <f>I55+J54</f>
        <v/>
      </c>
      <c r="K55" s="71">
        <f>J55+K54</f>
        <v/>
      </c>
      <c r="L55" s="71">
        <f>K55+L54</f>
        <v/>
      </c>
      <c r="M55" s="71">
        <f>L55+M54</f>
        <v/>
      </c>
      <c r="N55" s="71">
        <f>M55+N54</f>
        <v/>
      </c>
      <c r="O55" s="71">
        <f>N55+O54</f>
        <v/>
      </c>
      <c r="P55" s="71">
        <f>O55+P54</f>
        <v/>
      </c>
      <c r="Q55" s="71">
        <f>P55+Q54</f>
        <v/>
      </c>
      <c r="R55" s="71">
        <f>Q55+R54</f>
        <v/>
      </c>
      <c r="S55" s="71">
        <f>R55+S54</f>
        <v/>
      </c>
      <c r="T55" s="71">
        <f>S55+T54</f>
        <v/>
      </c>
      <c r="U55" s="71">
        <f>T55+U54</f>
        <v/>
      </c>
      <c r="V55" s="71">
        <f>U55+V54</f>
        <v/>
      </c>
      <c r="W55" s="71">
        <f>V55+W54</f>
        <v/>
      </c>
      <c r="X55" s="71">
        <f>W55+X54</f>
        <v/>
      </c>
      <c r="Y55" s="71">
        <f>X55+Y54</f>
        <v/>
      </c>
      <c r="Z55" s="71">
        <f>Y55+Z54</f>
        <v/>
      </c>
      <c r="AA55" s="71">
        <f>Z55+AA54</f>
        <v/>
      </c>
      <c r="AB55" s="71">
        <f>AA55+AB54</f>
        <v/>
      </c>
      <c r="AC55" s="71">
        <f>AB55+AC54</f>
        <v/>
      </c>
    </row>
    <row r="56">
      <c r="A56" s="82" t="n"/>
      <c r="B56" s="83" t="n"/>
      <c r="C56" s="84" t="inlineStr">
        <is>
          <t>今週出来高金額</t>
        </is>
      </c>
      <c r="D56" s="85" t="n"/>
      <c r="E56" s="82" t="n"/>
      <c r="F56" s="86" t="n"/>
      <c r="G56" s="87" t="n"/>
      <c r="H56" s="72">
        <f>H54*$D53</f>
        <v/>
      </c>
      <c r="I56" s="72">
        <f>I54*$D53</f>
        <v/>
      </c>
      <c r="J56" s="72">
        <f>J54*$D53</f>
        <v/>
      </c>
      <c r="K56" s="72">
        <f>K54*$D53</f>
        <v/>
      </c>
      <c r="L56" s="72">
        <f>L54*$D53</f>
        <v/>
      </c>
      <c r="M56" s="72">
        <f>M54*$D53</f>
        <v/>
      </c>
      <c r="N56" s="72">
        <f>N54*$D53</f>
        <v/>
      </c>
      <c r="O56" s="72">
        <f>O54*$D53</f>
        <v/>
      </c>
      <c r="P56" s="72">
        <f>P54*$D53</f>
        <v/>
      </c>
      <c r="Q56" s="72">
        <f>Q54*$D53</f>
        <v/>
      </c>
      <c r="R56" s="72">
        <f>R54*$D53</f>
        <v/>
      </c>
      <c r="S56" s="72">
        <f>S54*$D53</f>
        <v/>
      </c>
      <c r="T56" s="72">
        <f>T54*$D53</f>
        <v/>
      </c>
      <c r="U56" s="72">
        <f>U54*$D53</f>
        <v/>
      </c>
      <c r="V56" s="72">
        <f>V54*$D53</f>
        <v/>
      </c>
      <c r="W56" s="72">
        <f>W54*$D53</f>
        <v/>
      </c>
      <c r="X56" s="72">
        <f>X54*$D53</f>
        <v/>
      </c>
      <c r="Y56" s="72">
        <f>Y54*$D53</f>
        <v/>
      </c>
      <c r="Z56" s="72">
        <f>Z54*$D53</f>
        <v/>
      </c>
      <c r="AA56" s="72">
        <f>AA54*$D53</f>
        <v/>
      </c>
      <c r="AB56" s="72">
        <f>AB54*$D53</f>
        <v/>
      </c>
      <c r="AC56" s="72">
        <f>AC54*$D53</f>
        <v/>
      </c>
    </row>
    <row r="57">
      <c r="A57" s="82" t="n"/>
      <c r="B57" s="83" t="n"/>
      <c r="C57" s="84" t="inlineStr">
        <is>
          <t>累計出来高金額</t>
        </is>
      </c>
      <c r="D57" s="85" t="n"/>
      <c r="E57" s="82" t="n"/>
      <c r="F57" s="86" t="n"/>
      <c r="G57" s="87" t="n"/>
      <c r="H57" s="72">
        <f>H56</f>
        <v/>
      </c>
      <c r="I57" s="72">
        <f>H57+I56</f>
        <v/>
      </c>
      <c r="J57" s="72">
        <f>I57+J56</f>
        <v/>
      </c>
      <c r="K57" s="72">
        <f>J57+K56</f>
        <v/>
      </c>
      <c r="L57" s="72">
        <f>K57+L56</f>
        <v/>
      </c>
      <c r="M57" s="72">
        <f>L57+M56</f>
        <v/>
      </c>
      <c r="N57" s="72">
        <f>M57+N56</f>
        <v/>
      </c>
      <c r="O57" s="72">
        <f>N57+O56</f>
        <v/>
      </c>
      <c r="P57" s="72">
        <f>O57+P56</f>
        <v/>
      </c>
      <c r="Q57" s="72">
        <f>P57+Q56</f>
        <v/>
      </c>
      <c r="R57" s="72">
        <f>Q57+R56</f>
        <v/>
      </c>
      <c r="S57" s="72">
        <f>R57+S56</f>
        <v/>
      </c>
      <c r="T57" s="72">
        <f>S57+T56</f>
        <v/>
      </c>
      <c r="U57" s="72">
        <f>T57+U56</f>
        <v/>
      </c>
      <c r="V57" s="72">
        <f>U57+V56</f>
        <v/>
      </c>
      <c r="W57" s="72">
        <f>V57+W56</f>
        <v/>
      </c>
      <c r="X57" s="72">
        <f>W57+X56</f>
        <v/>
      </c>
      <c r="Y57" s="72">
        <f>X57+Y56</f>
        <v/>
      </c>
      <c r="Z57" s="72">
        <f>Y57+Z56</f>
        <v/>
      </c>
      <c r="AA57" s="72">
        <f>Z57+AA56</f>
        <v/>
      </c>
      <c r="AB57" s="72">
        <f>AA57+AB56</f>
        <v/>
      </c>
      <c r="AC57" s="72">
        <f>AB57+AC56</f>
        <v/>
      </c>
    </row>
    <row r="58">
      <c r="A58" s="76" t="inlineStr">
        <is>
          <t>2</t>
        </is>
      </c>
      <c r="B58" s="77" t="inlineStr">
        <is>
          <t>躯体工事</t>
        </is>
      </c>
      <c r="C58" s="78" t="inlineStr">
        <is>
          <t>工程</t>
        </is>
      </c>
      <c r="D58" s="79">
        <f>'金額リスト'!C16</f>
        <v/>
      </c>
      <c r="E58" s="76">
        <f>SUMPRODUCT((H58:AC58&lt;&gt;"")*(H$6:AC$6=1))</f>
        <v/>
      </c>
      <c r="F58" s="80">
        <f>SUM(H59:AC59)</f>
        <v/>
      </c>
      <c r="G58" s="81">
        <f>IF(AND(ABS(F58-1)&lt;0.0001,ABS(AC60-1)&lt;0.0001),"OK",IF(E58=0,"工程未設定","NG"))</f>
        <v/>
      </c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4" t="n">
        <v>1</v>
      </c>
      <c r="R58" s="64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</row>
    <row r="59">
      <c r="A59" s="82" t="n"/>
      <c r="B59" s="83" t="n"/>
      <c r="C59" s="84" t="inlineStr">
        <is>
          <t>今週出来高率</t>
        </is>
      </c>
      <c r="D59" s="85" t="n"/>
      <c r="E59" s="82" t="n"/>
      <c r="F59" s="86" t="n"/>
      <c r="G59" s="87" t="n"/>
      <c r="H59" s="71">
        <f>IF(OR($E58=0,H58="",H$6&lt;&gt;1),0,1/$E58)</f>
        <v/>
      </c>
      <c r="I59" s="71">
        <f>IF(OR($E58=0,I58="",I$6&lt;&gt;1),0,1/$E58)</f>
        <v/>
      </c>
      <c r="J59" s="71">
        <f>IF(OR($E58=0,J58="",J$6&lt;&gt;1),0,1/$E58)</f>
        <v/>
      </c>
      <c r="K59" s="71">
        <f>IF(OR($E58=0,K58="",K$6&lt;&gt;1),0,1/$E58)</f>
        <v/>
      </c>
      <c r="L59" s="71">
        <f>IF(OR($E58=0,L58="",L$6&lt;&gt;1),0,1/$E58)</f>
        <v/>
      </c>
      <c r="M59" s="71">
        <f>IF(OR($E58=0,M58="",M$6&lt;&gt;1),0,1/$E58)</f>
        <v/>
      </c>
      <c r="N59" s="71">
        <f>IF(OR($E58=0,N58="",N$6&lt;&gt;1),0,1/$E58)</f>
        <v/>
      </c>
      <c r="O59" s="71">
        <f>IF(OR($E58=0,O58="",O$6&lt;&gt;1),0,1/$E58)</f>
        <v/>
      </c>
      <c r="P59" s="71">
        <f>IF(OR($E58=0,P58="",P$6&lt;&gt;1),0,1/$E58)</f>
        <v/>
      </c>
      <c r="Q59" s="71">
        <f>IF(OR($E58=0,Q58="",Q$6&lt;&gt;1),0,1/$E58)</f>
        <v/>
      </c>
      <c r="R59" s="71">
        <f>IF(OR($E58=0,R58="",R$6&lt;&gt;1),0,1/$E58)</f>
        <v/>
      </c>
      <c r="S59" s="71">
        <f>IF(OR($E58=0,S58="",S$6&lt;&gt;1),0,1/$E58)</f>
        <v/>
      </c>
      <c r="T59" s="71">
        <f>IF(OR($E58=0,T58="",T$6&lt;&gt;1),0,1/$E58)</f>
        <v/>
      </c>
      <c r="U59" s="71">
        <f>IF(OR($E58=0,U58="",U$6&lt;&gt;1),0,1/$E58)</f>
        <v/>
      </c>
      <c r="V59" s="71">
        <f>IF(OR($E58=0,V58="",V$6&lt;&gt;1),0,1/$E58)</f>
        <v/>
      </c>
      <c r="W59" s="71">
        <f>IF(OR($E58=0,W58="",W$6&lt;&gt;1),0,1/$E58)</f>
        <v/>
      </c>
      <c r="X59" s="71">
        <f>IF(OR($E58=0,X58="",X$6&lt;&gt;1),0,1/$E58)</f>
        <v/>
      </c>
      <c r="Y59" s="71">
        <f>IF(OR($E58=0,Y58="",Y$6&lt;&gt;1),0,1/$E58)</f>
        <v/>
      </c>
      <c r="Z59" s="71">
        <f>IF(OR($E58=0,Z58="",Z$6&lt;&gt;1),0,1/$E58)</f>
        <v/>
      </c>
      <c r="AA59" s="71">
        <f>IF(OR($E58=0,AA58="",AA$6&lt;&gt;1),0,1/$E58)</f>
        <v/>
      </c>
      <c r="AB59" s="71">
        <f>IF(OR($E58=0,AB58="",AB$6&lt;&gt;1),0,1/$E58)</f>
        <v/>
      </c>
      <c r="AC59" s="71">
        <f>IF(OR($E58=0,AC58="",AC$6&lt;&gt;1),0,1/$E58)</f>
        <v/>
      </c>
    </row>
    <row r="60">
      <c r="A60" s="82" t="n"/>
      <c r="B60" s="83" t="n"/>
      <c r="C60" s="84" t="inlineStr">
        <is>
          <t>累計出来高率</t>
        </is>
      </c>
      <c r="D60" s="85" t="n"/>
      <c r="E60" s="82" t="n"/>
      <c r="F60" s="86" t="n"/>
      <c r="G60" s="87" t="n"/>
      <c r="H60" s="71">
        <f>H59</f>
        <v/>
      </c>
      <c r="I60" s="71">
        <f>H60+I59</f>
        <v/>
      </c>
      <c r="J60" s="71">
        <f>I60+J59</f>
        <v/>
      </c>
      <c r="K60" s="71">
        <f>J60+K59</f>
        <v/>
      </c>
      <c r="L60" s="71">
        <f>K60+L59</f>
        <v/>
      </c>
      <c r="M60" s="71">
        <f>L60+M59</f>
        <v/>
      </c>
      <c r="N60" s="71">
        <f>M60+N59</f>
        <v/>
      </c>
      <c r="O60" s="71">
        <f>N60+O59</f>
        <v/>
      </c>
      <c r="P60" s="71">
        <f>O60+P59</f>
        <v/>
      </c>
      <c r="Q60" s="71">
        <f>P60+Q59</f>
        <v/>
      </c>
      <c r="R60" s="71">
        <f>Q60+R59</f>
        <v/>
      </c>
      <c r="S60" s="71">
        <f>R60+S59</f>
        <v/>
      </c>
      <c r="T60" s="71">
        <f>S60+T59</f>
        <v/>
      </c>
      <c r="U60" s="71">
        <f>T60+U59</f>
        <v/>
      </c>
      <c r="V60" s="71">
        <f>U60+V59</f>
        <v/>
      </c>
      <c r="W60" s="71">
        <f>V60+W59</f>
        <v/>
      </c>
      <c r="X60" s="71">
        <f>W60+X59</f>
        <v/>
      </c>
      <c r="Y60" s="71">
        <f>X60+Y59</f>
        <v/>
      </c>
      <c r="Z60" s="71">
        <f>Y60+Z59</f>
        <v/>
      </c>
      <c r="AA60" s="71">
        <f>Z60+AA59</f>
        <v/>
      </c>
      <c r="AB60" s="71">
        <f>AA60+AB59</f>
        <v/>
      </c>
      <c r="AC60" s="71">
        <f>AB60+AC59</f>
        <v/>
      </c>
    </row>
    <row r="61">
      <c r="A61" s="82" t="n"/>
      <c r="B61" s="83" t="n"/>
      <c r="C61" s="84" t="inlineStr">
        <is>
          <t>今週出来高金額</t>
        </is>
      </c>
      <c r="D61" s="85" t="n"/>
      <c r="E61" s="82" t="n"/>
      <c r="F61" s="86" t="n"/>
      <c r="G61" s="87" t="n"/>
      <c r="H61" s="72">
        <f>H59*$D58</f>
        <v/>
      </c>
      <c r="I61" s="72">
        <f>I59*$D58</f>
        <v/>
      </c>
      <c r="J61" s="72">
        <f>J59*$D58</f>
        <v/>
      </c>
      <c r="K61" s="72">
        <f>K59*$D58</f>
        <v/>
      </c>
      <c r="L61" s="72">
        <f>L59*$D58</f>
        <v/>
      </c>
      <c r="M61" s="72">
        <f>M59*$D58</f>
        <v/>
      </c>
      <c r="N61" s="72">
        <f>N59*$D58</f>
        <v/>
      </c>
      <c r="O61" s="72">
        <f>O59*$D58</f>
        <v/>
      </c>
      <c r="P61" s="72">
        <f>P59*$D58</f>
        <v/>
      </c>
      <c r="Q61" s="72">
        <f>Q59*$D58</f>
        <v/>
      </c>
      <c r="R61" s="72">
        <f>R59*$D58</f>
        <v/>
      </c>
      <c r="S61" s="72">
        <f>S59*$D58</f>
        <v/>
      </c>
      <c r="T61" s="72">
        <f>T59*$D58</f>
        <v/>
      </c>
      <c r="U61" s="72">
        <f>U59*$D58</f>
        <v/>
      </c>
      <c r="V61" s="72">
        <f>V59*$D58</f>
        <v/>
      </c>
      <c r="W61" s="72">
        <f>W59*$D58</f>
        <v/>
      </c>
      <c r="X61" s="72">
        <f>X59*$D58</f>
        <v/>
      </c>
      <c r="Y61" s="72">
        <f>Y59*$D58</f>
        <v/>
      </c>
      <c r="Z61" s="72">
        <f>Z59*$D58</f>
        <v/>
      </c>
      <c r="AA61" s="72">
        <f>AA59*$D58</f>
        <v/>
      </c>
      <c r="AB61" s="72">
        <f>AB59*$D58</f>
        <v/>
      </c>
      <c r="AC61" s="72">
        <f>AC59*$D58</f>
        <v/>
      </c>
    </row>
    <row r="62">
      <c r="A62" s="82" t="n"/>
      <c r="B62" s="83" t="n"/>
      <c r="C62" s="84" t="inlineStr">
        <is>
          <t>累計出来高金額</t>
        </is>
      </c>
      <c r="D62" s="85" t="n"/>
      <c r="E62" s="82" t="n"/>
      <c r="F62" s="86" t="n"/>
      <c r="G62" s="87" t="n"/>
      <c r="H62" s="72">
        <f>H61</f>
        <v/>
      </c>
      <c r="I62" s="72">
        <f>H62+I61</f>
        <v/>
      </c>
      <c r="J62" s="72">
        <f>I62+J61</f>
        <v/>
      </c>
      <c r="K62" s="72">
        <f>J62+K61</f>
        <v/>
      </c>
      <c r="L62" s="72">
        <f>K62+L61</f>
        <v/>
      </c>
      <c r="M62" s="72">
        <f>L62+M61</f>
        <v/>
      </c>
      <c r="N62" s="72">
        <f>M62+N61</f>
        <v/>
      </c>
      <c r="O62" s="72">
        <f>N62+O61</f>
        <v/>
      </c>
      <c r="P62" s="72">
        <f>O62+P61</f>
        <v/>
      </c>
      <c r="Q62" s="72">
        <f>P62+Q61</f>
        <v/>
      </c>
      <c r="R62" s="72">
        <f>Q62+R61</f>
        <v/>
      </c>
      <c r="S62" s="72">
        <f>R62+S61</f>
        <v/>
      </c>
      <c r="T62" s="72">
        <f>S62+T61</f>
        <v/>
      </c>
      <c r="U62" s="72">
        <f>T62+U61</f>
        <v/>
      </c>
      <c r="V62" s="72">
        <f>U62+V61</f>
        <v/>
      </c>
      <c r="W62" s="72">
        <f>V62+W61</f>
        <v/>
      </c>
      <c r="X62" s="72">
        <f>W62+X61</f>
        <v/>
      </c>
      <c r="Y62" s="72">
        <f>X62+Y61</f>
        <v/>
      </c>
      <c r="Z62" s="72">
        <f>Y62+Z61</f>
        <v/>
      </c>
      <c r="AA62" s="72">
        <f>Z62+AA61</f>
        <v/>
      </c>
      <c r="AB62" s="72">
        <f>AA62+AB61</f>
        <v/>
      </c>
      <c r="AC62" s="72">
        <f>AB62+AC61</f>
        <v/>
      </c>
    </row>
    <row r="63">
      <c r="A63" s="76" t="inlineStr">
        <is>
          <t>3</t>
        </is>
      </c>
      <c r="B63" s="77" t="inlineStr">
        <is>
          <t>防水工事</t>
        </is>
      </c>
      <c r="C63" s="78" t="inlineStr">
        <is>
          <t>工程</t>
        </is>
      </c>
      <c r="D63" s="79">
        <f>'金額リスト'!C17</f>
        <v/>
      </c>
      <c r="E63" s="76">
        <f>SUMPRODUCT((H63:AC63&lt;&gt;"")*(H$6:AC$6=1))</f>
        <v/>
      </c>
      <c r="F63" s="80">
        <f>SUM(H64:AC64)</f>
        <v/>
      </c>
      <c r="G63" s="81">
        <f>IF(AND(ABS(F63-1)&lt;0.0001,ABS(AC65-1)&lt;0.0001),"OK",IF(E63=0,"工程未設定","NG"))</f>
        <v/>
      </c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>
        <v>1</v>
      </c>
      <c r="X63" s="64" t="n">
        <v>1</v>
      </c>
      <c r="Y63" s="64" t="n">
        <v>1</v>
      </c>
      <c r="Z63" s="64" t="n">
        <v>1</v>
      </c>
      <c r="AA63" s="64" t="n">
        <v>1</v>
      </c>
      <c r="AB63" s="64" t="n"/>
      <c r="AC63" s="64" t="n"/>
    </row>
    <row r="64">
      <c r="A64" s="82" t="n"/>
      <c r="B64" s="83" t="n"/>
      <c r="C64" s="84" t="inlineStr">
        <is>
          <t>今週出来高率</t>
        </is>
      </c>
      <c r="D64" s="85" t="n"/>
      <c r="E64" s="82" t="n"/>
      <c r="F64" s="86" t="n"/>
      <c r="G64" s="87" t="n"/>
      <c r="H64" s="71">
        <f>IF(OR($E63=0,H63="",H$6&lt;&gt;1),0,1/$E63)</f>
        <v/>
      </c>
      <c r="I64" s="71">
        <f>IF(OR($E63=0,I63="",I$6&lt;&gt;1),0,1/$E63)</f>
        <v/>
      </c>
      <c r="J64" s="71">
        <f>IF(OR($E63=0,J63="",J$6&lt;&gt;1),0,1/$E63)</f>
        <v/>
      </c>
      <c r="K64" s="71">
        <f>IF(OR($E63=0,K63="",K$6&lt;&gt;1),0,1/$E63)</f>
        <v/>
      </c>
      <c r="L64" s="71">
        <f>IF(OR($E63=0,L63="",L$6&lt;&gt;1),0,1/$E63)</f>
        <v/>
      </c>
      <c r="M64" s="71">
        <f>IF(OR($E63=0,M63="",M$6&lt;&gt;1),0,1/$E63)</f>
        <v/>
      </c>
      <c r="N64" s="71">
        <f>IF(OR($E63=0,N63="",N$6&lt;&gt;1),0,1/$E63)</f>
        <v/>
      </c>
      <c r="O64" s="71">
        <f>IF(OR($E63=0,O63="",O$6&lt;&gt;1),0,1/$E63)</f>
        <v/>
      </c>
      <c r="P64" s="71">
        <f>IF(OR($E63=0,P63="",P$6&lt;&gt;1),0,1/$E63)</f>
        <v/>
      </c>
      <c r="Q64" s="71">
        <f>IF(OR($E63=0,Q63="",Q$6&lt;&gt;1),0,1/$E63)</f>
        <v/>
      </c>
      <c r="R64" s="71">
        <f>IF(OR($E63=0,R63="",R$6&lt;&gt;1),0,1/$E63)</f>
        <v/>
      </c>
      <c r="S64" s="71">
        <f>IF(OR($E63=0,S63="",S$6&lt;&gt;1),0,1/$E63)</f>
        <v/>
      </c>
      <c r="T64" s="71">
        <f>IF(OR($E63=0,T63="",T$6&lt;&gt;1),0,1/$E63)</f>
        <v/>
      </c>
      <c r="U64" s="71">
        <f>IF(OR($E63=0,U63="",U$6&lt;&gt;1),0,1/$E63)</f>
        <v/>
      </c>
      <c r="V64" s="71">
        <f>IF(OR($E63=0,V63="",V$6&lt;&gt;1),0,1/$E63)</f>
        <v/>
      </c>
      <c r="W64" s="71">
        <f>IF(OR($E63=0,W63="",W$6&lt;&gt;1),0,1/$E63)</f>
        <v/>
      </c>
      <c r="X64" s="71">
        <f>IF(OR($E63=0,X63="",X$6&lt;&gt;1),0,1/$E63)</f>
        <v/>
      </c>
      <c r="Y64" s="71">
        <f>IF(OR($E63=0,Y63="",Y$6&lt;&gt;1),0,1/$E63)</f>
        <v/>
      </c>
      <c r="Z64" s="71">
        <f>IF(OR($E63=0,Z63="",Z$6&lt;&gt;1),0,1/$E63)</f>
        <v/>
      </c>
      <c r="AA64" s="71">
        <f>IF(OR($E63=0,AA63="",AA$6&lt;&gt;1),0,1/$E63)</f>
        <v/>
      </c>
      <c r="AB64" s="71">
        <f>IF(OR($E63=0,AB63="",AB$6&lt;&gt;1),0,1/$E63)</f>
        <v/>
      </c>
      <c r="AC64" s="71">
        <f>IF(OR($E63=0,AC63="",AC$6&lt;&gt;1),0,1/$E63)</f>
        <v/>
      </c>
    </row>
    <row r="65">
      <c r="A65" s="82" t="n"/>
      <c r="B65" s="83" t="n"/>
      <c r="C65" s="84" t="inlineStr">
        <is>
          <t>累計出来高率</t>
        </is>
      </c>
      <c r="D65" s="85" t="n"/>
      <c r="E65" s="82" t="n"/>
      <c r="F65" s="86" t="n"/>
      <c r="G65" s="87" t="n"/>
      <c r="H65" s="71">
        <f>H64</f>
        <v/>
      </c>
      <c r="I65" s="71">
        <f>H65+I64</f>
        <v/>
      </c>
      <c r="J65" s="71">
        <f>I65+J64</f>
        <v/>
      </c>
      <c r="K65" s="71">
        <f>J65+K64</f>
        <v/>
      </c>
      <c r="L65" s="71">
        <f>K65+L64</f>
        <v/>
      </c>
      <c r="M65" s="71">
        <f>L65+M64</f>
        <v/>
      </c>
      <c r="N65" s="71">
        <f>M65+N64</f>
        <v/>
      </c>
      <c r="O65" s="71">
        <f>N65+O64</f>
        <v/>
      </c>
      <c r="P65" s="71">
        <f>O65+P64</f>
        <v/>
      </c>
      <c r="Q65" s="71">
        <f>P65+Q64</f>
        <v/>
      </c>
      <c r="R65" s="71">
        <f>Q65+R64</f>
        <v/>
      </c>
      <c r="S65" s="71">
        <f>R65+S64</f>
        <v/>
      </c>
      <c r="T65" s="71">
        <f>S65+T64</f>
        <v/>
      </c>
      <c r="U65" s="71">
        <f>T65+U64</f>
        <v/>
      </c>
      <c r="V65" s="71">
        <f>U65+V64</f>
        <v/>
      </c>
      <c r="W65" s="71">
        <f>V65+W64</f>
        <v/>
      </c>
      <c r="X65" s="71">
        <f>W65+X64</f>
        <v/>
      </c>
      <c r="Y65" s="71">
        <f>X65+Y64</f>
        <v/>
      </c>
      <c r="Z65" s="71">
        <f>Y65+Z64</f>
        <v/>
      </c>
      <c r="AA65" s="71">
        <f>Z65+AA64</f>
        <v/>
      </c>
      <c r="AB65" s="71">
        <f>AA65+AB64</f>
        <v/>
      </c>
      <c r="AC65" s="71">
        <f>AB65+AC64</f>
        <v/>
      </c>
    </row>
    <row r="66">
      <c r="A66" s="82" t="n"/>
      <c r="B66" s="83" t="n"/>
      <c r="C66" s="84" t="inlineStr">
        <is>
          <t>今週出来高金額</t>
        </is>
      </c>
      <c r="D66" s="85" t="n"/>
      <c r="E66" s="82" t="n"/>
      <c r="F66" s="86" t="n"/>
      <c r="G66" s="87" t="n"/>
      <c r="H66" s="72">
        <f>H64*$D63</f>
        <v/>
      </c>
      <c r="I66" s="72">
        <f>I64*$D63</f>
        <v/>
      </c>
      <c r="J66" s="72">
        <f>J64*$D63</f>
        <v/>
      </c>
      <c r="K66" s="72">
        <f>K64*$D63</f>
        <v/>
      </c>
      <c r="L66" s="72">
        <f>L64*$D63</f>
        <v/>
      </c>
      <c r="M66" s="72">
        <f>M64*$D63</f>
        <v/>
      </c>
      <c r="N66" s="72">
        <f>N64*$D63</f>
        <v/>
      </c>
      <c r="O66" s="72">
        <f>O64*$D63</f>
        <v/>
      </c>
      <c r="P66" s="72">
        <f>P64*$D63</f>
        <v/>
      </c>
      <c r="Q66" s="72">
        <f>Q64*$D63</f>
        <v/>
      </c>
      <c r="R66" s="72">
        <f>R64*$D63</f>
        <v/>
      </c>
      <c r="S66" s="72">
        <f>S64*$D63</f>
        <v/>
      </c>
      <c r="T66" s="72">
        <f>T64*$D63</f>
        <v/>
      </c>
      <c r="U66" s="72">
        <f>U64*$D63</f>
        <v/>
      </c>
      <c r="V66" s="72">
        <f>V64*$D63</f>
        <v/>
      </c>
      <c r="W66" s="72">
        <f>W64*$D63</f>
        <v/>
      </c>
      <c r="X66" s="72">
        <f>X64*$D63</f>
        <v/>
      </c>
      <c r="Y66" s="72">
        <f>Y64*$D63</f>
        <v/>
      </c>
      <c r="Z66" s="72">
        <f>Z64*$D63</f>
        <v/>
      </c>
      <c r="AA66" s="72">
        <f>AA64*$D63</f>
        <v/>
      </c>
      <c r="AB66" s="72">
        <f>AB64*$D63</f>
        <v/>
      </c>
      <c r="AC66" s="72">
        <f>AC64*$D63</f>
        <v/>
      </c>
    </row>
    <row r="67">
      <c r="A67" s="82" t="n"/>
      <c r="B67" s="83" t="n"/>
      <c r="C67" s="84" t="inlineStr">
        <is>
          <t>累計出来高金額</t>
        </is>
      </c>
      <c r="D67" s="85" t="n"/>
      <c r="E67" s="82" t="n"/>
      <c r="F67" s="86" t="n"/>
      <c r="G67" s="87" t="n"/>
      <c r="H67" s="72">
        <f>H66</f>
        <v/>
      </c>
      <c r="I67" s="72">
        <f>H67+I66</f>
        <v/>
      </c>
      <c r="J67" s="72">
        <f>I67+J66</f>
        <v/>
      </c>
      <c r="K67" s="72">
        <f>J67+K66</f>
        <v/>
      </c>
      <c r="L67" s="72">
        <f>K67+L66</f>
        <v/>
      </c>
      <c r="M67" s="72">
        <f>L67+M66</f>
        <v/>
      </c>
      <c r="N67" s="72">
        <f>M67+N66</f>
        <v/>
      </c>
      <c r="O67" s="72">
        <f>N67+O66</f>
        <v/>
      </c>
      <c r="P67" s="72">
        <f>O67+P66</f>
        <v/>
      </c>
      <c r="Q67" s="72">
        <f>P67+Q66</f>
        <v/>
      </c>
      <c r="R67" s="72">
        <f>Q67+R66</f>
        <v/>
      </c>
      <c r="S67" s="72">
        <f>R67+S66</f>
        <v/>
      </c>
      <c r="T67" s="72">
        <f>S67+T66</f>
        <v/>
      </c>
      <c r="U67" s="72">
        <f>T67+U66</f>
        <v/>
      </c>
      <c r="V67" s="72">
        <f>U67+V66</f>
        <v/>
      </c>
      <c r="W67" s="72">
        <f>V67+W66</f>
        <v/>
      </c>
      <c r="X67" s="72">
        <f>W67+X66</f>
        <v/>
      </c>
      <c r="Y67" s="72">
        <f>X67+Y66</f>
        <v/>
      </c>
      <c r="Z67" s="72">
        <f>Y67+Z66</f>
        <v/>
      </c>
      <c r="AA67" s="72">
        <f>Z67+AA66</f>
        <v/>
      </c>
      <c r="AB67" s="72">
        <f>AA67+AB66</f>
        <v/>
      </c>
      <c r="AC67" s="72">
        <f>AB67+AC66</f>
        <v/>
      </c>
    </row>
    <row r="68">
      <c r="A68" s="76" t="inlineStr">
        <is>
          <t>4</t>
        </is>
      </c>
      <c r="B68" s="77" t="inlineStr">
        <is>
          <t>タイル工事</t>
        </is>
      </c>
      <c r="C68" s="78" t="inlineStr">
        <is>
          <t>工程</t>
        </is>
      </c>
      <c r="D68" s="79">
        <f>'金額リスト'!C18</f>
        <v/>
      </c>
      <c r="E68" s="76">
        <f>SUMPRODUCT((H68:AC68&lt;&gt;"")*(H$6:AC$6=1))</f>
        <v/>
      </c>
      <c r="F68" s="80">
        <f>SUM(H69:AC69)</f>
        <v/>
      </c>
      <c r="G68" s="81">
        <f>IF(AND(ABS(F68-1)&lt;0.0001,ABS(AC70-1)&lt;0.0001),"OK",IF(E68=0,"工程未設定","NG"))</f>
        <v/>
      </c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>
        <v>1</v>
      </c>
      <c r="V68" s="64" t="n">
        <v>1</v>
      </c>
      <c r="W68" s="64" t="n">
        <v>1</v>
      </c>
      <c r="X68" s="64" t="n"/>
      <c r="Y68" s="64" t="n">
        <v>1</v>
      </c>
      <c r="Z68" s="64" t="n">
        <v>1</v>
      </c>
      <c r="AA68" s="64" t="n">
        <v>1</v>
      </c>
      <c r="AB68" s="64" t="n"/>
      <c r="AC68" s="64" t="n"/>
    </row>
    <row r="69">
      <c r="A69" s="82" t="n"/>
      <c r="B69" s="83" t="n"/>
      <c r="C69" s="84" t="inlineStr">
        <is>
          <t>今週出来高率</t>
        </is>
      </c>
      <c r="D69" s="85" t="n"/>
      <c r="E69" s="82" t="n"/>
      <c r="F69" s="86" t="n"/>
      <c r="G69" s="87" t="n"/>
      <c r="H69" s="71">
        <f>IF(OR($E68=0,H68="",H$6&lt;&gt;1),0,1/$E68)</f>
        <v/>
      </c>
      <c r="I69" s="71">
        <f>IF(OR($E68=0,I68="",I$6&lt;&gt;1),0,1/$E68)</f>
        <v/>
      </c>
      <c r="J69" s="71">
        <f>IF(OR($E68=0,J68="",J$6&lt;&gt;1),0,1/$E68)</f>
        <v/>
      </c>
      <c r="K69" s="71">
        <f>IF(OR($E68=0,K68="",K$6&lt;&gt;1),0,1/$E68)</f>
        <v/>
      </c>
      <c r="L69" s="71">
        <f>IF(OR($E68=0,L68="",L$6&lt;&gt;1),0,1/$E68)</f>
        <v/>
      </c>
      <c r="M69" s="71">
        <f>IF(OR($E68=0,M68="",M$6&lt;&gt;1),0,1/$E68)</f>
        <v/>
      </c>
      <c r="N69" s="71">
        <f>IF(OR($E68=0,N68="",N$6&lt;&gt;1),0,1/$E68)</f>
        <v/>
      </c>
      <c r="O69" s="71">
        <f>IF(OR($E68=0,O68="",O$6&lt;&gt;1),0,1/$E68)</f>
        <v/>
      </c>
      <c r="P69" s="71">
        <f>IF(OR($E68=0,P68="",P$6&lt;&gt;1),0,1/$E68)</f>
        <v/>
      </c>
      <c r="Q69" s="71">
        <f>IF(OR($E68=0,Q68="",Q$6&lt;&gt;1),0,1/$E68)</f>
        <v/>
      </c>
      <c r="R69" s="71">
        <f>IF(OR($E68=0,R68="",R$6&lt;&gt;1),0,1/$E68)</f>
        <v/>
      </c>
      <c r="S69" s="71">
        <f>IF(OR($E68=0,S68="",S$6&lt;&gt;1),0,1/$E68)</f>
        <v/>
      </c>
      <c r="T69" s="71">
        <f>IF(OR($E68=0,T68="",T$6&lt;&gt;1),0,1/$E68)</f>
        <v/>
      </c>
      <c r="U69" s="71">
        <f>IF(OR($E68=0,U68="",U$6&lt;&gt;1),0,1/$E68)</f>
        <v/>
      </c>
      <c r="V69" s="71">
        <f>IF(OR($E68=0,V68="",V$6&lt;&gt;1),0,1/$E68)</f>
        <v/>
      </c>
      <c r="W69" s="71">
        <f>IF(OR($E68=0,W68="",W$6&lt;&gt;1),0,1/$E68)</f>
        <v/>
      </c>
      <c r="X69" s="71">
        <f>IF(OR($E68=0,X68="",X$6&lt;&gt;1),0,1/$E68)</f>
        <v/>
      </c>
      <c r="Y69" s="71">
        <f>IF(OR($E68=0,Y68="",Y$6&lt;&gt;1),0,1/$E68)</f>
        <v/>
      </c>
      <c r="Z69" s="71">
        <f>IF(OR($E68=0,Z68="",Z$6&lt;&gt;1),0,1/$E68)</f>
        <v/>
      </c>
      <c r="AA69" s="71">
        <f>IF(OR($E68=0,AA68="",AA$6&lt;&gt;1),0,1/$E68)</f>
        <v/>
      </c>
      <c r="AB69" s="71">
        <f>IF(OR($E68=0,AB68="",AB$6&lt;&gt;1),0,1/$E68)</f>
        <v/>
      </c>
      <c r="AC69" s="71">
        <f>IF(OR($E68=0,AC68="",AC$6&lt;&gt;1),0,1/$E68)</f>
        <v/>
      </c>
    </row>
    <row r="70">
      <c r="A70" s="82" t="n"/>
      <c r="B70" s="83" t="n"/>
      <c r="C70" s="84" t="inlineStr">
        <is>
          <t>累計出来高率</t>
        </is>
      </c>
      <c r="D70" s="85" t="n"/>
      <c r="E70" s="82" t="n"/>
      <c r="F70" s="86" t="n"/>
      <c r="G70" s="87" t="n"/>
      <c r="H70" s="71">
        <f>H69</f>
        <v/>
      </c>
      <c r="I70" s="71">
        <f>H70+I69</f>
        <v/>
      </c>
      <c r="J70" s="71">
        <f>I70+J69</f>
        <v/>
      </c>
      <c r="K70" s="71">
        <f>J70+K69</f>
        <v/>
      </c>
      <c r="L70" s="71">
        <f>K70+L69</f>
        <v/>
      </c>
      <c r="M70" s="71">
        <f>L70+M69</f>
        <v/>
      </c>
      <c r="N70" s="71">
        <f>M70+N69</f>
        <v/>
      </c>
      <c r="O70" s="71">
        <f>N70+O69</f>
        <v/>
      </c>
      <c r="P70" s="71">
        <f>O70+P69</f>
        <v/>
      </c>
      <c r="Q70" s="71">
        <f>P70+Q69</f>
        <v/>
      </c>
      <c r="R70" s="71">
        <f>Q70+R69</f>
        <v/>
      </c>
      <c r="S70" s="71">
        <f>R70+S69</f>
        <v/>
      </c>
      <c r="T70" s="71">
        <f>S70+T69</f>
        <v/>
      </c>
      <c r="U70" s="71">
        <f>T70+U69</f>
        <v/>
      </c>
      <c r="V70" s="71">
        <f>U70+V69</f>
        <v/>
      </c>
      <c r="W70" s="71">
        <f>V70+W69</f>
        <v/>
      </c>
      <c r="X70" s="71">
        <f>W70+X69</f>
        <v/>
      </c>
      <c r="Y70" s="71">
        <f>X70+Y69</f>
        <v/>
      </c>
      <c r="Z70" s="71">
        <f>Y70+Z69</f>
        <v/>
      </c>
      <c r="AA70" s="71">
        <f>Z70+AA69</f>
        <v/>
      </c>
      <c r="AB70" s="71">
        <f>AA70+AB69</f>
        <v/>
      </c>
      <c r="AC70" s="71">
        <f>AB70+AC69</f>
        <v/>
      </c>
    </row>
    <row r="71">
      <c r="A71" s="82" t="n"/>
      <c r="B71" s="83" t="n"/>
      <c r="C71" s="84" t="inlineStr">
        <is>
          <t>今週出来高金額</t>
        </is>
      </c>
      <c r="D71" s="85" t="n"/>
      <c r="E71" s="82" t="n"/>
      <c r="F71" s="86" t="n"/>
      <c r="G71" s="87" t="n"/>
      <c r="H71" s="72">
        <f>H69*$D68</f>
        <v/>
      </c>
      <c r="I71" s="72">
        <f>I69*$D68</f>
        <v/>
      </c>
      <c r="J71" s="72">
        <f>J69*$D68</f>
        <v/>
      </c>
      <c r="K71" s="72">
        <f>K69*$D68</f>
        <v/>
      </c>
      <c r="L71" s="72">
        <f>L69*$D68</f>
        <v/>
      </c>
      <c r="M71" s="72">
        <f>M69*$D68</f>
        <v/>
      </c>
      <c r="N71" s="72">
        <f>N69*$D68</f>
        <v/>
      </c>
      <c r="O71" s="72">
        <f>O69*$D68</f>
        <v/>
      </c>
      <c r="P71" s="72">
        <f>P69*$D68</f>
        <v/>
      </c>
      <c r="Q71" s="72">
        <f>Q69*$D68</f>
        <v/>
      </c>
      <c r="R71" s="72">
        <f>R69*$D68</f>
        <v/>
      </c>
      <c r="S71" s="72">
        <f>S69*$D68</f>
        <v/>
      </c>
      <c r="T71" s="72">
        <f>T69*$D68</f>
        <v/>
      </c>
      <c r="U71" s="72">
        <f>U69*$D68</f>
        <v/>
      </c>
      <c r="V71" s="72">
        <f>V69*$D68</f>
        <v/>
      </c>
      <c r="W71" s="72">
        <f>W69*$D68</f>
        <v/>
      </c>
      <c r="X71" s="72">
        <f>X69*$D68</f>
        <v/>
      </c>
      <c r="Y71" s="72">
        <f>Y69*$D68</f>
        <v/>
      </c>
      <c r="Z71" s="72">
        <f>Z69*$D68</f>
        <v/>
      </c>
      <c r="AA71" s="72">
        <f>AA69*$D68</f>
        <v/>
      </c>
      <c r="AB71" s="72">
        <f>AB69*$D68</f>
        <v/>
      </c>
      <c r="AC71" s="72">
        <f>AC69*$D68</f>
        <v/>
      </c>
    </row>
    <row r="72">
      <c r="A72" s="82" t="n"/>
      <c r="B72" s="83" t="n"/>
      <c r="C72" s="84" t="inlineStr">
        <is>
          <t>累計出来高金額</t>
        </is>
      </c>
      <c r="D72" s="85" t="n"/>
      <c r="E72" s="82" t="n"/>
      <c r="F72" s="86" t="n"/>
      <c r="G72" s="87" t="n"/>
      <c r="H72" s="72">
        <f>H71</f>
        <v/>
      </c>
      <c r="I72" s="72">
        <f>H72+I71</f>
        <v/>
      </c>
      <c r="J72" s="72">
        <f>I72+J71</f>
        <v/>
      </c>
      <c r="K72" s="72">
        <f>J72+K71</f>
        <v/>
      </c>
      <c r="L72" s="72">
        <f>K72+L71</f>
        <v/>
      </c>
      <c r="M72" s="72">
        <f>L72+M71</f>
        <v/>
      </c>
      <c r="N72" s="72">
        <f>M72+N71</f>
        <v/>
      </c>
      <c r="O72" s="72">
        <f>N72+O71</f>
        <v/>
      </c>
      <c r="P72" s="72">
        <f>O72+P71</f>
        <v/>
      </c>
      <c r="Q72" s="72">
        <f>P72+Q71</f>
        <v/>
      </c>
      <c r="R72" s="72">
        <f>Q72+R71</f>
        <v/>
      </c>
      <c r="S72" s="72">
        <f>R72+S71</f>
        <v/>
      </c>
      <c r="T72" s="72">
        <f>S72+T71</f>
        <v/>
      </c>
      <c r="U72" s="72">
        <f>T72+U71</f>
        <v/>
      </c>
      <c r="V72" s="72">
        <f>U72+V71</f>
        <v/>
      </c>
      <c r="W72" s="72">
        <f>V72+W71</f>
        <v/>
      </c>
      <c r="X72" s="72">
        <f>W72+X71</f>
        <v/>
      </c>
      <c r="Y72" s="72">
        <f>X72+Y71</f>
        <v/>
      </c>
      <c r="Z72" s="72">
        <f>Y72+Z71</f>
        <v/>
      </c>
      <c r="AA72" s="72">
        <f>Z72+AA71</f>
        <v/>
      </c>
      <c r="AB72" s="72">
        <f>AA72+AB71</f>
        <v/>
      </c>
      <c r="AC72" s="72">
        <f>AB72+AC71</f>
        <v/>
      </c>
    </row>
    <row r="73">
      <c r="A73" s="76" t="inlineStr">
        <is>
          <t>5</t>
        </is>
      </c>
      <c r="B73" s="77" t="inlineStr">
        <is>
          <t>金属工事</t>
        </is>
      </c>
      <c r="C73" s="78" t="inlineStr">
        <is>
          <t>工程</t>
        </is>
      </c>
      <c r="D73" s="79">
        <f>'金額リスト'!C19</f>
        <v/>
      </c>
      <c r="E73" s="76">
        <f>SUMPRODUCT((H73:AC73&lt;&gt;"")*(H$6:AC$6=1))</f>
        <v/>
      </c>
      <c r="F73" s="80">
        <f>SUM(H74:AC74)</f>
        <v/>
      </c>
      <c r="G73" s="81">
        <f>IF(AND(ABS(F73-1)&lt;0.0001,ABS(AC75-1)&lt;0.0001),"OK",IF(E73=0,"工程未設定","NG"))</f>
        <v/>
      </c>
      <c r="H73" s="64" t="n"/>
      <c r="I73" s="64" t="n"/>
      <c r="J73" s="64" t="n"/>
      <c r="K73" s="64" t="n"/>
      <c r="L73" s="64" t="n"/>
      <c r="M73" s="64" t="n">
        <v>1</v>
      </c>
      <c r="N73" s="64" t="n">
        <v>1</v>
      </c>
      <c r="O73" s="64" t="n">
        <v>1</v>
      </c>
      <c r="P73" s="64" t="n"/>
      <c r="Q73" s="64" t="n"/>
      <c r="R73" s="64" t="n"/>
      <c r="S73" s="64" t="n"/>
      <c r="T73" s="64" t="n"/>
      <c r="U73" s="64" t="n"/>
      <c r="V73" s="64" t="n">
        <v>1</v>
      </c>
      <c r="W73" s="64" t="n"/>
      <c r="X73" s="64" t="n">
        <v>1</v>
      </c>
      <c r="Y73" s="64" t="n"/>
      <c r="Z73" s="64" t="n"/>
      <c r="AA73" s="64" t="n"/>
      <c r="AB73" s="64" t="n"/>
      <c r="AC73" s="64" t="n"/>
    </row>
    <row r="74">
      <c r="A74" s="82" t="n"/>
      <c r="B74" s="83" t="n"/>
      <c r="C74" s="84" t="inlineStr">
        <is>
          <t>今週出来高率</t>
        </is>
      </c>
      <c r="D74" s="85" t="n"/>
      <c r="E74" s="82" t="n"/>
      <c r="F74" s="86" t="n"/>
      <c r="G74" s="87" t="n"/>
      <c r="H74" s="71">
        <f>IF(OR($E73=0,H73="",H$6&lt;&gt;1),0,1/$E73)</f>
        <v/>
      </c>
      <c r="I74" s="71">
        <f>IF(OR($E73=0,I73="",I$6&lt;&gt;1),0,1/$E73)</f>
        <v/>
      </c>
      <c r="J74" s="71">
        <f>IF(OR($E73=0,J73="",J$6&lt;&gt;1),0,1/$E73)</f>
        <v/>
      </c>
      <c r="K74" s="71">
        <f>IF(OR($E73=0,K73="",K$6&lt;&gt;1),0,1/$E73)</f>
        <v/>
      </c>
      <c r="L74" s="71">
        <f>IF(OR($E73=0,L73="",L$6&lt;&gt;1),0,1/$E73)</f>
        <v/>
      </c>
      <c r="M74" s="71">
        <f>IF(OR($E73=0,M73="",M$6&lt;&gt;1),0,1/$E73)</f>
        <v/>
      </c>
      <c r="N74" s="71">
        <f>IF(OR($E73=0,N73="",N$6&lt;&gt;1),0,1/$E73)</f>
        <v/>
      </c>
      <c r="O74" s="71">
        <f>IF(OR($E73=0,O73="",O$6&lt;&gt;1),0,1/$E73)</f>
        <v/>
      </c>
      <c r="P74" s="71">
        <f>IF(OR($E73=0,P73="",P$6&lt;&gt;1),0,1/$E73)</f>
        <v/>
      </c>
      <c r="Q74" s="71">
        <f>IF(OR($E73=0,Q73="",Q$6&lt;&gt;1),0,1/$E73)</f>
        <v/>
      </c>
      <c r="R74" s="71">
        <f>IF(OR($E73=0,R73="",R$6&lt;&gt;1),0,1/$E73)</f>
        <v/>
      </c>
      <c r="S74" s="71">
        <f>IF(OR($E73=0,S73="",S$6&lt;&gt;1),0,1/$E73)</f>
        <v/>
      </c>
      <c r="T74" s="71">
        <f>IF(OR($E73=0,T73="",T$6&lt;&gt;1),0,1/$E73)</f>
        <v/>
      </c>
      <c r="U74" s="71">
        <f>IF(OR($E73=0,U73="",U$6&lt;&gt;1),0,1/$E73)</f>
        <v/>
      </c>
      <c r="V74" s="71">
        <f>IF(OR($E73=0,V73="",V$6&lt;&gt;1),0,1/$E73)</f>
        <v/>
      </c>
      <c r="W74" s="71">
        <f>IF(OR($E73=0,W73="",W$6&lt;&gt;1),0,1/$E73)</f>
        <v/>
      </c>
      <c r="X74" s="71">
        <f>IF(OR($E73=0,X73="",X$6&lt;&gt;1),0,1/$E73)</f>
        <v/>
      </c>
      <c r="Y74" s="71">
        <f>IF(OR($E73=0,Y73="",Y$6&lt;&gt;1),0,1/$E73)</f>
        <v/>
      </c>
      <c r="Z74" s="71">
        <f>IF(OR($E73=0,Z73="",Z$6&lt;&gt;1),0,1/$E73)</f>
        <v/>
      </c>
      <c r="AA74" s="71">
        <f>IF(OR($E73=0,AA73="",AA$6&lt;&gt;1),0,1/$E73)</f>
        <v/>
      </c>
      <c r="AB74" s="71">
        <f>IF(OR($E73=0,AB73="",AB$6&lt;&gt;1),0,1/$E73)</f>
        <v/>
      </c>
      <c r="AC74" s="71">
        <f>IF(OR($E73=0,AC73="",AC$6&lt;&gt;1),0,1/$E73)</f>
        <v/>
      </c>
    </row>
    <row r="75">
      <c r="A75" s="82" t="n"/>
      <c r="B75" s="83" t="n"/>
      <c r="C75" s="84" t="inlineStr">
        <is>
          <t>累計出来高率</t>
        </is>
      </c>
      <c r="D75" s="85" t="n"/>
      <c r="E75" s="82" t="n"/>
      <c r="F75" s="86" t="n"/>
      <c r="G75" s="87" t="n"/>
      <c r="H75" s="71">
        <f>H74</f>
        <v/>
      </c>
      <c r="I75" s="71">
        <f>H75+I74</f>
        <v/>
      </c>
      <c r="J75" s="71">
        <f>I75+J74</f>
        <v/>
      </c>
      <c r="K75" s="71">
        <f>J75+K74</f>
        <v/>
      </c>
      <c r="L75" s="71">
        <f>K75+L74</f>
        <v/>
      </c>
      <c r="M75" s="71">
        <f>L75+M74</f>
        <v/>
      </c>
      <c r="N75" s="71">
        <f>M75+N74</f>
        <v/>
      </c>
      <c r="O75" s="71">
        <f>N75+O74</f>
        <v/>
      </c>
      <c r="P75" s="71">
        <f>O75+P74</f>
        <v/>
      </c>
      <c r="Q75" s="71">
        <f>P75+Q74</f>
        <v/>
      </c>
      <c r="R75" s="71">
        <f>Q75+R74</f>
        <v/>
      </c>
      <c r="S75" s="71">
        <f>R75+S74</f>
        <v/>
      </c>
      <c r="T75" s="71">
        <f>S75+T74</f>
        <v/>
      </c>
      <c r="U75" s="71">
        <f>T75+U74</f>
        <v/>
      </c>
      <c r="V75" s="71">
        <f>U75+V74</f>
        <v/>
      </c>
      <c r="W75" s="71">
        <f>V75+W74</f>
        <v/>
      </c>
      <c r="X75" s="71">
        <f>W75+X74</f>
        <v/>
      </c>
      <c r="Y75" s="71">
        <f>X75+Y74</f>
        <v/>
      </c>
      <c r="Z75" s="71">
        <f>Y75+Z74</f>
        <v/>
      </c>
      <c r="AA75" s="71">
        <f>Z75+AA74</f>
        <v/>
      </c>
      <c r="AB75" s="71">
        <f>AA75+AB74</f>
        <v/>
      </c>
      <c r="AC75" s="71">
        <f>AB75+AC74</f>
        <v/>
      </c>
    </row>
    <row r="76">
      <c r="A76" s="82" t="n"/>
      <c r="B76" s="83" t="n"/>
      <c r="C76" s="84" t="inlineStr">
        <is>
          <t>今週出来高金額</t>
        </is>
      </c>
      <c r="D76" s="85" t="n"/>
      <c r="E76" s="82" t="n"/>
      <c r="F76" s="86" t="n"/>
      <c r="G76" s="87" t="n"/>
      <c r="H76" s="72">
        <f>H74*$D73</f>
        <v/>
      </c>
      <c r="I76" s="72">
        <f>I74*$D73</f>
        <v/>
      </c>
      <c r="J76" s="72">
        <f>J74*$D73</f>
        <v/>
      </c>
      <c r="K76" s="72">
        <f>K74*$D73</f>
        <v/>
      </c>
      <c r="L76" s="72">
        <f>L74*$D73</f>
        <v/>
      </c>
      <c r="M76" s="72">
        <f>M74*$D73</f>
        <v/>
      </c>
      <c r="N76" s="72">
        <f>N74*$D73</f>
        <v/>
      </c>
      <c r="O76" s="72">
        <f>O74*$D73</f>
        <v/>
      </c>
      <c r="P76" s="72">
        <f>P74*$D73</f>
        <v/>
      </c>
      <c r="Q76" s="72">
        <f>Q74*$D73</f>
        <v/>
      </c>
      <c r="R76" s="72">
        <f>R74*$D73</f>
        <v/>
      </c>
      <c r="S76" s="72">
        <f>S74*$D73</f>
        <v/>
      </c>
      <c r="T76" s="72">
        <f>T74*$D73</f>
        <v/>
      </c>
      <c r="U76" s="72">
        <f>U74*$D73</f>
        <v/>
      </c>
      <c r="V76" s="72">
        <f>V74*$D73</f>
        <v/>
      </c>
      <c r="W76" s="72">
        <f>W74*$D73</f>
        <v/>
      </c>
      <c r="X76" s="72">
        <f>X74*$D73</f>
        <v/>
      </c>
      <c r="Y76" s="72">
        <f>Y74*$D73</f>
        <v/>
      </c>
      <c r="Z76" s="72">
        <f>Z74*$D73</f>
        <v/>
      </c>
      <c r="AA76" s="72">
        <f>AA74*$D73</f>
        <v/>
      </c>
      <c r="AB76" s="72">
        <f>AB74*$D73</f>
        <v/>
      </c>
      <c r="AC76" s="72">
        <f>AC74*$D73</f>
        <v/>
      </c>
    </row>
    <row r="77">
      <c r="A77" s="82" t="n"/>
      <c r="B77" s="83" t="n"/>
      <c r="C77" s="84" t="inlineStr">
        <is>
          <t>累計出来高金額</t>
        </is>
      </c>
      <c r="D77" s="85" t="n"/>
      <c r="E77" s="82" t="n"/>
      <c r="F77" s="86" t="n"/>
      <c r="G77" s="87" t="n"/>
      <c r="H77" s="72">
        <f>H76</f>
        <v/>
      </c>
      <c r="I77" s="72">
        <f>H77+I76</f>
        <v/>
      </c>
      <c r="J77" s="72">
        <f>I77+J76</f>
        <v/>
      </c>
      <c r="K77" s="72">
        <f>J77+K76</f>
        <v/>
      </c>
      <c r="L77" s="72">
        <f>K77+L76</f>
        <v/>
      </c>
      <c r="M77" s="72">
        <f>L77+M76</f>
        <v/>
      </c>
      <c r="N77" s="72">
        <f>M77+N76</f>
        <v/>
      </c>
      <c r="O77" s="72">
        <f>N77+O76</f>
        <v/>
      </c>
      <c r="P77" s="72">
        <f>O77+P76</f>
        <v/>
      </c>
      <c r="Q77" s="72">
        <f>P77+Q76</f>
        <v/>
      </c>
      <c r="R77" s="72">
        <f>Q77+R76</f>
        <v/>
      </c>
      <c r="S77" s="72">
        <f>R77+S76</f>
        <v/>
      </c>
      <c r="T77" s="72">
        <f>S77+T76</f>
        <v/>
      </c>
      <c r="U77" s="72">
        <f>T77+U76</f>
        <v/>
      </c>
      <c r="V77" s="72">
        <f>U77+V76</f>
        <v/>
      </c>
      <c r="W77" s="72">
        <f>V77+W76</f>
        <v/>
      </c>
      <c r="X77" s="72">
        <f>W77+X76</f>
        <v/>
      </c>
      <c r="Y77" s="72">
        <f>X77+Y76</f>
        <v/>
      </c>
      <c r="Z77" s="72">
        <f>Y77+Z76</f>
        <v/>
      </c>
      <c r="AA77" s="72">
        <f>Z77+AA76</f>
        <v/>
      </c>
      <c r="AB77" s="72">
        <f>AA77+AB76</f>
        <v/>
      </c>
      <c r="AC77" s="72">
        <f>AB77+AC76</f>
        <v/>
      </c>
    </row>
    <row r="78">
      <c r="A78" s="76" t="inlineStr">
        <is>
          <t>6</t>
        </is>
      </c>
      <c r="B78" s="77" t="inlineStr">
        <is>
          <t>金属製建具工事</t>
        </is>
      </c>
      <c r="C78" s="78" t="inlineStr">
        <is>
          <t>工程</t>
        </is>
      </c>
      <c r="D78" s="79">
        <f>'金額リスト'!C20</f>
        <v/>
      </c>
      <c r="E78" s="76">
        <f>SUMPRODUCT((H78:AC78&lt;&gt;"")*(H$6:AC$6=1))</f>
        <v/>
      </c>
      <c r="F78" s="80">
        <f>SUM(H79:AC79)</f>
        <v/>
      </c>
      <c r="G78" s="81">
        <f>IF(AND(ABS(F78-1)&lt;0.0001,ABS(AC80-1)&lt;0.0001),"OK",IF(E78=0,"工程未設定","NG"))</f>
        <v/>
      </c>
      <c r="H78" s="64" t="n"/>
      <c r="I78" s="64" t="n"/>
      <c r="J78" s="64" t="n"/>
      <c r="K78" s="64" t="n"/>
      <c r="L78" s="64" t="n"/>
      <c r="M78" s="64" t="n"/>
      <c r="N78" s="64" t="n"/>
      <c r="O78" s="64" t="n">
        <v>1</v>
      </c>
      <c r="P78" s="64" t="n"/>
      <c r="Q78" s="64" t="n">
        <v>1</v>
      </c>
      <c r="R78" s="64" t="n"/>
      <c r="S78" s="64" t="n"/>
      <c r="T78" s="64" t="n"/>
      <c r="U78" s="64" t="n"/>
      <c r="V78" s="64" t="n"/>
      <c r="W78" s="64" t="n"/>
      <c r="X78" s="64" t="n"/>
      <c r="Y78" s="64" t="n"/>
      <c r="Z78" s="64" t="n"/>
      <c r="AA78" s="64" t="n"/>
      <c r="AB78" s="64" t="n"/>
      <c r="AC78" s="64" t="n"/>
    </row>
    <row r="79">
      <c r="A79" s="82" t="n"/>
      <c r="B79" s="83" t="n"/>
      <c r="C79" s="84" t="inlineStr">
        <is>
          <t>今週出来高率</t>
        </is>
      </c>
      <c r="D79" s="85" t="n"/>
      <c r="E79" s="82" t="n"/>
      <c r="F79" s="86" t="n"/>
      <c r="G79" s="87" t="n"/>
      <c r="H79" s="71">
        <f>IF(OR($E78=0,H78="",H$6&lt;&gt;1),0,1/$E78)</f>
        <v/>
      </c>
      <c r="I79" s="71">
        <f>IF(OR($E78=0,I78="",I$6&lt;&gt;1),0,1/$E78)</f>
        <v/>
      </c>
      <c r="J79" s="71">
        <f>IF(OR($E78=0,J78="",J$6&lt;&gt;1),0,1/$E78)</f>
        <v/>
      </c>
      <c r="K79" s="71">
        <f>IF(OR($E78=0,K78="",K$6&lt;&gt;1),0,1/$E78)</f>
        <v/>
      </c>
      <c r="L79" s="71">
        <f>IF(OR($E78=0,L78="",L$6&lt;&gt;1),0,1/$E78)</f>
        <v/>
      </c>
      <c r="M79" s="71">
        <f>IF(OR($E78=0,M78="",M$6&lt;&gt;1),0,1/$E78)</f>
        <v/>
      </c>
      <c r="N79" s="71">
        <f>IF(OR($E78=0,N78="",N$6&lt;&gt;1),0,1/$E78)</f>
        <v/>
      </c>
      <c r="O79" s="71">
        <f>IF(OR($E78=0,O78="",O$6&lt;&gt;1),0,1/$E78)</f>
        <v/>
      </c>
      <c r="P79" s="71">
        <f>IF(OR($E78=0,P78="",P$6&lt;&gt;1),0,1/$E78)</f>
        <v/>
      </c>
      <c r="Q79" s="71">
        <f>IF(OR($E78=0,Q78="",Q$6&lt;&gt;1),0,1/$E78)</f>
        <v/>
      </c>
      <c r="R79" s="71">
        <f>IF(OR($E78=0,R78="",R$6&lt;&gt;1),0,1/$E78)</f>
        <v/>
      </c>
      <c r="S79" s="71">
        <f>IF(OR($E78=0,S78="",S$6&lt;&gt;1),0,1/$E78)</f>
        <v/>
      </c>
      <c r="T79" s="71">
        <f>IF(OR($E78=0,T78="",T$6&lt;&gt;1),0,1/$E78)</f>
        <v/>
      </c>
      <c r="U79" s="71">
        <f>IF(OR($E78=0,U78="",U$6&lt;&gt;1),0,1/$E78)</f>
        <v/>
      </c>
      <c r="V79" s="71">
        <f>IF(OR($E78=0,V78="",V$6&lt;&gt;1),0,1/$E78)</f>
        <v/>
      </c>
      <c r="W79" s="71">
        <f>IF(OR($E78=0,W78="",W$6&lt;&gt;1),0,1/$E78)</f>
        <v/>
      </c>
      <c r="X79" s="71">
        <f>IF(OR($E78=0,X78="",X$6&lt;&gt;1),0,1/$E78)</f>
        <v/>
      </c>
      <c r="Y79" s="71">
        <f>IF(OR($E78=0,Y78="",Y$6&lt;&gt;1),0,1/$E78)</f>
        <v/>
      </c>
      <c r="Z79" s="71">
        <f>IF(OR($E78=0,Z78="",Z$6&lt;&gt;1),0,1/$E78)</f>
        <v/>
      </c>
      <c r="AA79" s="71">
        <f>IF(OR($E78=0,AA78="",AA$6&lt;&gt;1),0,1/$E78)</f>
        <v/>
      </c>
      <c r="AB79" s="71">
        <f>IF(OR($E78=0,AB78="",AB$6&lt;&gt;1),0,1/$E78)</f>
        <v/>
      </c>
      <c r="AC79" s="71">
        <f>IF(OR($E78=0,AC78="",AC$6&lt;&gt;1),0,1/$E78)</f>
        <v/>
      </c>
    </row>
    <row r="80">
      <c r="A80" s="82" t="n"/>
      <c r="B80" s="83" t="n"/>
      <c r="C80" s="84" t="inlineStr">
        <is>
          <t>累計出来高率</t>
        </is>
      </c>
      <c r="D80" s="85" t="n"/>
      <c r="E80" s="82" t="n"/>
      <c r="F80" s="86" t="n"/>
      <c r="G80" s="87" t="n"/>
      <c r="H80" s="71">
        <f>H79</f>
        <v/>
      </c>
      <c r="I80" s="71">
        <f>H80+I79</f>
        <v/>
      </c>
      <c r="J80" s="71">
        <f>I80+J79</f>
        <v/>
      </c>
      <c r="K80" s="71">
        <f>J80+K79</f>
        <v/>
      </c>
      <c r="L80" s="71">
        <f>K80+L79</f>
        <v/>
      </c>
      <c r="M80" s="71">
        <f>L80+M79</f>
        <v/>
      </c>
      <c r="N80" s="71">
        <f>M80+N79</f>
        <v/>
      </c>
      <c r="O80" s="71">
        <f>N80+O79</f>
        <v/>
      </c>
      <c r="P80" s="71">
        <f>O80+P79</f>
        <v/>
      </c>
      <c r="Q80" s="71">
        <f>P80+Q79</f>
        <v/>
      </c>
      <c r="R80" s="71">
        <f>Q80+R79</f>
        <v/>
      </c>
      <c r="S80" s="71">
        <f>R80+S79</f>
        <v/>
      </c>
      <c r="T80" s="71">
        <f>S80+T79</f>
        <v/>
      </c>
      <c r="U80" s="71">
        <f>T80+U79</f>
        <v/>
      </c>
      <c r="V80" s="71">
        <f>U80+V79</f>
        <v/>
      </c>
      <c r="W80" s="71">
        <f>V80+W79</f>
        <v/>
      </c>
      <c r="X80" s="71">
        <f>W80+X79</f>
        <v/>
      </c>
      <c r="Y80" s="71">
        <f>X80+Y79</f>
        <v/>
      </c>
      <c r="Z80" s="71">
        <f>Y80+Z79</f>
        <v/>
      </c>
      <c r="AA80" s="71">
        <f>Z80+AA79</f>
        <v/>
      </c>
      <c r="AB80" s="71">
        <f>AA80+AB79</f>
        <v/>
      </c>
      <c r="AC80" s="71">
        <f>AB80+AC79</f>
        <v/>
      </c>
    </row>
    <row r="81">
      <c r="A81" s="82" t="n"/>
      <c r="B81" s="83" t="n"/>
      <c r="C81" s="84" t="inlineStr">
        <is>
          <t>今週出来高金額</t>
        </is>
      </c>
      <c r="D81" s="85" t="n"/>
      <c r="E81" s="82" t="n"/>
      <c r="F81" s="86" t="n"/>
      <c r="G81" s="87" t="n"/>
      <c r="H81" s="72">
        <f>H79*$D78</f>
        <v/>
      </c>
      <c r="I81" s="72">
        <f>I79*$D78</f>
        <v/>
      </c>
      <c r="J81" s="72">
        <f>J79*$D78</f>
        <v/>
      </c>
      <c r="K81" s="72">
        <f>K79*$D78</f>
        <v/>
      </c>
      <c r="L81" s="72">
        <f>L79*$D78</f>
        <v/>
      </c>
      <c r="M81" s="72">
        <f>M79*$D78</f>
        <v/>
      </c>
      <c r="N81" s="72">
        <f>N79*$D78</f>
        <v/>
      </c>
      <c r="O81" s="72">
        <f>O79*$D78</f>
        <v/>
      </c>
      <c r="P81" s="72">
        <f>P79*$D78</f>
        <v/>
      </c>
      <c r="Q81" s="72">
        <f>Q79*$D78</f>
        <v/>
      </c>
      <c r="R81" s="72">
        <f>R79*$D78</f>
        <v/>
      </c>
      <c r="S81" s="72">
        <f>S79*$D78</f>
        <v/>
      </c>
      <c r="T81" s="72">
        <f>T79*$D78</f>
        <v/>
      </c>
      <c r="U81" s="72">
        <f>U79*$D78</f>
        <v/>
      </c>
      <c r="V81" s="72">
        <f>V79*$D78</f>
        <v/>
      </c>
      <c r="W81" s="72">
        <f>W79*$D78</f>
        <v/>
      </c>
      <c r="X81" s="72">
        <f>X79*$D78</f>
        <v/>
      </c>
      <c r="Y81" s="72">
        <f>Y79*$D78</f>
        <v/>
      </c>
      <c r="Z81" s="72">
        <f>Z79*$D78</f>
        <v/>
      </c>
      <c r="AA81" s="72">
        <f>AA79*$D78</f>
        <v/>
      </c>
      <c r="AB81" s="72">
        <f>AB79*$D78</f>
        <v/>
      </c>
      <c r="AC81" s="72">
        <f>AC79*$D78</f>
        <v/>
      </c>
    </row>
    <row r="82">
      <c r="A82" s="82" t="n"/>
      <c r="B82" s="83" t="n"/>
      <c r="C82" s="84" t="inlineStr">
        <is>
          <t>累計出来高金額</t>
        </is>
      </c>
      <c r="D82" s="85" t="n"/>
      <c r="E82" s="82" t="n"/>
      <c r="F82" s="86" t="n"/>
      <c r="G82" s="87" t="n"/>
      <c r="H82" s="72">
        <f>H81</f>
        <v/>
      </c>
      <c r="I82" s="72">
        <f>H82+I81</f>
        <v/>
      </c>
      <c r="J82" s="72">
        <f>I82+J81</f>
        <v/>
      </c>
      <c r="K82" s="72">
        <f>J82+K81</f>
        <v/>
      </c>
      <c r="L82" s="72">
        <f>K82+L81</f>
        <v/>
      </c>
      <c r="M82" s="72">
        <f>L82+M81</f>
        <v/>
      </c>
      <c r="N82" s="72">
        <f>M82+N81</f>
        <v/>
      </c>
      <c r="O82" s="72">
        <f>N82+O81</f>
        <v/>
      </c>
      <c r="P82" s="72">
        <f>O82+P81</f>
        <v/>
      </c>
      <c r="Q82" s="72">
        <f>P82+Q81</f>
        <v/>
      </c>
      <c r="R82" s="72">
        <f>Q82+R81</f>
        <v/>
      </c>
      <c r="S82" s="72">
        <f>R82+S81</f>
        <v/>
      </c>
      <c r="T82" s="72">
        <f>S82+T81</f>
        <v/>
      </c>
      <c r="U82" s="72">
        <f>T82+U81</f>
        <v/>
      </c>
      <c r="V82" s="72">
        <f>U82+V81</f>
        <v/>
      </c>
      <c r="W82" s="72">
        <f>V82+W81</f>
        <v/>
      </c>
      <c r="X82" s="72">
        <f>W82+X81</f>
        <v/>
      </c>
      <c r="Y82" s="72">
        <f>X82+Y81</f>
        <v/>
      </c>
      <c r="Z82" s="72">
        <f>Y82+Z81</f>
        <v/>
      </c>
      <c r="AA82" s="72">
        <f>Z82+AA81</f>
        <v/>
      </c>
      <c r="AB82" s="72">
        <f>AA82+AB81</f>
        <v/>
      </c>
      <c r="AC82" s="72">
        <f>AB82+AC81</f>
        <v/>
      </c>
    </row>
    <row r="83">
      <c r="A83" s="76" t="inlineStr">
        <is>
          <t>7</t>
        </is>
      </c>
      <c r="B83" s="77" t="inlineStr">
        <is>
          <t>ガラス工事</t>
        </is>
      </c>
      <c r="C83" s="78" t="inlineStr">
        <is>
          <t>工程</t>
        </is>
      </c>
      <c r="D83" s="79">
        <f>'金額リスト'!C21</f>
        <v/>
      </c>
      <c r="E83" s="76">
        <f>SUMPRODUCT((H83:AC83&lt;&gt;"")*(H$6:AC$6=1))</f>
        <v/>
      </c>
      <c r="F83" s="80">
        <f>SUM(H84:AC84)</f>
        <v/>
      </c>
      <c r="G83" s="81">
        <f>IF(AND(ABS(F83-1)&lt;0.0001,ABS(AC85-1)&lt;0.0001),"OK",IF(E83=0,"工程未設定","NG"))</f>
        <v/>
      </c>
      <c r="H83" s="64" t="n"/>
      <c r="I83" s="64" t="n"/>
      <c r="J83" s="64" t="n"/>
      <c r="K83" s="64" t="n"/>
      <c r="L83" s="64" t="n"/>
      <c r="M83" s="64" t="n"/>
      <c r="N83" s="64" t="n"/>
      <c r="O83" s="64" t="n">
        <v>1</v>
      </c>
      <c r="P83" s="64" t="n"/>
      <c r="Q83" s="64" t="n">
        <v>1</v>
      </c>
      <c r="R83" s="64" t="n"/>
      <c r="S83" s="64" t="n"/>
      <c r="T83" s="64" t="n"/>
      <c r="U83" s="64" t="n"/>
      <c r="V83" s="64" t="n"/>
      <c r="W83" s="64" t="n"/>
      <c r="X83" s="64" t="n"/>
      <c r="Y83" s="64" t="n"/>
      <c r="Z83" s="64" t="n"/>
      <c r="AA83" s="64" t="n"/>
      <c r="AB83" s="64" t="n"/>
      <c r="AC83" s="64" t="n"/>
    </row>
    <row r="84">
      <c r="A84" s="82" t="n"/>
      <c r="B84" s="83" t="n"/>
      <c r="C84" s="84" t="inlineStr">
        <is>
          <t>今週出来高率</t>
        </is>
      </c>
      <c r="D84" s="85" t="n"/>
      <c r="E84" s="82" t="n"/>
      <c r="F84" s="86" t="n"/>
      <c r="G84" s="87" t="n"/>
      <c r="H84" s="71">
        <f>IF(OR($E83=0,H83="",H$6&lt;&gt;1),0,1/$E83)</f>
        <v/>
      </c>
      <c r="I84" s="71">
        <f>IF(OR($E83=0,I83="",I$6&lt;&gt;1),0,1/$E83)</f>
        <v/>
      </c>
      <c r="J84" s="71">
        <f>IF(OR($E83=0,J83="",J$6&lt;&gt;1),0,1/$E83)</f>
        <v/>
      </c>
      <c r="K84" s="71">
        <f>IF(OR($E83=0,K83="",K$6&lt;&gt;1),0,1/$E83)</f>
        <v/>
      </c>
      <c r="L84" s="71">
        <f>IF(OR($E83=0,L83="",L$6&lt;&gt;1),0,1/$E83)</f>
        <v/>
      </c>
      <c r="M84" s="71">
        <f>IF(OR($E83=0,M83="",M$6&lt;&gt;1),0,1/$E83)</f>
        <v/>
      </c>
      <c r="N84" s="71">
        <f>IF(OR($E83=0,N83="",N$6&lt;&gt;1),0,1/$E83)</f>
        <v/>
      </c>
      <c r="O84" s="71">
        <f>IF(OR($E83=0,O83="",O$6&lt;&gt;1),0,1/$E83)</f>
        <v/>
      </c>
      <c r="P84" s="71">
        <f>IF(OR($E83=0,P83="",P$6&lt;&gt;1),0,1/$E83)</f>
        <v/>
      </c>
      <c r="Q84" s="71">
        <f>IF(OR($E83=0,Q83="",Q$6&lt;&gt;1),0,1/$E83)</f>
        <v/>
      </c>
      <c r="R84" s="71">
        <f>IF(OR($E83=0,R83="",R$6&lt;&gt;1),0,1/$E83)</f>
        <v/>
      </c>
      <c r="S84" s="71">
        <f>IF(OR($E83=0,S83="",S$6&lt;&gt;1),0,1/$E83)</f>
        <v/>
      </c>
      <c r="T84" s="71">
        <f>IF(OR($E83=0,T83="",T$6&lt;&gt;1),0,1/$E83)</f>
        <v/>
      </c>
      <c r="U84" s="71">
        <f>IF(OR($E83=0,U83="",U$6&lt;&gt;1),0,1/$E83)</f>
        <v/>
      </c>
      <c r="V84" s="71">
        <f>IF(OR($E83=0,V83="",V$6&lt;&gt;1),0,1/$E83)</f>
        <v/>
      </c>
      <c r="W84" s="71">
        <f>IF(OR($E83=0,W83="",W$6&lt;&gt;1),0,1/$E83)</f>
        <v/>
      </c>
      <c r="X84" s="71">
        <f>IF(OR($E83=0,X83="",X$6&lt;&gt;1),0,1/$E83)</f>
        <v/>
      </c>
      <c r="Y84" s="71">
        <f>IF(OR($E83=0,Y83="",Y$6&lt;&gt;1),0,1/$E83)</f>
        <v/>
      </c>
      <c r="Z84" s="71">
        <f>IF(OR($E83=0,Z83="",Z$6&lt;&gt;1),0,1/$E83)</f>
        <v/>
      </c>
      <c r="AA84" s="71">
        <f>IF(OR($E83=0,AA83="",AA$6&lt;&gt;1),0,1/$E83)</f>
        <v/>
      </c>
      <c r="AB84" s="71">
        <f>IF(OR($E83=0,AB83="",AB$6&lt;&gt;1),0,1/$E83)</f>
        <v/>
      </c>
      <c r="AC84" s="71">
        <f>IF(OR($E83=0,AC83="",AC$6&lt;&gt;1),0,1/$E83)</f>
        <v/>
      </c>
    </row>
    <row r="85">
      <c r="A85" s="82" t="n"/>
      <c r="B85" s="83" t="n"/>
      <c r="C85" s="84" t="inlineStr">
        <is>
          <t>累計出来高率</t>
        </is>
      </c>
      <c r="D85" s="85" t="n"/>
      <c r="E85" s="82" t="n"/>
      <c r="F85" s="86" t="n"/>
      <c r="G85" s="87" t="n"/>
      <c r="H85" s="71">
        <f>H84</f>
        <v/>
      </c>
      <c r="I85" s="71">
        <f>H85+I84</f>
        <v/>
      </c>
      <c r="J85" s="71">
        <f>I85+J84</f>
        <v/>
      </c>
      <c r="K85" s="71">
        <f>J85+K84</f>
        <v/>
      </c>
      <c r="L85" s="71">
        <f>K85+L84</f>
        <v/>
      </c>
      <c r="M85" s="71">
        <f>L85+M84</f>
        <v/>
      </c>
      <c r="N85" s="71">
        <f>M85+N84</f>
        <v/>
      </c>
      <c r="O85" s="71">
        <f>N85+O84</f>
        <v/>
      </c>
      <c r="P85" s="71">
        <f>O85+P84</f>
        <v/>
      </c>
      <c r="Q85" s="71">
        <f>P85+Q84</f>
        <v/>
      </c>
      <c r="R85" s="71">
        <f>Q85+R84</f>
        <v/>
      </c>
      <c r="S85" s="71">
        <f>R85+S84</f>
        <v/>
      </c>
      <c r="T85" s="71">
        <f>S85+T84</f>
        <v/>
      </c>
      <c r="U85" s="71">
        <f>T85+U84</f>
        <v/>
      </c>
      <c r="V85" s="71">
        <f>U85+V84</f>
        <v/>
      </c>
      <c r="W85" s="71">
        <f>V85+W84</f>
        <v/>
      </c>
      <c r="X85" s="71">
        <f>W85+X84</f>
        <v/>
      </c>
      <c r="Y85" s="71">
        <f>X85+Y84</f>
        <v/>
      </c>
      <c r="Z85" s="71">
        <f>Y85+Z84</f>
        <v/>
      </c>
      <c r="AA85" s="71">
        <f>Z85+AA84</f>
        <v/>
      </c>
      <c r="AB85" s="71">
        <f>AA85+AB84</f>
        <v/>
      </c>
      <c r="AC85" s="71">
        <f>AB85+AC84</f>
        <v/>
      </c>
    </row>
    <row r="86">
      <c r="A86" s="82" t="n"/>
      <c r="B86" s="83" t="n"/>
      <c r="C86" s="84" t="inlineStr">
        <is>
          <t>今週出来高金額</t>
        </is>
      </c>
      <c r="D86" s="85" t="n"/>
      <c r="E86" s="82" t="n"/>
      <c r="F86" s="86" t="n"/>
      <c r="G86" s="87" t="n"/>
      <c r="H86" s="72">
        <f>H84*$D83</f>
        <v/>
      </c>
      <c r="I86" s="72">
        <f>I84*$D83</f>
        <v/>
      </c>
      <c r="J86" s="72">
        <f>J84*$D83</f>
        <v/>
      </c>
      <c r="K86" s="72">
        <f>K84*$D83</f>
        <v/>
      </c>
      <c r="L86" s="72">
        <f>L84*$D83</f>
        <v/>
      </c>
      <c r="M86" s="72">
        <f>M84*$D83</f>
        <v/>
      </c>
      <c r="N86" s="72">
        <f>N84*$D83</f>
        <v/>
      </c>
      <c r="O86" s="72">
        <f>O84*$D83</f>
        <v/>
      </c>
      <c r="P86" s="72">
        <f>P84*$D83</f>
        <v/>
      </c>
      <c r="Q86" s="72">
        <f>Q84*$D83</f>
        <v/>
      </c>
      <c r="R86" s="72">
        <f>R84*$D83</f>
        <v/>
      </c>
      <c r="S86" s="72">
        <f>S84*$D83</f>
        <v/>
      </c>
      <c r="T86" s="72">
        <f>T84*$D83</f>
        <v/>
      </c>
      <c r="U86" s="72">
        <f>U84*$D83</f>
        <v/>
      </c>
      <c r="V86" s="72">
        <f>V84*$D83</f>
        <v/>
      </c>
      <c r="W86" s="72">
        <f>W84*$D83</f>
        <v/>
      </c>
      <c r="X86" s="72">
        <f>X84*$D83</f>
        <v/>
      </c>
      <c r="Y86" s="72">
        <f>Y84*$D83</f>
        <v/>
      </c>
      <c r="Z86" s="72">
        <f>Z84*$D83</f>
        <v/>
      </c>
      <c r="AA86" s="72">
        <f>AA84*$D83</f>
        <v/>
      </c>
      <c r="AB86" s="72">
        <f>AB84*$D83</f>
        <v/>
      </c>
      <c r="AC86" s="72">
        <f>AC84*$D83</f>
        <v/>
      </c>
    </row>
    <row r="87">
      <c r="A87" s="82" t="n"/>
      <c r="B87" s="83" t="n"/>
      <c r="C87" s="84" t="inlineStr">
        <is>
          <t>累計出来高金額</t>
        </is>
      </c>
      <c r="D87" s="85" t="n"/>
      <c r="E87" s="82" t="n"/>
      <c r="F87" s="86" t="n"/>
      <c r="G87" s="87" t="n"/>
      <c r="H87" s="72">
        <f>H86</f>
        <v/>
      </c>
      <c r="I87" s="72">
        <f>H87+I86</f>
        <v/>
      </c>
      <c r="J87" s="72">
        <f>I87+J86</f>
        <v/>
      </c>
      <c r="K87" s="72">
        <f>J87+K86</f>
        <v/>
      </c>
      <c r="L87" s="72">
        <f>K87+L86</f>
        <v/>
      </c>
      <c r="M87" s="72">
        <f>L87+M86</f>
        <v/>
      </c>
      <c r="N87" s="72">
        <f>M87+N86</f>
        <v/>
      </c>
      <c r="O87" s="72">
        <f>N87+O86</f>
        <v/>
      </c>
      <c r="P87" s="72">
        <f>O87+P86</f>
        <v/>
      </c>
      <c r="Q87" s="72">
        <f>P87+Q86</f>
        <v/>
      </c>
      <c r="R87" s="72">
        <f>Q87+R86</f>
        <v/>
      </c>
      <c r="S87" s="72">
        <f>R87+S86</f>
        <v/>
      </c>
      <c r="T87" s="72">
        <f>S87+T86</f>
        <v/>
      </c>
      <c r="U87" s="72">
        <f>T87+U86</f>
        <v/>
      </c>
      <c r="V87" s="72">
        <f>U87+V86</f>
        <v/>
      </c>
      <c r="W87" s="72">
        <f>V87+W86</f>
        <v/>
      </c>
      <c r="X87" s="72">
        <f>W87+X86</f>
        <v/>
      </c>
      <c r="Y87" s="72">
        <f>X87+Y86</f>
        <v/>
      </c>
      <c r="Z87" s="72">
        <f>Y87+Z86</f>
        <v/>
      </c>
      <c r="AA87" s="72">
        <f>Z87+AA86</f>
        <v/>
      </c>
      <c r="AB87" s="72">
        <f>AA87+AB86</f>
        <v/>
      </c>
      <c r="AC87" s="72">
        <f>AB87+AC86</f>
        <v/>
      </c>
    </row>
    <row r="88">
      <c r="A88" s="76" t="inlineStr">
        <is>
          <t>8</t>
        </is>
      </c>
      <c r="B88" s="77" t="inlineStr">
        <is>
          <t>木工事</t>
        </is>
      </c>
      <c r="C88" s="78" t="inlineStr">
        <is>
          <t>工程</t>
        </is>
      </c>
      <c r="D88" s="79">
        <f>'金額リスト'!C22</f>
        <v/>
      </c>
      <c r="E88" s="76">
        <f>SUMPRODUCT((H88:AC88&lt;&gt;"")*(H$6:AC$6=1))</f>
        <v/>
      </c>
      <c r="F88" s="80">
        <f>SUM(H89:AC89)</f>
        <v/>
      </c>
      <c r="G88" s="81">
        <f>IF(AND(ABS(F88-1)&lt;0.0001,ABS(AC90-1)&lt;0.0001),"OK",IF(E88=0,"工程未設定","NG"))</f>
        <v/>
      </c>
      <c r="H88" s="64" t="n"/>
      <c r="I88" s="64" t="n"/>
      <c r="J88" s="64" t="n"/>
      <c r="K88" s="64" t="n"/>
      <c r="L88" s="64" t="n"/>
      <c r="M88" s="64" t="n"/>
      <c r="N88" s="64" t="n"/>
      <c r="O88" s="64" t="n"/>
      <c r="P88" s="64" t="n"/>
      <c r="Q88" s="64" t="n"/>
      <c r="R88" s="64" t="n">
        <v>1</v>
      </c>
      <c r="S88" s="64" t="n">
        <v>1</v>
      </c>
      <c r="T88" s="64" t="n">
        <v>1</v>
      </c>
      <c r="U88" s="64" t="n"/>
      <c r="V88" s="64" t="n">
        <v>1</v>
      </c>
      <c r="W88" s="64" t="n">
        <v>1</v>
      </c>
      <c r="X88" s="64" t="n">
        <v>1</v>
      </c>
      <c r="Y88" s="64" t="n">
        <v>1</v>
      </c>
      <c r="Z88" s="64" t="n"/>
      <c r="AA88" s="64" t="n">
        <v>1</v>
      </c>
      <c r="AB88" s="64" t="n"/>
      <c r="AC88" s="64" t="n"/>
    </row>
    <row r="89">
      <c r="A89" s="82" t="n"/>
      <c r="B89" s="83" t="n"/>
      <c r="C89" s="84" t="inlineStr">
        <is>
          <t>今週出来高率</t>
        </is>
      </c>
      <c r="D89" s="85" t="n"/>
      <c r="E89" s="82" t="n"/>
      <c r="F89" s="86" t="n"/>
      <c r="G89" s="87" t="n"/>
      <c r="H89" s="71">
        <f>IF(OR($E88=0,H88="",H$6&lt;&gt;1),0,1/$E88)</f>
        <v/>
      </c>
      <c r="I89" s="71">
        <f>IF(OR($E88=0,I88="",I$6&lt;&gt;1),0,1/$E88)</f>
        <v/>
      </c>
      <c r="J89" s="71">
        <f>IF(OR($E88=0,J88="",J$6&lt;&gt;1),0,1/$E88)</f>
        <v/>
      </c>
      <c r="K89" s="71">
        <f>IF(OR($E88=0,K88="",K$6&lt;&gt;1),0,1/$E88)</f>
        <v/>
      </c>
      <c r="L89" s="71">
        <f>IF(OR($E88=0,L88="",L$6&lt;&gt;1),0,1/$E88)</f>
        <v/>
      </c>
      <c r="M89" s="71">
        <f>IF(OR($E88=0,M88="",M$6&lt;&gt;1),0,1/$E88)</f>
        <v/>
      </c>
      <c r="N89" s="71">
        <f>IF(OR($E88=0,N88="",N$6&lt;&gt;1),0,1/$E88)</f>
        <v/>
      </c>
      <c r="O89" s="71">
        <f>IF(OR($E88=0,O88="",O$6&lt;&gt;1),0,1/$E88)</f>
        <v/>
      </c>
      <c r="P89" s="71">
        <f>IF(OR($E88=0,P88="",P$6&lt;&gt;1),0,1/$E88)</f>
        <v/>
      </c>
      <c r="Q89" s="71">
        <f>IF(OR($E88=0,Q88="",Q$6&lt;&gt;1),0,1/$E88)</f>
        <v/>
      </c>
      <c r="R89" s="71">
        <f>IF(OR($E88=0,R88="",R$6&lt;&gt;1),0,1/$E88)</f>
        <v/>
      </c>
      <c r="S89" s="71">
        <f>IF(OR($E88=0,S88="",S$6&lt;&gt;1),0,1/$E88)</f>
        <v/>
      </c>
      <c r="T89" s="71">
        <f>IF(OR($E88=0,T88="",T$6&lt;&gt;1),0,1/$E88)</f>
        <v/>
      </c>
      <c r="U89" s="71">
        <f>IF(OR($E88=0,U88="",U$6&lt;&gt;1),0,1/$E88)</f>
        <v/>
      </c>
      <c r="V89" s="71">
        <f>IF(OR($E88=0,V88="",V$6&lt;&gt;1),0,1/$E88)</f>
        <v/>
      </c>
      <c r="W89" s="71">
        <f>IF(OR($E88=0,W88="",W$6&lt;&gt;1),0,1/$E88)</f>
        <v/>
      </c>
      <c r="X89" s="71">
        <f>IF(OR($E88=0,X88="",X$6&lt;&gt;1),0,1/$E88)</f>
        <v/>
      </c>
      <c r="Y89" s="71">
        <f>IF(OR($E88=0,Y88="",Y$6&lt;&gt;1),0,1/$E88)</f>
        <v/>
      </c>
      <c r="Z89" s="71">
        <f>IF(OR($E88=0,Z88="",Z$6&lt;&gt;1),0,1/$E88)</f>
        <v/>
      </c>
      <c r="AA89" s="71">
        <f>IF(OR($E88=0,AA88="",AA$6&lt;&gt;1),0,1/$E88)</f>
        <v/>
      </c>
      <c r="AB89" s="71">
        <f>IF(OR($E88=0,AB88="",AB$6&lt;&gt;1),0,1/$E88)</f>
        <v/>
      </c>
      <c r="AC89" s="71">
        <f>IF(OR($E88=0,AC88="",AC$6&lt;&gt;1),0,1/$E88)</f>
        <v/>
      </c>
    </row>
    <row r="90">
      <c r="A90" s="82" t="n"/>
      <c r="B90" s="83" t="n"/>
      <c r="C90" s="84" t="inlineStr">
        <is>
          <t>累計出来高率</t>
        </is>
      </c>
      <c r="D90" s="85" t="n"/>
      <c r="E90" s="82" t="n"/>
      <c r="F90" s="86" t="n"/>
      <c r="G90" s="87" t="n"/>
      <c r="H90" s="71">
        <f>H89</f>
        <v/>
      </c>
      <c r="I90" s="71">
        <f>H90+I89</f>
        <v/>
      </c>
      <c r="J90" s="71">
        <f>I90+J89</f>
        <v/>
      </c>
      <c r="K90" s="71">
        <f>J90+K89</f>
        <v/>
      </c>
      <c r="L90" s="71">
        <f>K90+L89</f>
        <v/>
      </c>
      <c r="M90" s="71">
        <f>L90+M89</f>
        <v/>
      </c>
      <c r="N90" s="71">
        <f>M90+N89</f>
        <v/>
      </c>
      <c r="O90" s="71">
        <f>N90+O89</f>
        <v/>
      </c>
      <c r="P90" s="71">
        <f>O90+P89</f>
        <v/>
      </c>
      <c r="Q90" s="71">
        <f>P90+Q89</f>
        <v/>
      </c>
      <c r="R90" s="71">
        <f>Q90+R89</f>
        <v/>
      </c>
      <c r="S90" s="71">
        <f>R90+S89</f>
        <v/>
      </c>
      <c r="T90" s="71">
        <f>S90+T89</f>
        <v/>
      </c>
      <c r="U90" s="71">
        <f>T90+U89</f>
        <v/>
      </c>
      <c r="V90" s="71">
        <f>U90+V89</f>
        <v/>
      </c>
      <c r="W90" s="71">
        <f>V90+W89</f>
        <v/>
      </c>
      <c r="X90" s="71">
        <f>W90+X89</f>
        <v/>
      </c>
      <c r="Y90" s="71">
        <f>X90+Y89</f>
        <v/>
      </c>
      <c r="Z90" s="71">
        <f>Y90+Z89</f>
        <v/>
      </c>
      <c r="AA90" s="71">
        <f>Z90+AA89</f>
        <v/>
      </c>
      <c r="AB90" s="71">
        <f>AA90+AB89</f>
        <v/>
      </c>
      <c r="AC90" s="71">
        <f>AB90+AC89</f>
        <v/>
      </c>
    </row>
    <row r="91">
      <c r="A91" s="82" t="n"/>
      <c r="B91" s="83" t="n"/>
      <c r="C91" s="84" t="inlineStr">
        <is>
          <t>今週出来高金額</t>
        </is>
      </c>
      <c r="D91" s="85" t="n"/>
      <c r="E91" s="82" t="n"/>
      <c r="F91" s="86" t="n"/>
      <c r="G91" s="87" t="n"/>
      <c r="H91" s="72">
        <f>H89*$D88</f>
        <v/>
      </c>
      <c r="I91" s="72">
        <f>I89*$D88</f>
        <v/>
      </c>
      <c r="J91" s="72">
        <f>J89*$D88</f>
        <v/>
      </c>
      <c r="K91" s="72">
        <f>K89*$D88</f>
        <v/>
      </c>
      <c r="L91" s="72">
        <f>L89*$D88</f>
        <v/>
      </c>
      <c r="M91" s="72">
        <f>M89*$D88</f>
        <v/>
      </c>
      <c r="N91" s="72">
        <f>N89*$D88</f>
        <v/>
      </c>
      <c r="O91" s="72">
        <f>O89*$D88</f>
        <v/>
      </c>
      <c r="P91" s="72">
        <f>P89*$D88</f>
        <v/>
      </c>
      <c r="Q91" s="72">
        <f>Q89*$D88</f>
        <v/>
      </c>
      <c r="R91" s="72">
        <f>R89*$D88</f>
        <v/>
      </c>
      <c r="S91" s="72">
        <f>S89*$D88</f>
        <v/>
      </c>
      <c r="T91" s="72">
        <f>T89*$D88</f>
        <v/>
      </c>
      <c r="U91" s="72">
        <f>U89*$D88</f>
        <v/>
      </c>
      <c r="V91" s="72">
        <f>V89*$D88</f>
        <v/>
      </c>
      <c r="W91" s="72">
        <f>W89*$D88</f>
        <v/>
      </c>
      <c r="X91" s="72">
        <f>X89*$D88</f>
        <v/>
      </c>
      <c r="Y91" s="72">
        <f>Y89*$D88</f>
        <v/>
      </c>
      <c r="Z91" s="72">
        <f>Z89*$D88</f>
        <v/>
      </c>
      <c r="AA91" s="72">
        <f>AA89*$D88</f>
        <v/>
      </c>
      <c r="AB91" s="72">
        <f>AB89*$D88</f>
        <v/>
      </c>
      <c r="AC91" s="72">
        <f>AC89*$D88</f>
        <v/>
      </c>
    </row>
    <row r="92">
      <c r="A92" s="82" t="n"/>
      <c r="B92" s="83" t="n"/>
      <c r="C92" s="84" t="inlineStr">
        <is>
          <t>累計出来高金額</t>
        </is>
      </c>
      <c r="D92" s="85" t="n"/>
      <c r="E92" s="82" t="n"/>
      <c r="F92" s="86" t="n"/>
      <c r="G92" s="87" t="n"/>
      <c r="H92" s="72">
        <f>H91</f>
        <v/>
      </c>
      <c r="I92" s="72">
        <f>H92+I91</f>
        <v/>
      </c>
      <c r="J92" s="72">
        <f>I92+J91</f>
        <v/>
      </c>
      <c r="K92" s="72">
        <f>J92+K91</f>
        <v/>
      </c>
      <c r="L92" s="72">
        <f>K92+L91</f>
        <v/>
      </c>
      <c r="M92" s="72">
        <f>L92+M91</f>
        <v/>
      </c>
      <c r="N92" s="72">
        <f>M92+N91</f>
        <v/>
      </c>
      <c r="O92" s="72">
        <f>N92+O91</f>
        <v/>
      </c>
      <c r="P92" s="72">
        <f>O92+P91</f>
        <v/>
      </c>
      <c r="Q92" s="72">
        <f>P92+Q91</f>
        <v/>
      </c>
      <c r="R92" s="72">
        <f>Q92+R91</f>
        <v/>
      </c>
      <c r="S92" s="72">
        <f>R92+S91</f>
        <v/>
      </c>
      <c r="T92" s="72">
        <f>S92+T91</f>
        <v/>
      </c>
      <c r="U92" s="72">
        <f>T92+U91</f>
        <v/>
      </c>
      <c r="V92" s="72">
        <f>U92+V91</f>
        <v/>
      </c>
      <c r="W92" s="72">
        <f>V92+W91</f>
        <v/>
      </c>
      <c r="X92" s="72">
        <f>W92+X91</f>
        <v/>
      </c>
      <c r="Y92" s="72">
        <f>X92+Y91</f>
        <v/>
      </c>
      <c r="Z92" s="72">
        <f>Y92+Z91</f>
        <v/>
      </c>
      <c r="AA92" s="72">
        <f>Z92+AA91</f>
        <v/>
      </c>
      <c r="AB92" s="72">
        <f>AA92+AB91</f>
        <v/>
      </c>
      <c r="AC92" s="72">
        <f>AB92+AC91</f>
        <v/>
      </c>
    </row>
    <row r="93">
      <c r="A93" s="76" t="inlineStr">
        <is>
          <t>9</t>
        </is>
      </c>
      <c r="B93" s="77" t="inlineStr">
        <is>
          <t>左官工事</t>
        </is>
      </c>
      <c r="C93" s="78" t="inlineStr">
        <is>
          <t>工程</t>
        </is>
      </c>
      <c r="D93" s="79">
        <f>'金額リスト'!C23</f>
        <v/>
      </c>
      <c r="E93" s="76">
        <f>SUMPRODUCT((H93:AC93&lt;&gt;"")*(H$6:AC$6=1))</f>
        <v/>
      </c>
      <c r="F93" s="80">
        <f>SUM(H94:AC94)</f>
        <v/>
      </c>
      <c r="G93" s="81">
        <f>IF(AND(ABS(F93-1)&lt;0.0001,ABS(AC95-1)&lt;0.0001),"OK",IF(E93=0,"工程未設定","NG"))</f>
        <v/>
      </c>
      <c r="H93" s="64" t="n"/>
      <c r="I93" s="64" t="n"/>
      <c r="J93" s="64" t="n"/>
      <c r="K93" s="64" t="n"/>
      <c r="L93" s="64" t="n"/>
      <c r="M93" s="64" t="n"/>
      <c r="N93" s="64" t="n">
        <v>1</v>
      </c>
      <c r="O93" s="64" t="n">
        <v>1</v>
      </c>
      <c r="P93" s="64" t="n"/>
      <c r="Q93" s="64" t="n">
        <v>1</v>
      </c>
      <c r="R93" s="64" t="n">
        <v>1</v>
      </c>
      <c r="S93" s="64" t="n">
        <v>1</v>
      </c>
      <c r="T93" s="64" t="n">
        <v>1</v>
      </c>
      <c r="U93" s="64" t="n"/>
      <c r="V93" s="64" t="n">
        <v>1</v>
      </c>
      <c r="W93" s="64" t="n">
        <v>1</v>
      </c>
      <c r="X93" s="64" t="n">
        <v>1</v>
      </c>
      <c r="Y93" s="64" t="n">
        <v>1</v>
      </c>
      <c r="Z93" s="64" t="n">
        <v>1</v>
      </c>
      <c r="AA93" s="64" t="n"/>
      <c r="AB93" s="64" t="n"/>
      <c r="AC93" s="64" t="n"/>
    </row>
    <row r="94">
      <c r="A94" s="82" t="n"/>
      <c r="B94" s="83" t="n"/>
      <c r="C94" s="84" t="inlineStr">
        <is>
          <t>今週出来高率</t>
        </is>
      </c>
      <c r="D94" s="85" t="n"/>
      <c r="E94" s="82" t="n"/>
      <c r="F94" s="86" t="n"/>
      <c r="G94" s="87" t="n"/>
      <c r="H94" s="71">
        <f>IF(OR($E93=0,H93="",H$6&lt;&gt;1),0,1/$E93)</f>
        <v/>
      </c>
      <c r="I94" s="71">
        <f>IF(OR($E93=0,I93="",I$6&lt;&gt;1),0,1/$E93)</f>
        <v/>
      </c>
      <c r="J94" s="71">
        <f>IF(OR($E93=0,J93="",J$6&lt;&gt;1),0,1/$E93)</f>
        <v/>
      </c>
      <c r="K94" s="71">
        <f>IF(OR($E93=0,K93="",K$6&lt;&gt;1),0,1/$E93)</f>
        <v/>
      </c>
      <c r="L94" s="71">
        <f>IF(OR($E93=0,L93="",L$6&lt;&gt;1),0,1/$E93)</f>
        <v/>
      </c>
      <c r="M94" s="71">
        <f>IF(OR($E93=0,M93="",M$6&lt;&gt;1),0,1/$E93)</f>
        <v/>
      </c>
      <c r="N94" s="71">
        <f>IF(OR($E93=0,N93="",N$6&lt;&gt;1),0,1/$E93)</f>
        <v/>
      </c>
      <c r="O94" s="71">
        <f>IF(OR($E93=0,O93="",O$6&lt;&gt;1),0,1/$E93)</f>
        <v/>
      </c>
      <c r="P94" s="71">
        <f>IF(OR($E93=0,P93="",P$6&lt;&gt;1),0,1/$E93)</f>
        <v/>
      </c>
      <c r="Q94" s="71">
        <f>IF(OR($E93=0,Q93="",Q$6&lt;&gt;1),0,1/$E93)</f>
        <v/>
      </c>
      <c r="R94" s="71">
        <f>IF(OR($E93=0,R93="",R$6&lt;&gt;1),0,1/$E93)</f>
        <v/>
      </c>
      <c r="S94" s="71">
        <f>IF(OR($E93=0,S93="",S$6&lt;&gt;1),0,1/$E93)</f>
        <v/>
      </c>
      <c r="T94" s="71">
        <f>IF(OR($E93=0,T93="",T$6&lt;&gt;1),0,1/$E93)</f>
        <v/>
      </c>
      <c r="U94" s="71">
        <f>IF(OR($E93=0,U93="",U$6&lt;&gt;1),0,1/$E93)</f>
        <v/>
      </c>
      <c r="V94" s="71">
        <f>IF(OR($E93=0,V93="",V$6&lt;&gt;1),0,1/$E93)</f>
        <v/>
      </c>
      <c r="W94" s="71">
        <f>IF(OR($E93=0,W93="",W$6&lt;&gt;1),0,1/$E93)</f>
        <v/>
      </c>
      <c r="X94" s="71">
        <f>IF(OR($E93=0,X93="",X$6&lt;&gt;1),0,1/$E93)</f>
        <v/>
      </c>
      <c r="Y94" s="71">
        <f>IF(OR($E93=0,Y93="",Y$6&lt;&gt;1),0,1/$E93)</f>
        <v/>
      </c>
      <c r="Z94" s="71">
        <f>IF(OR($E93=0,Z93="",Z$6&lt;&gt;1),0,1/$E93)</f>
        <v/>
      </c>
      <c r="AA94" s="71">
        <f>IF(OR($E93=0,AA93="",AA$6&lt;&gt;1),0,1/$E93)</f>
        <v/>
      </c>
      <c r="AB94" s="71">
        <f>IF(OR($E93=0,AB93="",AB$6&lt;&gt;1),0,1/$E93)</f>
        <v/>
      </c>
      <c r="AC94" s="71">
        <f>IF(OR($E93=0,AC93="",AC$6&lt;&gt;1),0,1/$E93)</f>
        <v/>
      </c>
    </row>
    <row r="95">
      <c r="A95" s="82" t="n"/>
      <c r="B95" s="83" t="n"/>
      <c r="C95" s="84" t="inlineStr">
        <is>
          <t>累計出来高率</t>
        </is>
      </c>
      <c r="D95" s="85" t="n"/>
      <c r="E95" s="82" t="n"/>
      <c r="F95" s="86" t="n"/>
      <c r="G95" s="87" t="n"/>
      <c r="H95" s="71">
        <f>H94</f>
        <v/>
      </c>
      <c r="I95" s="71">
        <f>H95+I94</f>
        <v/>
      </c>
      <c r="J95" s="71">
        <f>I95+J94</f>
        <v/>
      </c>
      <c r="K95" s="71">
        <f>J95+K94</f>
        <v/>
      </c>
      <c r="L95" s="71">
        <f>K95+L94</f>
        <v/>
      </c>
      <c r="M95" s="71">
        <f>L95+M94</f>
        <v/>
      </c>
      <c r="N95" s="71">
        <f>M95+N94</f>
        <v/>
      </c>
      <c r="O95" s="71">
        <f>N95+O94</f>
        <v/>
      </c>
      <c r="P95" s="71">
        <f>O95+P94</f>
        <v/>
      </c>
      <c r="Q95" s="71">
        <f>P95+Q94</f>
        <v/>
      </c>
      <c r="R95" s="71">
        <f>Q95+R94</f>
        <v/>
      </c>
      <c r="S95" s="71">
        <f>R95+S94</f>
        <v/>
      </c>
      <c r="T95" s="71">
        <f>S95+T94</f>
        <v/>
      </c>
      <c r="U95" s="71">
        <f>T95+U94</f>
        <v/>
      </c>
      <c r="V95" s="71">
        <f>U95+V94</f>
        <v/>
      </c>
      <c r="W95" s="71">
        <f>V95+W94</f>
        <v/>
      </c>
      <c r="X95" s="71">
        <f>W95+X94</f>
        <v/>
      </c>
      <c r="Y95" s="71">
        <f>X95+Y94</f>
        <v/>
      </c>
      <c r="Z95" s="71">
        <f>Y95+Z94</f>
        <v/>
      </c>
      <c r="AA95" s="71">
        <f>Z95+AA94</f>
        <v/>
      </c>
      <c r="AB95" s="71">
        <f>AA95+AB94</f>
        <v/>
      </c>
      <c r="AC95" s="71">
        <f>AB95+AC94</f>
        <v/>
      </c>
    </row>
    <row r="96">
      <c r="A96" s="82" t="n"/>
      <c r="B96" s="83" t="n"/>
      <c r="C96" s="84" t="inlineStr">
        <is>
          <t>今週出来高金額</t>
        </is>
      </c>
      <c r="D96" s="85" t="n"/>
      <c r="E96" s="82" t="n"/>
      <c r="F96" s="86" t="n"/>
      <c r="G96" s="87" t="n"/>
      <c r="H96" s="72">
        <f>H94*$D93</f>
        <v/>
      </c>
      <c r="I96" s="72">
        <f>I94*$D93</f>
        <v/>
      </c>
      <c r="J96" s="72">
        <f>J94*$D93</f>
        <v/>
      </c>
      <c r="K96" s="72">
        <f>K94*$D93</f>
        <v/>
      </c>
      <c r="L96" s="72">
        <f>L94*$D93</f>
        <v/>
      </c>
      <c r="M96" s="72">
        <f>M94*$D93</f>
        <v/>
      </c>
      <c r="N96" s="72">
        <f>N94*$D93</f>
        <v/>
      </c>
      <c r="O96" s="72">
        <f>O94*$D93</f>
        <v/>
      </c>
      <c r="P96" s="72">
        <f>P94*$D93</f>
        <v/>
      </c>
      <c r="Q96" s="72">
        <f>Q94*$D93</f>
        <v/>
      </c>
      <c r="R96" s="72">
        <f>R94*$D93</f>
        <v/>
      </c>
      <c r="S96" s="72">
        <f>S94*$D93</f>
        <v/>
      </c>
      <c r="T96" s="72">
        <f>T94*$D93</f>
        <v/>
      </c>
      <c r="U96" s="72">
        <f>U94*$D93</f>
        <v/>
      </c>
      <c r="V96" s="72">
        <f>V94*$D93</f>
        <v/>
      </c>
      <c r="W96" s="72">
        <f>W94*$D93</f>
        <v/>
      </c>
      <c r="X96" s="72">
        <f>X94*$D93</f>
        <v/>
      </c>
      <c r="Y96" s="72">
        <f>Y94*$D93</f>
        <v/>
      </c>
      <c r="Z96" s="72">
        <f>Z94*$D93</f>
        <v/>
      </c>
      <c r="AA96" s="72">
        <f>AA94*$D93</f>
        <v/>
      </c>
      <c r="AB96" s="72">
        <f>AB94*$D93</f>
        <v/>
      </c>
      <c r="AC96" s="72">
        <f>AC94*$D93</f>
        <v/>
      </c>
    </row>
    <row r="97">
      <c r="A97" s="82" t="n"/>
      <c r="B97" s="83" t="n"/>
      <c r="C97" s="84" t="inlineStr">
        <is>
          <t>累計出来高金額</t>
        </is>
      </c>
      <c r="D97" s="85" t="n"/>
      <c r="E97" s="82" t="n"/>
      <c r="F97" s="86" t="n"/>
      <c r="G97" s="87" t="n"/>
      <c r="H97" s="72">
        <f>H96</f>
        <v/>
      </c>
      <c r="I97" s="72">
        <f>H97+I96</f>
        <v/>
      </c>
      <c r="J97" s="72">
        <f>I97+J96</f>
        <v/>
      </c>
      <c r="K97" s="72">
        <f>J97+K96</f>
        <v/>
      </c>
      <c r="L97" s="72">
        <f>K97+L96</f>
        <v/>
      </c>
      <c r="M97" s="72">
        <f>L97+M96</f>
        <v/>
      </c>
      <c r="N97" s="72">
        <f>M97+N96</f>
        <v/>
      </c>
      <c r="O97" s="72">
        <f>N97+O96</f>
        <v/>
      </c>
      <c r="P97" s="72">
        <f>O97+P96</f>
        <v/>
      </c>
      <c r="Q97" s="72">
        <f>P97+Q96</f>
        <v/>
      </c>
      <c r="R97" s="72">
        <f>Q97+R96</f>
        <v/>
      </c>
      <c r="S97" s="72">
        <f>R97+S96</f>
        <v/>
      </c>
      <c r="T97" s="72">
        <f>S97+T96</f>
        <v/>
      </c>
      <c r="U97" s="72">
        <f>T97+U96</f>
        <v/>
      </c>
      <c r="V97" s="72">
        <f>U97+V96</f>
        <v/>
      </c>
      <c r="W97" s="72">
        <f>V97+W96</f>
        <v/>
      </c>
      <c r="X97" s="72">
        <f>W97+X96</f>
        <v/>
      </c>
      <c r="Y97" s="72">
        <f>X97+Y96</f>
        <v/>
      </c>
      <c r="Z97" s="72">
        <f>Y97+Z96</f>
        <v/>
      </c>
      <c r="AA97" s="72">
        <f>Z97+AA96</f>
        <v/>
      </c>
      <c r="AB97" s="72">
        <f>AA97+AB96</f>
        <v/>
      </c>
      <c r="AC97" s="72">
        <f>AB97+AC96</f>
        <v/>
      </c>
    </row>
    <row r="98">
      <c r="A98" s="76" t="inlineStr">
        <is>
          <t>10</t>
        </is>
      </c>
      <c r="B98" s="77" t="inlineStr">
        <is>
          <t>塗装工事</t>
        </is>
      </c>
      <c r="C98" s="78" t="inlineStr">
        <is>
          <t>工程</t>
        </is>
      </c>
      <c r="D98" s="79">
        <f>'金額リスト'!C24</f>
        <v/>
      </c>
      <c r="E98" s="76">
        <f>SUMPRODUCT((H98:AC98&lt;&gt;"")*(H$6:AC$6=1))</f>
        <v/>
      </c>
      <c r="F98" s="80">
        <f>SUM(H99:AC99)</f>
        <v/>
      </c>
      <c r="G98" s="81">
        <f>IF(AND(ABS(F98-1)&lt;0.0001,ABS(AC100-1)&lt;0.0001),"OK",IF(E98=0,"工程未設定","NG"))</f>
        <v/>
      </c>
      <c r="H98" s="64" t="n"/>
      <c r="I98" s="64" t="n"/>
      <c r="J98" s="64" t="n"/>
      <c r="K98" s="64" t="n"/>
      <c r="L98" s="64" t="n"/>
      <c r="M98" s="64" t="n"/>
      <c r="N98" s="64" t="n">
        <v>1</v>
      </c>
      <c r="O98" s="64" t="n">
        <v>1</v>
      </c>
      <c r="P98" s="64" t="n"/>
      <c r="Q98" s="64" t="n">
        <v>1</v>
      </c>
      <c r="R98" s="64" t="n"/>
      <c r="S98" s="64" t="n"/>
      <c r="T98" s="64" t="n"/>
      <c r="U98" s="64" t="n">
        <v>1</v>
      </c>
      <c r="V98" s="64" t="n">
        <v>1</v>
      </c>
      <c r="W98" s="64" t="n"/>
      <c r="X98" s="64" t="n"/>
      <c r="Y98" s="64" t="n"/>
      <c r="Z98" s="64" t="n"/>
      <c r="AA98" s="64" t="n"/>
      <c r="AB98" s="64" t="n"/>
      <c r="AC98" s="64" t="n"/>
    </row>
    <row r="99">
      <c r="A99" s="82" t="n"/>
      <c r="B99" s="83" t="n"/>
      <c r="C99" s="84" t="inlineStr">
        <is>
          <t>今週出来高率</t>
        </is>
      </c>
      <c r="D99" s="85" t="n"/>
      <c r="E99" s="82" t="n"/>
      <c r="F99" s="86" t="n"/>
      <c r="G99" s="87" t="n"/>
      <c r="H99" s="71">
        <f>IF(OR($E98=0,H98="",H$6&lt;&gt;1),0,1/$E98)</f>
        <v/>
      </c>
      <c r="I99" s="71">
        <f>IF(OR($E98=0,I98="",I$6&lt;&gt;1),0,1/$E98)</f>
        <v/>
      </c>
      <c r="J99" s="71">
        <f>IF(OR($E98=0,J98="",J$6&lt;&gt;1),0,1/$E98)</f>
        <v/>
      </c>
      <c r="K99" s="71">
        <f>IF(OR($E98=0,K98="",K$6&lt;&gt;1),0,1/$E98)</f>
        <v/>
      </c>
      <c r="L99" s="71">
        <f>IF(OR($E98=0,L98="",L$6&lt;&gt;1),0,1/$E98)</f>
        <v/>
      </c>
      <c r="M99" s="71">
        <f>IF(OR($E98=0,M98="",M$6&lt;&gt;1),0,1/$E98)</f>
        <v/>
      </c>
      <c r="N99" s="71">
        <f>IF(OR($E98=0,N98="",N$6&lt;&gt;1),0,1/$E98)</f>
        <v/>
      </c>
      <c r="O99" s="71">
        <f>IF(OR($E98=0,O98="",O$6&lt;&gt;1),0,1/$E98)</f>
        <v/>
      </c>
      <c r="P99" s="71">
        <f>IF(OR($E98=0,P98="",P$6&lt;&gt;1),0,1/$E98)</f>
        <v/>
      </c>
      <c r="Q99" s="71">
        <f>IF(OR($E98=0,Q98="",Q$6&lt;&gt;1),0,1/$E98)</f>
        <v/>
      </c>
      <c r="R99" s="71">
        <f>IF(OR($E98=0,R98="",R$6&lt;&gt;1),0,1/$E98)</f>
        <v/>
      </c>
      <c r="S99" s="71">
        <f>IF(OR($E98=0,S98="",S$6&lt;&gt;1),0,1/$E98)</f>
        <v/>
      </c>
      <c r="T99" s="71">
        <f>IF(OR($E98=0,T98="",T$6&lt;&gt;1),0,1/$E98)</f>
        <v/>
      </c>
      <c r="U99" s="71">
        <f>IF(OR($E98=0,U98="",U$6&lt;&gt;1),0,1/$E98)</f>
        <v/>
      </c>
      <c r="V99" s="71">
        <f>IF(OR($E98=0,V98="",V$6&lt;&gt;1),0,1/$E98)</f>
        <v/>
      </c>
      <c r="W99" s="71">
        <f>IF(OR($E98=0,W98="",W$6&lt;&gt;1),0,1/$E98)</f>
        <v/>
      </c>
      <c r="X99" s="71">
        <f>IF(OR($E98=0,X98="",X$6&lt;&gt;1),0,1/$E98)</f>
        <v/>
      </c>
      <c r="Y99" s="71">
        <f>IF(OR($E98=0,Y98="",Y$6&lt;&gt;1),0,1/$E98)</f>
        <v/>
      </c>
      <c r="Z99" s="71">
        <f>IF(OR($E98=0,Z98="",Z$6&lt;&gt;1),0,1/$E98)</f>
        <v/>
      </c>
      <c r="AA99" s="71">
        <f>IF(OR($E98=0,AA98="",AA$6&lt;&gt;1),0,1/$E98)</f>
        <v/>
      </c>
      <c r="AB99" s="71">
        <f>IF(OR($E98=0,AB98="",AB$6&lt;&gt;1),0,1/$E98)</f>
        <v/>
      </c>
      <c r="AC99" s="71">
        <f>IF(OR($E98=0,AC98="",AC$6&lt;&gt;1),0,1/$E98)</f>
        <v/>
      </c>
    </row>
    <row r="100">
      <c r="A100" s="82" t="n"/>
      <c r="B100" s="83" t="n"/>
      <c r="C100" s="84" t="inlineStr">
        <is>
          <t>累計出来高率</t>
        </is>
      </c>
      <c r="D100" s="85" t="n"/>
      <c r="E100" s="82" t="n"/>
      <c r="F100" s="86" t="n"/>
      <c r="G100" s="87" t="n"/>
      <c r="H100" s="71">
        <f>H99</f>
        <v/>
      </c>
      <c r="I100" s="71">
        <f>H100+I99</f>
        <v/>
      </c>
      <c r="J100" s="71">
        <f>I100+J99</f>
        <v/>
      </c>
      <c r="K100" s="71">
        <f>J100+K99</f>
        <v/>
      </c>
      <c r="L100" s="71">
        <f>K100+L99</f>
        <v/>
      </c>
      <c r="M100" s="71">
        <f>L100+M99</f>
        <v/>
      </c>
      <c r="N100" s="71">
        <f>M100+N99</f>
        <v/>
      </c>
      <c r="O100" s="71">
        <f>N100+O99</f>
        <v/>
      </c>
      <c r="P100" s="71">
        <f>O100+P99</f>
        <v/>
      </c>
      <c r="Q100" s="71">
        <f>P100+Q99</f>
        <v/>
      </c>
      <c r="R100" s="71">
        <f>Q100+R99</f>
        <v/>
      </c>
      <c r="S100" s="71">
        <f>R100+S99</f>
        <v/>
      </c>
      <c r="T100" s="71">
        <f>S100+T99</f>
        <v/>
      </c>
      <c r="U100" s="71">
        <f>T100+U99</f>
        <v/>
      </c>
      <c r="V100" s="71">
        <f>U100+V99</f>
        <v/>
      </c>
      <c r="W100" s="71">
        <f>V100+W99</f>
        <v/>
      </c>
      <c r="X100" s="71">
        <f>W100+X99</f>
        <v/>
      </c>
      <c r="Y100" s="71">
        <f>X100+Y99</f>
        <v/>
      </c>
      <c r="Z100" s="71">
        <f>Y100+Z99</f>
        <v/>
      </c>
      <c r="AA100" s="71">
        <f>Z100+AA99</f>
        <v/>
      </c>
      <c r="AB100" s="71">
        <f>AA100+AB99</f>
        <v/>
      </c>
      <c r="AC100" s="71">
        <f>AB100+AC99</f>
        <v/>
      </c>
    </row>
    <row r="101">
      <c r="A101" s="82" t="n"/>
      <c r="B101" s="83" t="n"/>
      <c r="C101" s="84" t="inlineStr">
        <is>
          <t>今週出来高金額</t>
        </is>
      </c>
      <c r="D101" s="85" t="n"/>
      <c r="E101" s="82" t="n"/>
      <c r="F101" s="86" t="n"/>
      <c r="G101" s="87" t="n"/>
      <c r="H101" s="72">
        <f>H99*$D98</f>
        <v/>
      </c>
      <c r="I101" s="72">
        <f>I99*$D98</f>
        <v/>
      </c>
      <c r="J101" s="72">
        <f>J99*$D98</f>
        <v/>
      </c>
      <c r="K101" s="72">
        <f>K99*$D98</f>
        <v/>
      </c>
      <c r="L101" s="72">
        <f>L99*$D98</f>
        <v/>
      </c>
      <c r="M101" s="72">
        <f>M99*$D98</f>
        <v/>
      </c>
      <c r="N101" s="72">
        <f>N99*$D98</f>
        <v/>
      </c>
      <c r="O101" s="72">
        <f>O99*$D98</f>
        <v/>
      </c>
      <c r="P101" s="72">
        <f>P99*$D98</f>
        <v/>
      </c>
      <c r="Q101" s="72">
        <f>Q99*$D98</f>
        <v/>
      </c>
      <c r="R101" s="72">
        <f>R99*$D98</f>
        <v/>
      </c>
      <c r="S101" s="72">
        <f>S99*$D98</f>
        <v/>
      </c>
      <c r="T101" s="72">
        <f>T99*$D98</f>
        <v/>
      </c>
      <c r="U101" s="72">
        <f>U99*$D98</f>
        <v/>
      </c>
      <c r="V101" s="72">
        <f>V99*$D98</f>
        <v/>
      </c>
      <c r="W101" s="72">
        <f>W99*$D98</f>
        <v/>
      </c>
      <c r="X101" s="72">
        <f>X99*$D98</f>
        <v/>
      </c>
      <c r="Y101" s="72">
        <f>Y99*$D98</f>
        <v/>
      </c>
      <c r="Z101" s="72">
        <f>Z99*$D98</f>
        <v/>
      </c>
      <c r="AA101" s="72">
        <f>AA99*$D98</f>
        <v/>
      </c>
      <c r="AB101" s="72">
        <f>AB99*$D98</f>
        <v/>
      </c>
      <c r="AC101" s="72">
        <f>AC99*$D98</f>
        <v/>
      </c>
    </row>
    <row r="102">
      <c r="A102" s="82" t="n"/>
      <c r="B102" s="83" t="n"/>
      <c r="C102" s="84" t="inlineStr">
        <is>
          <t>累計出来高金額</t>
        </is>
      </c>
      <c r="D102" s="85" t="n"/>
      <c r="E102" s="82" t="n"/>
      <c r="F102" s="86" t="n"/>
      <c r="G102" s="87" t="n"/>
      <c r="H102" s="72">
        <f>H101</f>
        <v/>
      </c>
      <c r="I102" s="72">
        <f>H102+I101</f>
        <v/>
      </c>
      <c r="J102" s="72">
        <f>I102+J101</f>
        <v/>
      </c>
      <c r="K102" s="72">
        <f>J102+K101</f>
        <v/>
      </c>
      <c r="L102" s="72">
        <f>K102+L101</f>
        <v/>
      </c>
      <c r="M102" s="72">
        <f>L102+M101</f>
        <v/>
      </c>
      <c r="N102" s="72">
        <f>M102+N101</f>
        <v/>
      </c>
      <c r="O102" s="72">
        <f>N102+O101</f>
        <v/>
      </c>
      <c r="P102" s="72">
        <f>O102+P101</f>
        <v/>
      </c>
      <c r="Q102" s="72">
        <f>P102+Q101</f>
        <v/>
      </c>
      <c r="R102" s="72">
        <f>Q102+R101</f>
        <v/>
      </c>
      <c r="S102" s="72">
        <f>R102+S101</f>
        <v/>
      </c>
      <c r="T102" s="72">
        <f>S102+T101</f>
        <v/>
      </c>
      <c r="U102" s="72">
        <f>T102+U101</f>
        <v/>
      </c>
      <c r="V102" s="72">
        <f>U102+V101</f>
        <v/>
      </c>
      <c r="W102" s="72">
        <f>V102+W101</f>
        <v/>
      </c>
      <c r="X102" s="72">
        <f>W102+X101</f>
        <v/>
      </c>
      <c r="Y102" s="72">
        <f>X102+Y101</f>
        <v/>
      </c>
      <c r="Z102" s="72">
        <f>Y102+Z101</f>
        <v/>
      </c>
      <c r="AA102" s="72">
        <f>Z102+AA101</f>
        <v/>
      </c>
      <c r="AB102" s="72">
        <f>AA102+AB101</f>
        <v/>
      </c>
      <c r="AC102" s="72">
        <f>AB102+AC101</f>
        <v/>
      </c>
    </row>
    <row r="103">
      <c r="A103" s="76" t="inlineStr">
        <is>
          <t>11</t>
        </is>
      </c>
      <c r="B103" s="77" t="inlineStr">
        <is>
          <t>内装工事</t>
        </is>
      </c>
      <c r="C103" s="78" t="inlineStr">
        <is>
          <t>工程</t>
        </is>
      </c>
      <c r="D103" s="79">
        <f>'金額リスト'!C25</f>
        <v/>
      </c>
      <c r="E103" s="76">
        <f>SUMPRODUCT((H103:AC103&lt;&gt;"")*(H$6:AC$6=1))</f>
        <v/>
      </c>
      <c r="F103" s="80">
        <f>SUM(H104:AC104)</f>
        <v/>
      </c>
      <c r="G103" s="81">
        <f>IF(AND(ABS(F103-1)&lt;0.0001,ABS(AC105-1)&lt;0.0001),"OK",IF(E103=0,"工程未設定","NG"))</f>
        <v/>
      </c>
      <c r="H103" s="64" t="n"/>
      <c r="I103" s="64" t="n"/>
      <c r="J103" s="64" t="n"/>
      <c r="K103" s="64" t="n"/>
      <c r="L103" s="64" t="n">
        <v>1</v>
      </c>
      <c r="M103" s="64" t="n">
        <v>1</v>
      </c>
      <c r="N103" s="64" t="n">
        <v>1</v>
      </c>
      <c r="O103" s="64" t="n">
        <v>1</v>
      </c>
      <c r="P103" s="64" t="n"/>
      <c r="Q103" s="64" t="n">
        <v>1</v>
      </c>
      <c r="R103" s="64" t="n">
        <v>1</v>
      </c>
      <c r="S103" s="64" t="n">
        <v>1</v>
      </c>
      <c r="T103" s="64" t="n">
        <v>1</v>
      </c>
      <c r="U103" s="64" t="n">
        <v>1</v>
      </c>
      <c r="V103" s="64" t="n"/>
      <c r="W103" s="64" t="n"/>
      <c r="X103" s="64" t="n"/>
      <c r="Y103" s="64" t="n"/>
      <c r="Z103" s="64" t="n"/>
      <c r="AA103" s="64" t="n"/>
      <c r="AB103" s="64" t="n"/>
      <c r="AC103" s="64" t="n"/>
    </row>
    <row r="104">
      <c r="A104" s="82" t="n"/>
      <c r="B104" s="83" t="n"/>
      <c r="C104" s="84" t="inlineStr">
        <is>
          <t>今週出来高率</t>
        </is>
      </c>
      <c r="D104" s="85" t="n"/>
      <c r="E104" s="82" t="n"/>
      <c r="F104" s="86" t="n"/>
      <c r="G104" s="87" t="n"/>
      <c r="H104" s="71">
        <f>IF(OR($E103=0,H103="",H$6&lt;&gt;1),0,1/$E103)</f>
        <v/>
      </c>
      <c r="I104" s="71">
        <f>IF(OR($E103=0,I103="",I$6&lt;&gt;1),0,1/$E103)</f>
        <v/>
      </c>
      <c r="J104" s="71">
        <f>IF(OR($E103=0,J103="",J$6&lt;&gt;1),0,1/$E103)</f>
        <v/>
      </c>
      <c r="K104" s="71">
        <f>IF(OR($E103=0,K103="",K$6&lt;&gt;1),0,1/$E103)</f>
        <v/>
      </c>
      <c r="L104" s="71">
        <f>IF(OR($E103=0,L103="",L$6&lt;&gt;1),0,1/$E103)</f>
        <v/>
      </c>
      <c r="M104" s="71">
        <f>IF(OR($E103=0,M103="",M$6&lt;&gt;1),0,1/$E103)</f>
        <v/>
      </c>
      <c r="N104" s="71">
        <f>IF(OR($E103=0,N103="",N$6&lt;&gt;1),0,1/$E103)</f>
        <v/>
      </c>
      <c r="O104" s="71">
        <f>IF(OR($E103=0,O103="",O$6&lt;&gt;1),0,1/$E103)</f>
        <v/>
      </c>
      <c r="P104" s="71">
        <f>IF(OR($E103=0,P103="",P$6&lt;&gt;1),0,1/$E103)</f>
        <v/>
      </c>
      <c r="Q104" s="71">
        <f>IF(OR($E103=0,Q103="",Q$6&lt;&gt;1),0,1/$E103)</f>
        <v/>
      </c>
      <c r="R104" s="71">
        <f>IF(OR($E103=0,R103="",R$6&lt;&gt;1),0,1/$E103)</f>
        <v/>
      </c>
      <c r="S104" s="71">
        <f>IF(OR($E103=0,S103="",S$6&lt;&gt;1),0,1/$E103)</f>
        <v/>
      </c>
      <c r="T104" s="71">
        <f>IF(OR($E103=0,T103="",T$6&lt;&gt;1),0,1/$E103)</f>
        <v/>
      </c>
      <c r="U104" s="71">
        <f>IF(OR($E103=0,U103="",U$6&lt;&gt;1),0,1/$E103)</f>
        <v/>
      </c>
      <c r="V104" s="71">
        <f>IF(OR($E103=0,V103="",V$6&lt;&gt;1),0,1/$E103)</f>
        <v/>
      </c>
      <c r="W104" s="71">
        <f>IF(OR($E103=0,W103="",W$6&lt;&gt;1),0,1/$E103)</f>
        <v/>
      </c>
      <c r="X104" s="71">
        <f>IF(OR($E103=0,X103="",X$6&lt;&gt;1),0,1/$E103)</f>
        <v/>
      </c>
      <c r="Y104" s="71">
        <f>IF(OR($E103=0,Y103="",Y$6&lt;&gt;1),0,1/$E103)</f>
        <v/>
      </c>
      <c r="Z104" s="71">
        <f>IF(OR($E103=0,Z103="",Z$6&lt;&gt;1),0,1/$E103)</f>
        <v/>
      </c>
      <c r="AA104" s="71">
        <f>IF(OR($E103=0,AA103="",AA$6&lt;&gt;1),0,1/$E103)</f>
        <v/>
      </c>
      <c r="AB104" s="71">
        <f>IF(OR($E103=0,AB103="",AB$6&lt;&gt;1),0,1/$E103)</f>
        <v/>
      </c>
      <c r="AC104" s="71">
        <f>IF(OR($E103=0,AC103="",AC$6&lt;&gt;1),0,1/$E103)</f>
        <v/>
      </c>
    </row>
    <row r="105">
      <c r="A105" s="82" t="n"/>
      <c r="B105" s="83" t="n"/>
      <c r="C105" s="84" t="inlineStr">
        <is>
          <t>累計出来高率</t>
        </is>
      </c>
      <c r="D105" s="85" t="n"/>
      <c r="E105" s="82" t="n"/>
      <c r="F105" s="86" t="n"/>
      <c r="G105" s="87" t="n"/>
      <c r="H105" s="71">
        <f>H104</f>
        <v/>
      </c>
      <c r="I105" s="71">
        <f>H105+I104</f>
        <v/>
      </c>
      <c r="J105" s="71">
        <f>I105+J104</f>
        <v/>
      </c>
      <c r="K105" s="71">
        <f>J105+K104</f>
        <v/>
      </c>
      <c r="L105" s="71">
        <f>K105+L104</f>
        <v/>
      </c>
      <c r="M105" s="71">
        <f>L105+M104</f>
        <v/>
      </c>
      <c r="N105" s="71">
        <f>M105+N104</f>
        <v/>
      </c>
      <c r="O105" s="71">
        <f>N105+O104</f>
        <v/>
      </c>
      <c r="P105" s="71">
        <f>O105+P104</f>
        <v/>
      </c>
      <c r="Q105" s="71">
        <f>P105+Q104</f>
        <v/>
      </c>
      <c r="R105" s="71">
        <f>Q105+R104</f>
        <v/>
      </c>
      <c r="S105" s="71">
        <f>R105+S104</f>
        <v/>
      </c>
      <c r="T105" s="71">
        <f>S105+T104</f>
        <v/>
      </c>
      <c r="U105" s="71">
        <f>T105+U104</f>
        <v/>
      </c>
      <c r="V105" s="71">
        <f>U105+V104</f>
        <v/>
      </c>
      <c r="W105" s="71">
        <f>V105+W104</f>
        <v/>
      </c>
      <c r="X105" s="71">
        <f>W105+X104</f>
        <v/>
      </c>
      <c r="Y105" s="71">
        <f>X105+Y104</f>
        <v/>
      </c>
      <c r="Z105" s="71">
        <f>Y105+Z104</f>
        <v/>
      </c>
      <c r="AA105" s="71">
        <f>Z105+AA104</f>
        <v/>
      </c>
      <c r="AB105" s="71">
        <f>AA105+AB104</f>
        <v/>
      </c>
      <c r="AC105" s="71">
        <f>AB105+AC104</f>
        <v/>
      </c>
    </row>
    <row r="106">
      <c r="A106" s="82" t="n"/>
      <c r="B106" s="83" t="n"/>
      <c r="C106" s="84" t="inlineStr">
        <is>
          <t>今週出来高金額</t>
        </is>
      </c>
      <c r="D106" s="85" t="n"/>
      <c r="E106" s="82" t="n"/>
      <c r="F106" s="86" t="n"/>
      <c r="G106" s="87" t="n"/>
      <c r="H106" s="72">
        <f>H104*$D103</f>
        <v/>
      </c>
      <c r="I106" s="72">
        <f>I104*$D103</f>
        <v/>
      </c>
      <c r="J106" s="72">
        <f>J104*$D103</f>
        <v/>
      </c>
      <c r="K106" s="72">
        <f>K104*$D103</f>
        <v/>
      </c>
      <c r="L106" s="72">
        <f>L104*$D103</f>
        <v/>
      </c>
      <c r="M106" s="72">
        <f>M104*$D103</f>
        <v/>
      </c>
      <c r="N106" s="72">
        <f>N104*$D103</f>
        <v/>
      </c>
      <c r="O106" s="72">
        <f>O104*$D103</f>
        <v/>
      </c>
      <c r="P106" s="72">
        <f>P104*$D103</f>
        <v/>
      </c>
      <c r="Q106" s="72">
        <f>Q104*$D103</f>
        <v/>
      </c>
      <c r="R106" s="72">
        <f>R104*$D103</f>
        <v/>
      </c>
      <c r="S106" s="72">
        <f>S104*$D103</f>
        <v/>
      </c>
      <c r="T106" s="72">
        <f>T104*$D103</f>
        <v/>
      </c>
      <c r="U106" s="72">
        <f>U104*$D103</f>
        <v/>
      </c>
      <c r="V106" s="72">
        <f>V104*$D103</f>
        <v/>
      </c>
      <c r="W106" s="72">
        <f>W104*$D103</f>
        <v/>
      </c>
      <c r="X106" s="72">
        <f>X104*$D103</f>
        <v/>
      </c>
      <c r="Y106" s="72">
        <f>Y104*$D103</f>
        <v/>
      </c>
      <c r="Z106" s="72">
        <f>Z104*$D103</f>
        <v/>
      </c>
      <c r="AA106" s="72">
        <f>AA104*$D103</f>
        <v/>
      </c>
      <c r="AB106" s="72">
        <f>AB104*$D103</f>
        <v/>
      </c>
      <c r="AC106" s="72">
        <f>AC104*$D103</f>
        <v/>
      </c>
    </row>
    <row r="107">
      <c r="A107" s="82" t="n"/>
      <c r="B107" s="83" t="n"/>
      <c r="C107" s="84" t="inlineStr">
        <is>
          <t>累計出来高金額</t>
        </is>
      </c>
      <c r="D107" s="85" t="n"/>
      <c r="E107" s="82" t="n"/>
      <c r="F107" s="86" t="n"/>
      <c r="G107" s="87" t="n"/>
      <c r="H107" s="72">
        <f>H106</f>
        <v/>
      </c>
      <c r="I107" s="72">
        <f>H107+I106</f>
        <v/>
      </c>
      <c r="J107" s="72">
        <f>I107+J106</f>
        <v/>
      </c>
      <c r="K107" s="72">
        <f>J107+K106</f>
        <v/>
      </c>
      <c r="L107" s="72">
        <f>K107+L106</f>
        <v/>
      </c>
      <c r="M107" s="72">
        <f>L107+M106</f>
        <v/>
      </c>
      <c r="N107" s="72">
        <f>M107+N106</f>
        <v/>
      </c>
      <c r="O107" s="72">
        <f>N107+O106</f>
        <v/>
      </c>
      <c r="P107" s="72">
        <f>O107+P106</f>
        <v/>
      </c>
      <c r="Q107" s="72">
        <f>P107+Q106</f>
        <v/>
      </c>
      <c r="R107" s="72">
        <f>Q107+R106</f>
        <v/>
      </c>
      <c r="S107" s="72">
        <f>R107+S106</f>
        <v/>
      </c>
      <c r="T107" s="72">
        <f>S107+T106</f>
        <v/>
      </c>
      <c r="U107" s="72">
        <f>T107+U106</f>
        <v/>
      </c>
      <c r="V107" s="72">
        <f>U107+V106</f>
        <v/>
      </c>
      <c r="W107" s="72">
        <f>V107+W106</f>
        <v/>
      </c>
      <c r="X107" s="72">
        <f>W107+X106</f>
        <v/>
      </c>
      <c r="Y107" s="72">
        <f>X107+Y106</f>
        <v/>
      </c>
      <c r="Z107" s="72">
        <f>Y107+Z106</f>
        <v/>
      </c>
      <c r="AA107" s="72">
        <f>Z107+AA106</f>
        <v/>
      </c>
      <c r="AB107" s="72">
        <f>AA107+AB106</f>
        <v/>
      </c>
      <c r="AC107" s="72">
        <f>AB107+AC106</f>
        <v/>
      </c>
    </row>
    <row r="108">
      <c r="A108" s="76" t="inlineStr">
        <is>
          <t>12</t>
        </is>
      </c>
      <c r="B108" s="77" t="inlineStr">
        <is>
          <t>雑工事</t>
        </is>
      </c>
      <c r="C108" s="78" t="inlineStr">
        <is>
          <t>工程</t>
        </is>
      </c>
      <c r="D108" s="79">
        <f>'金額リスト'!C26</f>
        <v/>
      </c>
      <c r="E108" s="76">
        <f>SUMPRODUCT((H108:AC108&lt;&gt;"")*(H$6:AC$6=1))</f>
        <v/>
      </c>
      <c r="F108" s="80">
        <f>SUM(H109:AC109)</f>
        <v/>
      </c>
      <c r="G108" s="81">
        <f>IF(AND(ABS(F108-1)&lt;0.0001,ABS(AC110-1)&lt;0.0001),"OK",IF(E108=0,"工程未設定","NG"))</f>
        <v/>
      </c>
      <c r="H108" s="64" t="n"/>
      <c r="I108" s="64" t="n"/>
      <c r="J108" s="64" t="n"/>
      <c r="K108" s="64" t="n"/>
      <c r="L108" s="64" t="n"/>
      <c r="M108" s="64" t="n"/>
      <c r="N108" s="64" t="n">
        <v>1</v>
      </c>
      <c r="O108" s="64" t="n"/>
      <c r="P108" s="64" t="n"/>
      <c r="Q108" s="64" t="n">
        <v>1</v>
      </c>
      <c r="R108" s="64" t="n"/>
      <c r="S108" s="64" t="n"/>
      <c r="T108" s="64" t="n"/>
      <c r="U108" s="64" t="n"/>
      <c r="V108" s="64" t="n"/>
      <c r="W108" s="64" t="n"/>
      <c r="X108" s="64" t="n"/>
      <c r="Y108" s="64" t="n"/>
      <c r="Z108" s="64" t="n"/>
      <c r="AA108" s="64" t="n">
        <v>1</v>
      </c>
      <c r="AB108" s="64" t="n">
        <v>1</v>
      </c>
      <c r="AC108" s="64" t="n">
        <v>1</v>
      </c>
    </row>
    <row r="109">
      <c r="A109" s="82" t="n"/>
      <c r="B109" s="83" t="n"/>
      <c r="C109" s="84" t="inlineStr">
        <is>
          <t>今週出来高率</t>
        </is>
      </c>
      <c r="D109" s="85" t="n"/>
      <c r="E109" s="82" t="n"/>
      <c r="F109" s="86" t="n"/>
      <c r="G109" s="87" t="n"/>
      <c r="H109" s="71">
        <f>IF(OR($E108=0,H108="",H$6&lt;&gt;1),0,1/$E108)</f>
        <v/>
      </c>
      <c r="I109" s="71">
        <f>IF(OR($E108=0,I108="",I$6&lt;&gt;1),0,1/$E108)</f>
        <v/>
      </c>
      <c r="J109" s="71">
        <f>IF(OR($E108=0,J108="",J$6&lt;&gt;1),0,1/$E108)</f>
        <v/>
      </c>
      <c r="K109" s="71">
        <f>IF(OR($E108=0,K108="",K$6&lt;&gt;1),0,1/$E108)</f>
        <v/>
      </c>
      <c r="L109" s="71">
        <f>IF(OR($E108=0,L108="",L$6&lt;&gt;1),0,1/$E108)</f>
        <v/>
      </c>
      <c r="M109" s="71">
        <f>IF(OR($E108=0,M108="",M$6&lt;&gt;1),0,1/$E108)</f>
        <v/>
      </c>
      <c r="N109" s="71">
        <f>IF(OR($E108=0,N108="",N$6&lt;&gt;1),0,1/$E108)</f>
        <v/>
      </c>
      <c r="O109" s="71">
        <f>IF(OR($E108=0,O108="",O$6&lt;&gt;1),0,1/$E108)</f>
        <v/>
      </c>
      <c r="P109" s="71">
        <f>IF(OR($E108=0,P108="",P$6&lt;&gt;1),0,1/$E108)</f>
        <v/>
      </c>
      <c r="Q109" s="71">
        <f>IF(OR($E108=0,Q108="",Q$6&lt;&gt;1),0,1/$E108)</f>
        <v/>
      </c>
      <c r="R109" s="71">
        <f>IF(OR($E108=0,R108="",R$6&lt;&gt;1),0,1/$E108)</f>
        <v/>
      </c>
      <c r="S109" s="71">
        <f>IF(OR($E108=0,S108="",S$6&lt;&gt;1),0,1/$E108)</f>
        <v/>
      </c>
      <c r="T109" s="71">
        <f>IF(OR($E108=0,T108="",T$6&lt;&gt;1),0,1/$E108)</f>
        <v/>
      </c>
      <c r="U109" s="71">
        <f>IF(OR($E108=0,U108="",U$6&lt;&gt;1),0,1/$E108)</f>
        <v/>
      </c>
      <c r="V109" s="71">
        <f>IF(OR($E108=0,V108="",V$6&lt;&gt;1),0,1/$E108)</f>
        <v/>
      </c>
      <c r="W109" s="71">
        <f>IF(OR($E108=0,W108="",W$6&lt;&gt;1),0,1/$E108)</f>
        <v/>
      </c>
      <c r="X109" s="71">
        <f>IF(OR($E108=0,X108="",X$6&lt;&gt;1),0,1/$E108)</f>
        <v/>
      </c>
      <c r="Y109" s="71">
        <f>IF(OR($E108=0,Y108="",Y$6&lt;&gt;1),0,1/$E108)</f>
        <v/>
      </c>
      <c r="Z109" s="71">
        <f>IF(OR($E108=0,Z108="",Z$6&lt;&gt;1),0,1/$E108)</f>
        <v/>
      </c>
      <c r="AA109" s="71">
        <f>IF(OR($E108=0,AA108="",AA$6&lt;&gt;1),0,1/$E108)</f>
        <v/>
      </c>
      <c r="AB109" s="71">
        <f>IF(OR($E108=0,AB108="",AB$6&lt;&gt;1),0,1/$E108)</f>
        <v/>
      </c>
      <c r="AC109" s="71">
        <f>IF(OR($E108=0,AC108="",AC$6&lt;&gt;1),0,1/$E108)</f>
        <v/>
      </c>
    </row>
    <row r="110">
      <c r="A110" s="82" t="n"/>
      <c r="B110" s="83" t="n"/>
      <c r="C110" s="84" t="inlineStr">
        <is>
          <t>累計出来高率</t>
        </is>
      </c>
      <c r="D110" s="85" t="n"/>
      <c r="E110" s="82" t="n"/>
      <c r="F110" s="86" t="n"/>
      <c r="G110" s="87" t="n"/>
      <c r="H110" s="71">
        <f>H109</f>
        <v/>
      </c>
      <c r="I110" s="71">
        <f>H110+I109</f>
        <v/>
      </c>
      <c r="J110" s="71">
        <f>I110+J109</f>
        <v/>
      </c>
      <c r="K110" s="71">
        <f>J110+K109</f>
        <v/>
      </c>
      <c r="L110" s="71">
        <f>K110+L109</f>
        <v/>
      </c>
      <c r="M110" s="71">
        <f>L110+M109</f>
        <v/>
      </c>
      <c r="N110" s="71">
        <f>M110+N109</f>
        <v/>
      </c>
      <c r="O110" s="71">
        <f>N110+O109</f>
        <v/>
      </c>
      <c r="P110" s="71">
        <f>O110+P109</f>
        <v/>
      </c>
      <c r="Q110" s="71">
        <f>P110+Q109</f>
        <v/>
      </c>
      <c r="R110" s="71">
        <f>Q110+R109</f>
        <v/>
      </c>
      <c r="S110" s="71">
        <f>R110+S109</f>
        <v/>
      </c>
      <c r="T110" s="71">
        <f>S110+T109</f>
        <v/>
      </c>
      <c r="U110" s="71">
        <f>T110+U109</f>
        <v/>
      </c>
      <c r="V110" s="71">
        <f>U110+V109</f>
        <v/>
      </c>
      <c r="W110" s="71">
        <f>V110+W109</f>
        <v/>
      </c>
      <c r="X110" s="71">
        <f>W110+X109</f>
        <v/>
      </c>
      <c r="Y110" s="71">
        <f>X110+Y109</f>
        <v/>
      </c>
      <c r="Z110" s="71">
        <f>Y110+Z109</f>
        <v/>
      </c>
      <c r="AA110" s="71">
        <f>Z110+AA109</f>
        <v/>
      </c>
      <c r="AB110" s="71">
        <f>AA110+AB109</f>
        <v/>
      </c>
      <c r="AC110" s="71">
        <f>AB110+AC109</f>
        <v/>
      </c>
    </row>
    <row r="111">
      <c r="A111" s="82" t="n"/>
      <c r="B111" s="83" t="n"/>
      <c r="C111" s="84" t="inlineStr">
        <is>
          <t>今週出来高金額</t>
        </is>
      </c>
      <c r="D111" s="85" t="n"/>
      <c r="E111" s="82" t="n"/>
      <c r="F111" s="86" t="n"/>
      <c r="G111" s="87" t="n"/>
      <c r="H111" s="72">
        <f>H109*$D108</f>
        <v/>
      </c>
      <c r="I111" s="72">
        <f>I109*$D108</f>
        <v/>
      </c>
      <c r="J111" s="72">
        <f>J109*$D108</f>
        <v/>
      </c>
      <c r="K111" s="72">
        <f>K109*$D108</f>
        <v/>
      </c>
      <c r="L111" s="72">
        <f>L109*$D108</f>
        <v/>
      </c>
      <c r="M111" s="72">
        <f>M109*$D108</f>
        <v/>
      </c>
      <c r="N111" s="72">
        <f>N109*$D108</f>
        <v/>
      </c>
      <c r="O111" s="72">
        <f>O109*$D108</f>
        <v/>
      </c>
      <c r="P111" s="72">
        <f>P109*$D108</f>
        <v/>
      </c>
      <c r="Q111" s="72">
        <f>Q109*$D108</f>
        <v/>
      </c>
      <c r="R111" s="72">
        <f>R109*$D108</f>
        <v/>
      </c>
      <c r="S111" s="72">
        <f>S109*$D108</f>
        <v/>
      </c>
      <c r="T111" s="72">
        <f>T109*$D108</f>
        <v/>
      </c>
      <c r="U111" s="72">
        <f>U109*$D108</f>
        <v/>
      </c>
      <c r="V111" s="72">
        <f>V109*$D108</f>
        <v/>
      </c>
      <c r="W111" s="72">
        <f>W109*$D108</f>
        <v/>
      </c>
      <c r="X111" s="72">
        <f>X109*$D108</f>
        <v/>
      </c>
      <c r="Y111" s="72">
        <f>Y109*$D108</f>
        <v/>
      </c>
      <c r="Z111" s="72">
        <f>Z109*$D108</f>
        <v/>
      </c>
      <c r="AA111" s="72">
        <f>AA109*$D108</f>
        <v/>
      </c>
      <c r="AB111" s="72">
        <f>AB109*$D108</f>
        <v/>
      </c>
      <c r="AC111" s="72">
        <f>AC109*$D108</f>
        <v/>
      </c>
    </row>
    <row r="112">
      <c r="A112" s="82" t="n"/>
      <c r="B112" s="83" t="n"/>
      <c r="C112" s="84" t="inlineStr">
        <is>
          <t>累計出来高金額</t>
        </is>
      </c>
      <c r="D112" s="85" t="n"/>
      <c r="E112" s="82" t="n"/>
      <c r="F112" s="86" t="n"/>
      <c r="G112" s="87" t="n"/>
      <c r="H112" s="72">
        <f>H111</f>
        <v/>
      </c>
      <c r="I112" s="72">
        <f>H112+I111</f>
        <v/>
      </c>
      <c r="J112" s="72">
        <f>I112+J111</f>
        <v/>
      </c>
      <c r="K112" s="72">
        <f>J112+K111</f>
        <v/>
      </c>
      <c r="L112" s="72">
        <f>K112+L111</f>
        <v/>
      </c>
      <c r="M112" s="72">
        <f>L112+M111</f>
        <v/>
      </c>
      <c r="N112" s="72">
        <f>M112+N111</f>
        <v/>
      </c>
      <c r="O112" s="72">
        <f>N112+O111</f>
        <v/>
      </c>
      <c r="P112" s="72">
        <f>O112+P111</f>
        <v/>
      </c>
      <c r="Q112" s="72">
        <f>P112+Q111</f>
        <v/>
      </c>
      <c r="R112" s="72">
        <f>Q112+R111</f>
        <v/>
      </c>
      <c r="S112" s="72">
        <f>R112+S111</f>
        <v/>
      </c>
      <c r="T112" s="72">
        <f>S112+T111</f>
        <v/>
      </c>
      <c r="U112" s="72">
        <f>T112+U111</f>
        <v/>
      </c>
      <c r="V112" s="72">
        <f>U112+V111</f>
        <v/>
      </c>
      <c r="W112" s="72">
        <f>V112+W111</f>
        <v/>
      </c>
      <c r="X112" s="72">
        <f>W112+X111</f>
        <v/>
      </c>
      <c r="Y112" s="72">
        <f>X112+Y111</f>
        <v/>
      </c>
      <c r="Z112" s="72">
        <f>Y112+Z111</f>
        <v/>
      </c>
      <c r="AA112" s="72">
        <f>Z112+AA111</f>
        <v/>
      </c>
      <c r="AB112" s="72">
        <f>AA112+AB111</f>
        <v/>
      </c>
      <c r="AC112" s="72">
        <f>AB112+AC111</f>
        <v/>
      </c>
    </row>
    <row r="113">
      <c r="A113" s="58" t="inlineStr">
        <is>
          <t>c)-2</t>
        </is>
      </c>
      <c r="B113" s="59" t="inlineStr">
        <is>
          <t>電気設備工事</t>
        </is>
      </c>
      <c r="C113" s="60" t="inlineStr">
        <is>
          <t>工程</t>
        </is>
      </c>
      <c r="D113" s="61">
        <f>'金額リスト'!C28</f>
        <v/>
      </c>
      <c r="E113" s="58">
        <f>SUMPRODUCT((H113:AC113&lt;&gt;"")*(H$6:AC$6=1))</f>
        <v/>
      </c>
      <c r="F113" s="62">
        <f>SUM(H114:AC114)</f>
        <v/>
      </c>
      <c r="G113" s="63">
        <f>IF(AND(ABS(F113-1)&lt;0.0001,ABS(AC115-1)&lt;0.0001),"OK",IF(E113=0,"工程未設定","NG"))</f>
        <v/>
      </c>
      <c r="H113" s="64" t="n"/>
      <c r="I113" s="64" t="n"/>
      <c r="J113" s="64" t="n"/>
      <c r="K113" s="64" t="n">
        <v>1</v>
      </c>
      <c r="L113" s="64" t="n">
        <v>1</v>
      </c>
      <c r="M113" s="64" t="n"/>
      <c r="N113" s="64" t="n">
        <v>1</v>
      </c>
      <c r="O113" s="64" t="n">
        <v>1</v>
      </c>
      <c r="P113" s="64" t="n"/>
      <c r="Q113" s="64" t="n">
        <v>1</v>
      </c>
      <c r="R113" s="64" t="n">
        <v>1</v>
      </c>
      <c r="S113" s="64" t="n"/>
      <c r="T113" s="64" t="n"/>
      <c r="U113" s="64" t="n">
        <v>1</v>
      </c>
      <c r="V113" s="64" t="n">
        <v>1</v>
      </c>
      <c r="W113" s="64" t="n">
        <v>1</v>
      </c>
      <c r="X113" s="64" t="n"/>
      <c r="Y113" s="64" t="n"/>
      <c r="Z113" s="64" t="n"/>
      <c r="AA113" s="64" t="n">
        <v>1</v>
      </c>
      <c r="AB113" s="64" t="n">
        <v>1</v>
      </c>
      <c r="AC113" s="64" t="n">
        <v>1</v>
      </c>
    </row>
    <row r="114">
      <c r="A114" s="65" t="n"/>
      <c r="B114" s="66" t="n"/>
      <c r="C114" s="67" t="inlineStr">
        <is>
          <t>今週出来高率</t>
        </is>
      </c>
      <c r="D114" s="68" t="n"/>
      <c r="E114" s="65" t="n"/>
      <c r="F114" s="69" t="n"/>
      <c r="G114" s="70" t="n"/>
      <c r="H114" s="71">
        <f>IF(OR($E113=0,H113="",H$6&lt;&gt;1),0,1/$E113)</f>
        <v/>
      </c>
      <c r="I114" s="71">
        <f>IF(OR($E113=0,I113="",I$6&lt;&gt;1),0,1/$E113)</f>
        <v/>
      </c>
      <c r="J114" s="71">
        <f>IF(OR($E113=0,J113="",J$6&lt;&gt;1),0,1/$E113)</f>
        <v/>
      </c>
      <c r="K114" s="71">
        <f>IF(OR($E113=0,K113="",K$6&lt;&gt;1),0,1/$E113)</f>
        <v/>
      </c>
      <c r="L114" s="71">
        <f>IF(OR($E113=0,L113="",L$6&lt;&gt;1),0,1/$E113)</f>
        <v/>
      </c>
      <c r="M114" s="71">
        <f>IF(OR($E113=0,M113="",M$6&lt;&gt;1),0,1/$E113)</f>
        <v/>
      </c>
      <c r="N114" s="71">
        <f>IF(OR($E113=0,N113="",N$6&lt;&gt;1),0,1/$E113)</f>
        <v/>
      </c>
      <c r="O114" s="71">
        <f>IF(OR($E113=0,O113="",O$6&lt;&gt;1),0,1/$E113)</f>
        <v/>
      </c>
      <c r="P114" s="71">
        <f>IF(OR($E113=0,P113="",P$6&lt;&gt;1),0,1/$E113)</f>
        <v/>
      </c>
      <c r="Q114" s="71">
        <f>IF(OR($E113=0,Q113="",Q$6&lt;&gt;1),0,1/$E113)</f>
        <v/>
      </c>
      <c r="R114" s="71">
        <f>IF(OR($E113=0,R113="",R$6&lt;&gt;1),0,1/$E113)</f>
        <v/>
      </c>
      <c r="S114" s="71">
        <f>IF(OR($E113=0,S113="",S$6&lt;&gt;1),0,1/$E113)</f>
        <v/>
      </c>
      <c r="T114" s="71">
        <f>IF(OR($E113=0,T113="",T$6&lt;&gt;1),0,1/$E113)</f>
        <v/>
      </c>
      <c r="U114" s="71">
        <f>IF(OR($E113=0,U113="",U$6&lt;&gt;1),0,1/$E113)</f>
        <v/>
      </c>
      <c r="V114" s="71">
        <f>IF(OR($E113=0,V113="",V$6&lt;&gt;1),0,1/$E113)</f>
        <v/>
      </c>
      <c r="W114" s="71">
        <f>IF(OR($E113=0,W113="",W$6&lt;&gt;1),0,1/$E113)</f>
        <v/>
      </c>
      <c r="X114" s="71">
        <f>IF(OR($E113=0,X113="",X$6&lt;&gt;1),0,1/$E113)</f>
        <v/>
      </c>
      <c r="Y114" s="71">
        <f>IF(OR($E113=0,Y113="",Y$6&lt;&gt;1),0,1/$E113)</f>
        <v/>
      </c>
      <c r="Z114" s="71">
        <f>IF(OR($E113=0,Z113="",Z$6&lt;&gt;1),0,1/$E113)</f>
        <v/>
      </c>
      <c r="AA114" s="71">
        <f>IF(OR($E113=0,AA113="",AA$6&lt;&gt;1),0,1/$E113)</f>
        <v/>
      </c>
      <c r="AB114" s="71">
        <f>IF(OR($E113=0,AB113="",AB$6&lt;&gt;1),0,1/$E113)</f>
        <v/>
      </c>
      <c r="AC114" s="71">
        <f>IF(OR($E113=0,AC113="",AC$6&lt;&gt;1),0,1/$E113)</f>
        <v/>
      </c>
    </row>
    <row r="115">
      <c r="A115" s="65" t="n"/>
      <c r="B115" s="66" t="n"/>
      <c r="C115" s="67" t="inlineStr">
        <is>
          <t>累計出来高率</t>
        </is>
      </c>
      <c r="D115" s="68" t="n"/>
      <c r="E115" s="65" t="n"/>
      <c r="F115" s="69" t="n"/>
      <c r="G115" s="70" t="n"/>
      <c r="H115" s="71">
        <f>H114</f>
        <v/>
      </c>
      <c r="I115" s="71">
        <f>H115+I114</f>
        <v/>
      </c>
      <c r="J115" s="71">
        <f>I115+J114</f>
        <v/>
      </c>
      <c r="K115" s="71">
        <f>J115+K114</f>
        <v/>
      </c>
      <c r="L115" s="71">
        <f>K115+L114</f>
        <v/>
      </c>
      <c r="M115" s="71">
        <f>L115+M114</f>
        <v/>
      </c>
      <c r="N115" s="71">
        <f>M115+N114</f>
        <v/>
      </c>
      <c r="O115" s="71">
        <f>N115+O114</f>
        <v/>
      </c>
      <c r="P115" s="71">
        <f>O115+P114</f>
        <v/>
      </c>
      <c r="Q115" s="71">
        <f>P115+Q114</f>
        <v/>
      </c>
      <c r="R115" s="71">
        <f>Q115+R114</f>
        <v/>
      </c>
      <c r="S115" s="71">
        <f>R115+S114</f>
        <v/>
      </c>
      <c r="T115" s="71">
        <f>S115+T114</f>
        <v/>
      </c>
      <c r="U115" s="71">
        <f>T115+U114</f>
        <v/>
      </c>
      <c r="V115" s="71">
        <f>U115+V114</f>
        <v/>
      </c>
      <c r="W115" s="71">
        <f>V115+W114</f>
        <v/>
      </c>
      <c r="X115" s="71">
        <f>W115+X114</f>
        <v/>
      </c>
      <c r="Y115" s="71">
        <f>X115+Y114</f>
        <v/>
      </c>
      <c r="Z115" s="71">
        <f>Y115+Z114</f>
        <v/>
      </c>
      <c r="AA115" s="71">
        <f>Z115+AA114</f>
        <v/>
      </c>
      <c r="AB115" s="71">
        <f>AA115+AB114</f>
        <v/>
      </c>
      <c r="AC115" s="71">
        <f>AB115+AC114</f>
        <v/>
      </c>
    </row>
    <row r="116">
      <c r="A116" s="65" t="n"/>
      <c r="B116" s="66" t="n"/>
      <c r="C116" s="67" t="inlineStr">
        <is>
          <t>今週出来高金額</t>
        </is>
      </c>
      <c r="D116" s="68" t="n"/>
      <c r="E116" s="65" t="n"/>
      <c r="F116" s="69" t="n"/>
      <c r="G116" s="70" t="n"/>
      <c r="H116" s="72">
        <f>H114*$D113</f>
        <v/>
      </c>
      <c r="I116" s="72">
        <f>I114*$D113</f>
        <v/>
      </c>
      <c r="J116" s="72">
        <f>J114*$D113</f>
        <v/>
      </c>
      <c r="K116" s="72">
        <f>K114*$D113</f>
        <v/>
      </c>
      <c r="L116" s="72">
        <f>L114*$D113</f>
        <v/>
      </c>
      <c r="M116" s="72">
        <f>M114*$D113</f>
        <v/>
      </c>
      <c r="N116" s="72">
        <f>N114*$D113</f>
        <v/>
      </c>
      <c r="O116" s="72">
        <f>O114*$D113</f>
        <v/>
      </c>
      <c r="P116" s="72">
        <f>P114*$D113</f>
        <v/>
      </c>
      <c r="Q116" s="72">
        <f>Q114*$D113</f>
        <v/>
      </c>
      <c r="R116" s="72">
        <f>R114*$D113</f>
        <v/>
      </c>
      <c r="S116" s="72">
        <f>S114*$D113</f>
        <v/>
      </c>
      <c r="T116" s="72">
        <f>T114*$D113</f>
        <v/>
      </c>
      <c r="U116" s="72">
        <f>U114*$D113</f>
        <v/>
      </c>
      <c r="V116" s="72">
        <f>V114*$D113</f>
        <v/>
      </c>
      <c r="W116" s="72">
        <f>W114*$D113</f>
        <v/>
      </c>
      <c r="X116" s="72">
        <f>X114*$D113</f>
        <v/>
      </c>
      <c r="Y116" s="72">
        <f>Y114*$D113</f>
        <v/>
      </c>
      <c r="Z116" s="72">
        <f>Z114*$D113</f>
        <v/>
      </c>
      <c r="AA116" s="72">
        <f>AA114*$D113</f>
        <v/>
      </c>
      <c r="AB116" s="72">
        <f>AB114*$D113</f>
        <v/>
      </c>
      <c r="AC116" s="72">
        <f>AC114*$D113</f>
        <v/>
      </c>
    </row>
    <row r="117">
      <c r="A117" s="65" t="n"/>
      <c r="B117" s="66" t="n"/>
      <c r="C117" s="67" t="inlineStr">
        <is>
          <t>累計出来高金額</t>
        </is>
      </c>
      <c r="D117" s="68" t="n"/>
      <c r="E117" s="65" t="n"/>
      <c r="F117" s="69" t="n"/>
      <c r="G117" s="70" t="n"/>
      <c r="H117" s="72">
        <f>H116</f>
        <v/>
      </c>
      <c r="I117" s="72">
        <f>H117+I116</f>
        <v/>
      </c>
      <c r="J117" s="72">
        <f>I117+J116</f>
        <v/>
      </c>
      <c r="K117" s="72">
        <f>J117+K116</f>
        <v/>
      </c>
      <c r="L117" s="72">
        <f>K117+L116</f>
        <v/>
      </c>
      <c r="M117" s="72">
        <f>L117+M116</f>
        <v/>
      </c>
      <c r="N117" s="72">
        <f>M117+N116</f>
        <v/>
      </c>
      <c r="O117" s="72">
        <f>N117+O116</f>
        <v/>
      </c>
      <c r="P117" s="72">
        <f>O117+P116</f>
        <v/>
      </c>
      <c r="Q117" s="72">
        <f>P117+Q116</f>
        <v/>
      </c>
      <c r="R117" s="72">
        <f>Q117+R116</f>
        <v/>
      </c>
      <c r="S117" s="72">
        <f>R117+S116</f>
        <v/>
      </c>
      <c r="T117" s="72">
        <f>S117+T116</f>
        <v/>
      </c>
      <c r="U117" s="72">
        <f>T117+U116</f>
        <v/>
      </c>
      <c r="V117" s="72">
        <f>U117+V116</f>
        <v/>
      </c>
      <c r="W117" s="72">
        <f>V117+W116</f>
        <v/>
      </c>
      <c r="X117" s="72">
        <f>W117+X116</f>
        <v/>
      </c>
      <c r="Y117" s="72">
        <f>X117+Y116</f>
        <v/>
      </c>
      <c r="Z117" s="72">
        <f>Y117+Z116</f>
        <v/>
      </c>
      <c r="AA117" s="72">
        <f>Z117+AA116</f>
        <v/>
      </c>
      <c r="AB117" s="72">
        <f>AA117+AB116</f>
        <v/>
      </c>
      <c r="AC117" s="72">
        <f>AB117+AC116</f>
        <v/>
      </c>
    </row>
    <row r="118">
      <c r="A118" s="58" t="inlineStr">
        <is>
          <t>c)-3</t>
        </is>
      </c>
      <c r="B118" s="59" t="inlineStr">
        <is>
          <t>空気調和設備工事</t>
        </is>
      </c>
      <c r="C118" s="60" t="inlineStr">
        <is>
          <t>工程</t>
        </is>
      </c>
      <c r="D118" s="61">
        <f>'金額リスト'!C29</f>
        <v/>
      </c>
      <c r="E118" s="58">
        <f>SUMPRODUCT((H118:AC118&lt;&gt;"")*(H$6:AC$6=1))</f>
        <v/>
      </c>
      <c r="F118" s="62">
        <f>SUM(H119:AC119)</f>
        <v/>
      </c>
      <c r="G118" s="63">
        <f>IF(AND(ABS(F118-1)&lt;0.0001,ABS(AC120-1)&lt;0.0001),"OK",IF(E118=0,"工程未設定","NG"))</f>
        <v/>
      </c>
      <c r="H118" s="64" t="n"/>
      <c r="I118" s="64" t="n"/>
      <c r="J118" s="64" t="n"/>
      <c r="K118" s="64" t="n">
        <v>1</v>
      </c>
      <c r="L118" s="64" t="n">
        <v>1</v>
      </c>
      <c r="M118" s="64" t="n"/>
      <c r="N118" s="64" t="n">
        <v>1</v>
      </c>
      <c r="O118" s="64" t="n">
        <v>1</v>
      </c>
      <c r="P118" s="64" t="n"/>
      <c r="Q118" s="64" t="n">
        <v>1</v>
      </c>
      <c r="R118" s="64" t="n">
        <v>1</v>
      </c>
      <c r="S118" s="64" t="n"/>
      <c r="T118" s="64" t="n"/>
      <c r="U118" s="64" t="n">
        <v>1</v>
      </c>
      <c r="V118" s="64" t="n">
        <v>1</v>
      </c>
      <c r="W118" s="64" t="n">
        <v>1</v>
      </c>
      <c r="X118" s="64" t="n"/>
      <c r="Y118" s="64" t="n"/>
      <c r="Z118" s="64" t="n"/>
      <c r="AA118" s="64" t="n">
        <v>1</v>
      </c>
      <c r="AB118" s="64" t="n">
        <v>1</v>
      </c>
      <c r="AC118" s="64" t="n">
        <v>1</v>
      </c>
    </row>
    <row r="119">
      <c r="A119" s="65" t="n"/>
      <c r="B119" s="66" t="n"/>
      <c r="C119" s="67" t="inlineStr">
        <is>
          <t>今週出来高率</t>
        </is>
      </c>
      <c r="D119" s="68" t="n"/>
      <c r="E119" s="65" t="n"/>
      <c r="F119" s="69" t="n"/>
      <c r="G119" s="70" t="n"/>
      <c r="H119" s="71">
        <f>IF(OR($E118=0,H118="",H$6&lt;&gt;1),0,1/$E118)</f>
        <v/>
      </c>
      <c r="I119" s="71">
        <f>IF(OR($E118=0,I118="",I$6&lt;&gt;1),0,1/$E118)</f>
        <v/>
      </c>
      <c r="J119" s="71">
        <f>IF(OR($E118=0,J118="",J$6&lt;&gt;1),0,1/$E118)</f>
        <v/>
      </c>
      <c r="K119" s="71">
        <f>IF(OR($E118=0,K118="",K$6&lt;&gt;1),0,1/$E118)</f>
        <v/>
      </c>
      <c r="L119" s="71">
        <f>IF(OR($E118=0,L118="",L$6&lt;&gt;1),0,1/$E118)</f>
        <v/>
      </c>
      <c r="M119" s="71">
        <f>IF(OR($E118=0,M118="",M$6&lt;&gt;1),0,1/$E118)</f>
        <v/>
      </c>
      <c r="N119" s="71">
        <f>IF(OR($E118=0,N118="",N$6&lt;&gt;1),0,1/$E118)</f>
        <v/>
      </c>
      <c r="O119" s="71">
        <f>IF(OR($E118=0,O118="",O$6&lt;&gt;1),0,1/$E118)</f>
        <v/>
      </c>
      <c r="P119" s="71">
        <f>IF(OR($E118=0,P118="",P$6&lt;&gt;1),0,1/$E118)</f>
        <v/>
      </c>
      <c r="Q119" s="71">
        <f>IF(OR($E118=0,Q118="",Q$6&lt;&gt;1),0,1/$E118)</f>
        <v/>
      </c>
      <c r="R119" s="71">
        <f>IF(OR($E118=0,R118="",R$6&lt;&gt;1),0,1/$E118)</f>
        <v/>
      </c>
      <c r="S119" s="71">
        <f>IF(OR($E118=0,S118="",S$6&lt;&gt;1),0,1/$E118)</f>
        <v/>
      </c>
      <c r="T119" s="71">
        <f>IF(OR($E118=0,T118="",T$6&lt;&gt;1),0,1/$E118)</f>
        <v/>
      </c>
      <c r="U119" s="71">
        <f>IF(OR($E118=0,U118="",U$6&lt;&gt;1),0,1/$E118)</f>
        <v/>
      </c>
      <c r="V119" s="71">
        <f>IF(OR($E118=0,V118="",V$6&lt;&gt;1),0,1/$E118)</f>
        <v/>
      </c>
      <c r="W119" s="71">
        <f>IF(OR($E118=0,W118="",W$6&lt;&gt;1),0,1/$E118)</f>
        <v/>
      </c>
      <c r="X119" s="71">
        <f>IF(OR($E118=0,X118="",X$6&lt;&gt;1),0,1/$E118)</f>
        <v/>
      </c>
      <c r="Y119" s="71">
        <f>IF(OR($E118=0,Y118="",Y$6&lt;&gt;1),0,1/$E118)</f>
        <v/>
      </c>
      <c r="Z119" s="71">
        <f>IF(OR($E118=0,Z118="",Z$6&lt;&gt;1),0,1/$E118)</f>
        <v/>
      </c>
      <c r="AA119" s="71">
        <f>IF(OR($E118=0,AA118="",AA$6&lt;&gt;1),0,1/$E118)</f>
        <v/>
      </c>
      <c r="AB119" s="71">
        <f>IF(OR($E118=0,AB118="",AB$6&lt;&gt;1),0,1/$E118)</f>
        <v/>
      </c>
      <c r="AC119" s="71">
        <f>IF(OR($E118=0,AC118="",AC$6&lt;&gt;1),0,1/$E118)</f>
        <v/>
      </c>
    </row>
    <row r="120">
      <c r="A120" s="65" t="n"/>
      <c r="B120" s="66" t="n"/>
      <c r="C120" s="67" t="inlineStr">
        <is>
          <t>累計出来高率</t>
        </is>
      </c>
      <c r="D120" s="68" t="n"/>
      <c r="E120" s="65" t="n"/>
      <c r="F120" s="69" t="n"/>
      <c r="G120" s="70" t="n"/>
      <c r="H120" s="71">
        <f>H119</f>
        <v/>
      </c>
      <c r="I120" s="71">
        <f>H120+I119</f>
        <v/>
      </c>
      <c r="J120" s="71">
        <f>I120+J119</f>
        <v/>
      </c>
      <c r="K120" s="71">
        <f>J120+K119</f>
        <v/>
      </c>
      <c r="L120" s="71">
        <f>K120+L119</f>
        <v/>
      </c>
      <c r="M120" s="71">
        <f>L120+M119</f>
        <v/>
      </c>
      <c r="N120" s="71">
        <f>M120+N119</f>
        <v/>
      </c>
      <c r="O120" s="71">
        <f>N120+O119</f>
        <v/>
      </c>
      <c r="P120" s="71">
        <f>O120+P119</f>
        <v/>
      </c>
      <c r="Q120" s="71">
        <f>P120+Q119</f>
        <v/>
      </c>
      <c r="R120" s="71">
        <f>Q120+R119</f>
        <v/>
      </c>
      <c r="S120" s="71">
        <f>R120+S119</f>
        <v/>
      </c>
      <c r="T120" s="71">
        <f>S120+T119</f>
        <v/>
      </c>
      <c r="U120" s="71">
        <f>T120+U119</f>
        <v/>
      </c>
      <c r="V120" s="71">
        <f>U120+V119</f>
        <v/>
      </c>
      <c r="W120" s="71">
        <f>V120+W119</f>
        <v/>
      </c>
      <c r="X120" s="71">
        <f>W120+X119</f>
        <v/>
      </c>
      <c r="Y120" s="71">
        <f>X120+Y119</f>
        <v/>
      </c>
      <c r="Z120" s="71">
        <f>Y120+Z119</f>
        <v/>
      </c>
      <c r="AA120" s="71">
        <f>Z120+AA119</f>
        <v/>
      </c>
      <c r="AB120" s="71">
        <f>AA120+AB119</f>
        <v/>
      </c>
      <c r="AC120" s="71">
        <f>AB120+AC119</f>
        <v/>
      </c>
    </row>
    <row r="121">
      <c r="A121" s="65" t="n"/>
      <c r="B121" s="66" t="n"/>
      <c r="C121" s="67" t="inlineStr">
        <is>
          <t>今週出来高金額</t>
        </is>
      </c>
      <c r="D121" s="68" t="n"/>
      <c r="E121" s="65" t="n"/>
      <c r="F121" s="69" t="n"/>
      <c r="G121" s="70" t="n"/>
      <c r="H121" s="72">
        <f>H119*$D118</f>
        <v/>
      </c>
      <c r="I121" s="72">
        <f>I119*$D118</f>
        <v/>
      </c>
      <c r="J121" s="72">
        <f>J119*$D118</f>
        <v/>
      </c>
      <c r="K121" s="72">
        <f>K119*$D118</f>
        <v/>
      </c>
      <c r="L121" s="72">
        <f>L119*$D118</f>
        <v/>
      </c>
      <c r="M121" s="72">
        <f>M119*$D118</f>
        <v/>
      </c>
      <c r="N121" s="72">
        <f>N119*$D118</f>
        <v/>
      </c>
      <c r="O121" s="72">
        <f>O119*$D118</f>
        <v/>
      </c>
      <c r="P121" s="72">
        <f>P119*$D118</f>
        <v/>
      </c>
      <c r="Q121" s="72">
        <f>Q119*$D118</f>
        <v/>
      </c>
      <c r="R121" s="72">
        <f>R119*$D118</f>
        <v/>
      </c>
      <c r="S121" s="72">
        <f>S119*$D118</f>
        <v/>
      </c>
      <c r="T121" s="72">
        <f>T119*$D118</f>
        <v/>
      </c>
      <c r="U121" s="72">
        <f>U119*$D118</f>
        <v/>
      </c>
      <c r="V121" s="72">
        <f>V119*$D118</f>
        <v/>
      </c>
      <c r="W121" s="72">
        <f>W119*$D118</f>
        <v/>
      </c>
      <c r="X121" s="72">
        <f>X119*$D118</f>
        <v/>
      </c>
      <c r="Y121" s="72">
        <f>Y119*$D118</f>
        <v/>
      </c>
      <c r="Z121" s="72">
        <f>Z119*$D118</f>
        <v/>
      </c>
      <c r="AA121" s="72">
        <f>AA119*$D118</f>
        <v/>
      </c>
      <c r="AB121" s="72">
        <f>AB119*$D118</f>
        <v/>
      </c>
      <c r="AC121" s="72">
        <f>AC119*$D118</f>
        <v/>
      </c>
    </row>
    <row r="122">
      <c r="A122" s="65" t="n"/>
      <c r="B122" s="66" t="n"/>
      <c r="C122" s="67" t="inlineStr">
        <is>
          <t>累計出来高金額</t>
        </is>
      </c>
      <c r="D122" s="68" t="n"/>
      <c r="E122" s="65" t="n"/>
      <c r="F122" s="69" t="n"/>
      <c r="G122" s="70" t="n"/>
      <c r="H122" s="72">
        <f>H121</f>
        <v/>
      </c>
      <c r="I122" s="72">
        <f>H122+I121</f>
        <v/>
      </c>
      <c r="J122" s="72">
        <f>I122+J121</f>
        <v/>
      </c>
      <c r="K122" s="72">
        <f>J122+K121</f>
        <v/>
      </c>
      <c r="L122" s="72">
        <f>K122+L121</f>
        <v/>
      </c>
      <c r="M122" s="72">
        <f>L122+M121</f>
        <v/>
      </c>
      <c r="N122" s="72">
        <f>M122+N121</f>
        <v/>
      </c>
      <c r="O122" s="72">
        <f>N122+O121</f>
        <v/>
      </c>
      <c r="P122" s="72">
        <f>O122+P121</f>
        <v/>
      </c>
      <c r="Q122" s="72">
        <f>P122+Q121</f>
        <v/>
      </c>
      <c r="R122" s="72">
        <f>Q122+R121</f>
        <v/>
      </c>
      <c r="S122" s="72">
        <f>R122+S121</f>
        <v/>
      </c>
      <c r="T122" s="72">
        <f>S122+T121</f>
        <v/>
      </c>
      <c r="U122" s="72">
        <f>T122+U121</f>
        <v/>
      </c>
      <c r="V122" s="72">
        <f>U122+V121</f>
        <v/>
      </c>
      <c r="W122" s="72">
        <f>V122+W121</f>
        <v/>
      </c>
      <c r="X122" s="72">
        <f>W122+X121</f>
        <v/>
      </c>
      <c r="Y122" s="72">
        <f>X122+Y121</f>
        <v/>
      </c>
      <c r="Z122" s="72">
        <f>Y122+Z121</f>
        <v/>
      </c>
      <c r="AA122" s="72">
        <f>Z122+AA121</f>
        <v/>
      </c>
      <c r="AB122" s="72">
        <f>AA122+AB121</f>
        <v/>
      </c>
      <c r="AC122" s="72">
        <f>AB122+AC121</f>
        <v/>
      </c>
    </row>
    <row r="123">
      <c r="A123" s="58" t="inlineStr">
        <is>
          <t>c)-4</t>
        </is>
      </c>
      <c r="B123" s="59" t="inlineStr">
        <is>
          <t>衛生設備工事</t>
        </is>
      </c>
      <c r="C123" s="60" t="inlineStr">
        <is>
          <t>工程</t>
        </is>
      </c>
      <c r="D123" s="61">
        <f>'金額リスト'!C30</f>
        <v/>
      </c>
      <c r="E123" s="58">
        <f>SUMPRODUCT((H123:AC123&lt;&gt;"")*(H$6:AC$6=1))</f>
        <v/>
      </c>
      <c r="F123" s="62">
        <f>SUM(H124:AC124)</f>
        <v/>
      </c>
      <c r="G123" s="63">
        <f>IF(AND(ABS(F123-1)&lt;0.0001,ABS(AC125-1)&lt;0.0001),"OK",IF(E123=0,"工程未設定","NG"))</f>
        <v/>
      </c>
      <c r="H123" s="64" t="n"/>
      <c r="I123" s="64" t="n"/>
      <c r="J123" s="64" t="n"/>
      <c r="K123" s="64" t="n">
        <v>1</v>
      </c>
      <c r="L123" s="64" t="n">
        <v>1</v>
      </c>
      <c r="M123" s="64" t="n"/>
      <c r="N123" s="64" t="n">
        <v>1</v>
      </c>
      <c r="O123" s="64" t="n">
        <v>1</v>
      </c>
      <c r="P123" s="64" t="n"/>
      <c r="Q123" s="64" t="n">
        <v>1</v>
      </c>
      <c r="R123" s="64" t="n">
        <v>1</v>
      </c>
      <c r="S123" s="64" t="n"/>
      <c r="T123" s="64" t="n"/>
      <c r="U123" s="64" t="n">
        <v>1</v>
      </c>
      <c r="V123" s="64" t="n">
        <v>1</v>
      </c>
      <c r="W123" s="64" t="n">
        <v>1</v>
      </c>
      <c r="X123" s="64" t="n"/>
      <c r="Y123" s="64" t="n"/>
      <c r="Z123" s="64" t="n"/>
      <c r="AA123" s="64" t="n">
        <v>1</v>
      </c>
      <c r="AB123" s="64" t="n">
        <v>1</v>
      </c>
      <c r="AC123" s="64" t="n">
        <v>1</v>
      </c>
    </row>
    <row r="124">
      <c r="A124" s="65" t="n"/>
      <c r="B124" s="66" t="n"/>
      <c r="C124" s="67" t="inlineStr">
        <is>
          <t>今週出来高率</t>
        </is>
      </c>
      <c r="D124" s="68" t="n"/>
      <c r="E124" s="65" t="n"/>
      <c r="F124" s="69" t="n"/>
      <c r="G124" s="70" t="n"/>
      <c r="H124" s="71">
        <f>IF(OR($E123=0,H123="",H$6&lt;&gt;1),0,1/$E123)</f>
        <v/>
      </c>
      <c r="I124" s="71">
        <f>IF(OR($E123=0,I123="",I$6&lt;&gt;1),0,1/$E123)</f>
        <v/>
      </c>
      <c r="J124" s="71">
        <f>IF(OR($E123=0,J123="",J$6&lt;&gt;1),0,1/$E123)</f>
        <v/>
      </c>
      <c r="K124" s="71">
        <f>IF(OR($E123=0,K123="",K$6&lt;&gt;1),0,1/$E123)</f>
        <v/>
      </c>
      <c r="L124" s="71">
        <f>IF(OR($E123=0,L123="",L$6&lt;&gt;1),0,1/$E123)</f>
        <v/>
      </c>
      <c r="M124" s="71">
        <f>IF(OR($E123=0,M123="",M$6&lt;&gt;1),0,1/$E123)</f>
        <v/>
      </c>
      <c r="N124" s="71">
        <f>IF(OR($E123=0,N123="",N$6&lt;&gt;1),0,1/$E123)</f>
        <v/>
      </c>
      <c r="O124" s="71">
        <f>IF(OR($E123=0,O123="",O$6&lt;&gt;1),0,1/$E123)</f>
        <v/>
      </c>
      <c r="P124" s="71">
        <f>IF(OR($E123=0,P123="",P$6&lt;&gt;1),0,1/$E123)</f>
        <v/>
      </c>
      <c r="Q124" s="71">
        <f>IF(OR($E123=0,Q123="",Q$6&lt;&gt;1),0,1/$E123)</f>
        <v/>
      </c>
      <c r="R124" s="71">
        <f>IF(OR($E123=0,R123="",R$6&lt;&gt;1),0,1/$E123)</f>
        <v/>
      </c>
      <c r="S124" s="71">
        <f>IF(OR($E123=0,S123="",S$6&lt;&gt;1),0,1/$E123)</f>
        <v/>
      </c>
      <c r="T124" s="71">
        <f>IF(OR($E123=0,T123="",T$6&lt;&gt;1),0,1/$E123)</f>
        <v/>
      </c>
      <c r="U124" s="71">
        <f>IF(OR($E123=0,U123="",U$6&lt;&gt;1),0,1/$E123)</f>
        <v/>
      </c>
      <c r="V124" s="71">
        <f>IF(OR($E123=0,V123="",V$6&lt;&gt;1),0,1/$E123)</f>
        <v/>
      </c>
      <c r="W124" s="71">
        <f>IF(OR($E123=0,W123="",W$6&lt;&gt;1),0,1/$E123)</f>
        <v/>
      </c>
      <c r="X124" s="71">
        <f>IF(OR($E123=0,X123="",X$6&lt;&gt;1),0,1/$E123)</f>
        <v/>
      </c>
      <c r="Y124" s="71">
        <f>IF(OR($E123=0,Y123="",Y$6&lt;&gt;1),0,1/$E123)</f>
        <v/>
      </c>
      <c r="Z124" s="71">
        <f>IF(OR($E123=0,Z123="",Z$6&lt;&gt;1),0,1/$E123)</f>
        <v/>
      </c>
      <c r="AA124" s="71">
        <f>IF(OR($E123=0,AA123="",AA$6&lt;&gt;1),0,1/$E123)</f>
        <v/>
      </c>
      <c r="AB124" s="71">
        <f>IF(OR($E123=0,AB123="",AB$6&lt;&gt;1),0,1/$E123)</f>
        <v/>
      </c>
      <c r="AC124" s="71">
        <f>IF(OR($E123=0,AC123="",AC$6&lt;&gt;1),0,1/$E123)</f>
        <v/>
      </c>
    </row>
    <row r="125">
      <c r="A125" s="65" t="n"/>
      <c r="B125" s="66" t="n"/>
      <c r="C125" s="67" t="inlineStr">
        <is>
          <t>累計出来高率</t>
        </is>
      </c>
      <c r="D125" s="68" t="n"/>
      <c r="E125" s="65" t="n"/>
      <c r="F125" s="69" t="n"/>
      <c r="G125" s="70" t="n"/>
      <c r="H125" s="71">
        <f>H124</f>
        <v/>
      </c>
      <c r="I125" s="71">
        <f>H125+I124</f>
        <v/>
      </c>
      <c r="J125" s="71">
        <f>I125+J124</f>
        <v/>
      </c>
      <c r="K125" s="71">
        <f>J125+K124</f>
        <v/>
      </c>
      <c r="L125" s="71">
        <f>K125+L124</f>
        <v/>
      </c>
      <c r="M125" s="71">
        <f>L125+M124</f>
        <v/>
      </c>
      <c r="N125" s="71">
        <f>M125+N124</f>
        <v/>
      </c>
      <c r="O125" s="71">
        <f>N125+O124</f>
        <v/>
      </c>
      <c r="P125" s="71">
        <f>O125+P124</f>
        <v/>
      </c>
      <c r="Q125" s="71">
        <f>P125+Q124</f>
        <v/>
      </c>
      <c r="R125" s="71">
        <f>Q125+R124</f>
        <v/>
      </c>
      <c r="S125" s="71">
        <f>R125+S124</f>
        <v/>
      </c>
      <c r="T125" s="71">
        <f>S125+T124</f>
        <v/>
      </c>
      <c r="U125" s="71">
        <f>T125+U124</f>
        <v/>
      </c>
      <c r="V125" s="71">
        <f>U125+V124</f>
        <v/>
      </c>
      <c r="W125" s="71">
        <f>V125+W124</f>
        <v/>
      </c>
      <c r="X125" s="71">
        <f>W125+X124</f>
        <v/>
      </c>
      <c r="Y125" s="71">
        <f>X125+Y124</f>
        <v/>
      </c>
      <c r="Z125" s="71">
        <f>Y125+Z124</f>
        <v/>
      </c>
      <c r="AA125" s="71">
        <f>Z125+AA124</f>
        <v/>
      </c>
      <c r="AB125" s="71">
        <f>AA125+AB124</f>
        <v/>
      </c>
      <c r="AC125" s="71">
        <f>AB125+AC124</f>
        <v/>
      </c>
    </row>
    <row r="126">
      <c r="A126" s="65" t="n"/>
      <c r="B126" s="66" t="n"/>
      <c r="C126" s="67" t="inlineStr">
        <is>
          <t>今週出来高金額</t>
        </is>
      </c>
      <c r="D126" s="68" t="n"/>
      <c r="E126" s="65" t="n"/>
      <c r="F126" s="69" t="n"/>
      <c r="G126" s="70" t="n"/>
      <c r="H126" s="72">
        <f>H124*$D123</f>
        <v/>
      </c>
      <c r="I126" s="72">
        <f>I124*$D123</f>
        <v/>
      </c>
      <c r="J126" s="72">
        <f>J124*$D123</f>
        <v/>
      </c>
      <c r="K126" s="72">
        <f>K124*$D123</f>
        <v/>
      </c>
      <c r="L126" s="72">
        <f>L124*$D123</f>
        <v/>
      </c>
      <c r="M126" s="72">
        <f>M124*$D123</f>
        <v/>
      </c>
      <c r="N126" s="72">
        <f>N124*$D123</f>
        <v/>
      </c>
      <c r="O126" s="72">
        <f>O124*$D123</f>
        <v/>
      </c>
      <c r="P126" s="72">
        <f>P124*$D123</f>
        <v/>
      </c>
      <c r="Q126" s="72">
        <f>Q124*$D123</f>
        <v/>
      </c>
      <c r="R126" s="72">
        <f>R124*$D123</f>
        <v/>
      </c>
      <c r="S126" s="72">
        <f>S124*$D123</f>
        <v/>
      </c>
      <c r="T126" s="72">
        <f>T124*$D123</f>
        <v/>
      </c>
      <c r="U126" s="72">
        <f>U124*$D123</f>
        <v/>
      </c>
      <c r="V126" s="72">
        <f>V124*$D123</f>
        <v/>
      </c>
      <c r="W126" s="72">
        <f>W124*$D123</f>
        <v/>
      </c>
      <c r="X126" s="72">
        <f>X124*$D123</f>
        <v/>
      </c>
      <c r="Y126" s="72">
        <f>Y124*$D123</f>
        <v/>
      </c>
      <c r="Z126" s="72">
        <f>Z124*$D123</f>
        <v/>
      </c>
      <c r="AA126" s="72">
        <f>AA124*$D123</f>
        <v/>
      </c>
      <c r="AB126" s="72">
        <f>AB124*$D123</f>
        <v/>
      </c>
      <c r="AC126" s="72">
        <f>AC124*$D123</f>
        <v/>
      </c>
    </row>
    <row r="127">
      <c r="A127" s="65" t="n"/>
      <c r="B127" s="66" t="n"/>
      <c r="C127" s="67" t="inlineStr">
        <is>
          <t>累計出来高金額</t>
        </is>
      </c>
      <c r="D127" s="68" t="n"/>
      <c r="E127" s="65" t="n"/>
      <c r="F127" s="69" t="n"/>
      <c r="G127" s="70" t="n"/>
      <c r="H127" s="72">
        <f>H126</f>
        <v/>
      </c>
      <c r="I127" s="72">
        <f>H127+I126</f>
        <v/>
      </c>
      <c r="J127" s="72">
        <f>I127+J126</f>
        <v/>
      </c>
      <c r="K127" s="72">
        <f>J127+K126</f>
        <v/>
      </c>
      <c r="L127" s="72">
        <f>K127+L126</f>
        <v/>
      </c>
      <c r="M127" s="72">
        <f>L127+M126</f>
        <v/>
      </c>
      <c r="N127" s="72">
        <f>M127+N126</f>
        <v/>
      </c>
      <c r="O127" s="72">
        <f>N127+O126</f>
        <v/>
      </c>
      <c r="P127" s="72">
        <f>O127+P126</f>
        <v/>
      </c>
      <c r="Q127" s="72">
        <f>P127+Q126</f>
        <v/>
      </c>
      <c r="R127" s="72">
        <f>Q127+R126</f>
        <v/>
      </c>
      <c r="S127" s="72">
        <f>R127+S126</f>
        <v/>
      </c>
      <c r="T127" s="72">
        <f>S127+T126</f>
        <v/>
      </c>
      <c r="U127" s="72">
        <f>T127+U126</f>
        <v/>
      </c>
      <c r="V127" s="72">
        <f>U127+V126</f>
        <v/>
      </c>
      <c r="W127" s="72">
        <f>V127+W126</f>
        <v/>
      </c>
      <c r="X127" s="72">
        <f>W127+X126</f>
        <v/>
      </c>
      <c r="Y127" s="72">
        <f>X127+Y126</f>
        <v/>
      </c>
      <c r="Z127" s="72">
        <f>Y127+Z126</f>
        <v/>
      </c>
      <c r="AA127" s="72">
        <f>Z127+AA126</f>
        <v/>
      </c>
      <c r="AB127" s="72">
        <f>AA127+AB126</f>
        <v/>
      </c>
      <c r="AC127" s="72">
        <f>AB127+AC126</f>
        <v/>
      </c>
    </row>
    <row r="128">
      <c r="A128" s="43" t="inlineStr">
        <is>
          <t>d)</t>
        </is>
      </c>
      <c r="B128" s="44" t="inlineStr">
        <is>
          <t>諸経費</t>
        </is>
      </c>
      <c r="C128" s="45" t="inlineStr">
        <is>
          <t>工程</t>
        </is>
      </c>
      <c r="D128" s="46">
        <f>'金額リスト'!C31</f>
        <v/>
      </c>
      <c r="E128" s="43">
        <f>SUMPRODUCT((H128:AC128&lt;&gt;"")*(H$6:AC$6=1))</f>
        <v/>
      </c>
      <c r="F128" s="47">
        <f>SUM(H129:AC129)</f>
        <v/>
      </c>
      <c r="G128" s="48">
        <f>IF(AND(ABS(F128-1)&lt;0.0001,ABS(AC130-1)&lt;0.0001),"OK",IF(E128=0,"工程未設定","NG"))</f>
        <v/>
      </c>
      <c r="H128" s="49" t="n"/>
      <c r="I128" s="49" t="n">
        <v>1</v>
      </c>
      <c r="J128" s="49" t="n">
        <v>1</v>
      </c>
      <c r="K128" s="49" t="n">
        <v>1</v>
      </c>
      <c r="L128" s="49" t="n">
        <v>1</v>
      </c>
      <c r="M128" s="49" t="n">
        <v>1</v>
      </c>
      <c r="N128" s="49" t="n">
        <v>1</v>
      </c>
      <c r="O128" s="49" t="n">
        <v>1</v>
      </c>
      <c r="P128" s="49" t="n">
        <v>1</v>
      </c>
      <c r="Q128" s="49" t="n">
        <v>1</v>
      </c>
      <c r="R128" s="49" t="n">
        <v>1</v>
      </c>
      <c r="S128" s="49" t="n">
        <v>1</v>
      </c>
      <c r="T128" s="49" t="n">
        <v>1</v>
      </c>
      <c r="U128" s="49" t="n">
        <v>1</v>
      </c>
      <c r="V128" s="49" t="n">
        <v>1</v>
      </c>
      <c r="W128" s="49" t="n">
        <v>1</v>
      </c>
      <c r="X128" s="49" t="n">
        <v>1</v>
      </c>
      <c r="Y128" s="49" t="n">
        <v>1</v>
      </c>
      <c r="Z128" s="49" t="n">
        <v>1</v>
      </c>
      <c r="AA128" s="49" t="n">
        <v>1</v>
      </c>
      <c r="AB128" s="49" t="n">
        <v>1</v>
      </c>
      <c r="AC128" s="49" t="n">
        <v>1</v>
      </c>
    </row>
    <row r="129">
      <c r="A129" s="50" t="n"/>
      <c r="B129" s="51" t="n"/>
      <c r="C129" s="52" t="inlineStr">
        <is>
          <t>今週出来高率</t>
        </is>
      </c>
      <c r="D129" s="53" t="n"/>
      <c r="E129" s="50" t="n"/>
      <c r="F129" s="54" t="n"/>
      <c r="G129" s="55" t="n"/>
      <c r="H129" s="41">
        <f>IF(OR($E128=0,H128="",H$6&lt;&gt;1),0,1/$E128)</f>
        <v/>
      </c>
      <c r="I129" s="41">
        <f>IF(OR($E128=0,I128="",I$6&lt;&gt;1),0,1/$E128)</f>
        <v/>
      </c>
      <c r="J129" s="41">
        <f>IF(OR($E128=0,J128="",J$6&lt;&gt;1),0,1/$E128)</f>
        <v/>
      </c>
      <c r="K129" s="41">
        <f>IF(OR($E128=0,K128="",K$6&lt;&gt;1),0,1/$E128)</f>
        <v/>
      </c>
      <c r="L129" s="41">
        <f>IF(OR($E128=0,L128="",L$6&lt;&gt;1),0,1/$E128)</f>
        <v/>
      </c>
      <c r="M129" s="41">
        <f>IF(OR($E128=0,M128="",M$6&lt;&gt;1),0,1/$E128)</f>
        <v/>
      </c>
      <c r="N129" s="41">
        <f>IF(OR($E128=0,N128="",N$6&lt;&gt;1),0,1/$E128)</f>
        <v/>
      </c>
      <c r="O129" s="41">
        <f>IF(OR($E128=0,O128="",O$6&lt;&gt;1),0,1/$E128)</f>
        <v/>
      </c>
      <c r="P129" s="41">
        <f>IF(OR($E128=0,P128="",P$6&lt;&gt;1),0,1/$E128)</f>
        <v/>
      </c>
      <c r="Q129" s="41">
        <f>IF(OR($E128=0,Q128="",Q$6&lt;&gt;1),0,1/$E128)</f>
        <v/>
      </c>
      <c r="R129" s="41">
        <f>IF(OR($E128=0,R128="",R$6&lt;&gt;1),0,1/$E128)</f>
        <v/>
      </c>
      <c r="S129" s="41">
        <f>IF(OR($E128=0,S128="",S$6&lt;&gt;1),0,1/$E128)</f>
        <v/>
      </c>
      <c r="T129" s="41">
        <f>IF(OR($E128=0,T128="",T$6&lt;&gt;1),0,1/$E128)</f>
        <v/>
      </c>
      <c r="U129" s="41">
        <f>IF(OR($E128=0,U128="",U$6&lt;&gt;1),0,1/$E128)</f>
        <v/>
      </c>
      <c r="V129" s="41">
        <f>IF(OR($E128=0,V128="",V$6&lt;&gt;1),0,1/$E128)</f>
        <v/>
      </c>
      <c r="W129" s="41">
        <f>IF(OR($E128=0,W128="",W$6&lt;&gt;1),0,1/$E128)</f>
        <v/>
      </c>
      <c r="X129" s="41">
        <f>IF(OR($E128=0,X128="",X$6&lt;&gt;1),0,1/$E128)</f>
        <v/>
      </c>
      <c r="Y129" s="41">
        <f>IF(OR($E128=0,Y128="",Y$6&lt;&gt;1),0,1/$E128)</f>
        <v/>
      </c>
      <c r="Z129" s="41">
        <f>IF(OR($E128=0,Z128="",Z$6&lt;&gt;1),0,1/$E128)</f>
        <v/>
      </c>
      <c r="AA129" s="41">
        <f>IF(OR($E128=0,AA128="",AA$6&lt;&gt;1),0,1/$E128)</f>
        <v/>
      </c>
      <c r="AB129" s="41">
        <f>IF(OR($E128=0,AB128="",AB$6&lt;&gt;1),0,1/$E128)</f>
        <v/>
      </c>
      <c r="AC129" s="41">
        <f>IF(OR($E128=0,AC128="",AC$6&lt;&gt;1),0,1/$E128)</f>
        <v/>
      </c>
    </row>
    <row r="130">
      <c r="A130" s="50" t="n"/>
      <c r="B130" s="51" t="n"/>
      <c r="C130" s="52" t="inlineStr">
        <is>
          <t>累計出来高率</t>
        </is>
      </c>
      <c r="D130" s="53" t="n"/>
      <c r="E130" s="50" t="n"/>
      <c r="F130" s="54" t="n"/>
      <c r="G130" s="55" t="n"/>
      <c r="H130" s="41">
        <f>H129</f>
        <v/>
      </c>
      <c r="I130" s="41">
        <f>H130+I129</f>
        <v/>
      </c>
      <c r="J130" s="41">
        <f>I130+J129</f>
        <v/>
      </c>
      <c r="K130" s="41">
        <f>J130+K129</f>
        <v/>
      </c>
      <c r="L130" s="41">
        <f>K130+L129</f>
        <v/>
      </c>
      <c r="M130" s="41">
        <f>L130+M129</f>
        <v/>
      </c>
      <c r="N130" s="41">
        <f>M130+N129</f>
        <v/>
      </c>
      <c r="O130" s="41">
        <f>N130+O129</f>
        <v/>
      </c>
      <c r="P130" s="41">
        <f>O130+P129</f>
        <v/>
      </c>
      <c r="Q130" s="41">
        <f>P130+Q129</f>
        <v/>
      </c>
      <c r="R130" s="41">
        <f>Q130+R129</f>
        <v/>
      </c>
      <c r="S130" s="41">
        <f>R130+S129</f>
        <v/>
      </c>
      <c r="T130" s="41">
        <f>S130+T129</f>
        <v/>
      </c>
      <c r="U130" s="41">
        <f>T130+U129</f>
        <v/>
      </c>
      <c r="V130" s="41">
        <f>U130+V129</f>
        <v/>
      </c>
      <c r="W130" s="41">
        <f>V130+W129</f>
        <v/>
      </c>
      <c r="X130" s="41">
        <f>W130+X129</f>
        <v/>
      </c>
      <c r="Y130" s="41">
        <f>X130+Y129</f>
        <v/>
      </c>
      <c r="Z130" s="41">
        <f>Y130+Z129</f>
        <v/>
      </c>
      <c r="AA130" s="41">
        <f>Z130+AA129</f>
        <v/>
      </c>
      <c r="AB130" s="41">
        <f>AA130+AB129</f>
        <v/>
      </c>
      <c r="AC130" s="41">
        <f>AB130+AC129</f>
        <v/>
      </c>
    </row>
    <row r="131">
      <c r="A131" s="50" t="n"/>
      <c r="B131" s="51" t="n"/>
      <c r="C131" s="52" t="inlineStr">
        <is>
          <t>今週出来高金額</t>
        </is>
      </c>
      <c r="D131" s="53" t="n"/>
      <c r="E131" s="50" t="n"/>
      <c r="F131" s="54" t="n"/>
      <c r="G131" s="55" t="n"/>
      <c r="H131" s="42">
        <f>H129*$D128</f>
        <v/>
      </c>
      <c r="I131" s="42">
        <f>I129*$D128</f>
        <v/>
      </c>
      <c r="J131" s="42">
        <f>J129*$D128</f>
        <v/>
      </c>
      <c r="K131" s="42">
        <f>K129*$D128</f>
        <v/>
      </c>
      <c r="L131" s="42">
        <f>L129*$D128</f>
        <v/>
      </c>
      <c r="M131" s="42">
        <f>M129*$D128</f>
        <v/>
      </c>
      <c r="N131" s="42">
        <f>N129*$D128</f>
        <v/>
      </c>
      <c r="O131" s="42">
        <f>O129*$D128</f>
        <v/>
      </c>
      <c r="P131" s="42">
        <f>P129*$D128</f>
        <v/>
      </c>
      <c r="Q131" s="42">
        <f>Q129*$D128</f>
        <v/>
      </c>
      <c r="R131" s="42">
        <f>R129*$D128</f>
        <v/>
      </c>
      <c r="S131" s="42">
        <f>S129*$D128</f>
        <v/>
      </c>
      <c r="T131" s="42">
        <f>T129*$D128</f>
        <v/>
      </c>
      <c r="U131" s="42">
        <f>U129*$D128</f>
        <v/>
      </c>
      <c r="V131" s="42">
        <f>V129*$D128</f>
        <v/>
      </c>
      <c r="W131" s="42">
        <f>W129*$D128</f>
        <v/>
      </c>
      <c r="X131" s="42">
        <f>X129*$D128</f>
        <v/>
      </c>
      <c r="Y131" s="42">
        <f>Y129*$D128</f>
        <v/>
      </c>
      <c r="Z131" s="42">
        <f>Z129*$D128</f>
        <v/>
      </c>
      <c r="AA131" s="42">
        <f>AA129*$D128</f>
        <v/>
      </c>
      <c r="AB131" s="42">
        <f>AB129*$D128</f>
        <v/>
      </c>
      <c r="AC131" s="42">
        <f>AC129*$D128</f>
        <v/>
      </c>
    </row>
    <row r="132">
      <c r="A132" s="50" t="n"/>
      <c r="B132" s="51" t="n"/>
      <c r="C132" s="52" t="inlineStr">
        <is>
          <t>累計出来高金額</t>
        </is>
      </c>
      <c r="D132" s="53" t="n"/>
      <c r="E132" s="50" t="n"/>
      <c r="F132" s="54" t="n"/>
      <c r="G132" s="55" t="n"/>
      <c r="H132" s="42">
        <f>H131</f>
        <v/>
      </c>
      <c r="I132" s="42">
        <f>H132+I131</f>
        <v/>
      </c>
      <c r="J132" s="42">
        <f>I132+J131</f>
        <v/>
      </c>
      <c r="K132" s="42">
        <f>J132+K131</f>
        <v/>
      </c>
      <c r="L132" s="42">
        <f>K132+L131</f>
        <v/>
      </c>
      <c r="M132" s="42">
        <f>L132+M131</f>
        <v/>
      </c>
      <c r="N132" s="42">
        <f>M132+N131</f>
        <v/>
      </c>
      <c r="O132" s="42">
        <f>N132+O131</f>
        <v/>
      </c>
      <c r="P132" s="42">
        <f>O132+P131</f>
        <v/>
      </c>
      <c r="Q132" s="42">
        <f>P132+Q131</f>
        <v/>
      </c>
      <c r="R132" s="42">
        <f>Q132+R131</f>
        <v/>
      </c>
      <c r="S132" s="42">
        <f>R132+S131</f>
        <v/>
      </c>
      <c r="T132" s="42">
        <f>S132+T131</f>
        <v/>
      </c>
      <c r="U132" s="42">
        <f>T132+U131</f>
        <v/>
      </c>
      <c r="V132" s="42">
        <f>U132+V131</f>
        <v/>
      </c>
      <c r="W132" s="42">
        <f>V132+W131</f>
        <v/>
      </c>
      <c r="X132" s="42">
        <f>W132+X131</f>
        <v/>
      </c>
      <c r="Y132" s="42">
        <f>X132+Y131</f>
        <v/>
      </c>
      <c r="Z132" s="42">
        <f>Y132+Z131</f>
        <v/>
      </c>
      <c r="AA132" s="42">
        <f>Z132+AA131</f>
        <v/>
      </c>
      <c r="AB132" s="42">
        <f>AA132+AB131</f>
        <v/>
      </c>
      <c r="AC132" s="42">
        <f>AB132+AC131</f>
        <v/>
      </c>
    </row>
    <row r="134">
      <c r="B134" s="4" t="inlineStr">
        <is>
          <t>出典：週区分は工程表「260828＿工程表【食堂・外構】新地K修正」（2026年5月19日作成）の工期 11月～3月に基づく月曜～日曜。契約金額は金額リスト（見積書）より。</t>
        </is>
      </c>
    </row>
    <row r="135">
      <c r="B135" s="4" t="inlineStr">
        <is>
          <t>工程の読取り元（工程表「260828＿工程表【食堂・外構】新地K修正」の黒塗り、西側＋東側エリア）：</t>
        </is>
      </c>
    </row>
    <row r="136">
      <c r="B136" s="4" t="inlineStr">
        <is>
          <t>・共通仮設工事・諸経費＝全工期（11/9～3/31）　・直接仮設＝仮設工事　・解体撤去 建築＝解体撤去工事</t>
        </is>
      </c>
    </row>
    <row r="137">
      <c r="B137" s="4" t="inlineStr">
        <is>
          <t>・解体撤去 電気／空調・衛生＝設備工事(電気)／(機械)の「既存撤去工事」　・改修 電気／空調・衛生＝同 撤去以降</t>
        </is>
      </c>
    </row>
    <row r="138">
      <c r="B138" s="4" t="inlineStr">
        <is>
          <t>・金属＝金属工事＋鋼製床工事　・金属製建具＝鋼製建具工事　・ガラス＝12月第3週（12/21～12/27）・1月第1週（1/4～1/10）</t>
        </is>
      </c>
    </row>
    <row r="139">
      <c r="B139" s="4" t="inlineStr">
        <is>
          <t>・タイル＝タイル工事（東側は試焼・作図期間を除き「腰壁・床」3/4以降）　・木／左官／塗装／内装仕上／雑＝同名の工事</t>
        </is>
      </c>
    </row>
    <row r="140">
      <c r="B140" s="4" t="inlineStr">
        <is>
          <t>・躯体工事＝解体撤去（建築）終了（12/22）後の1週間（年末年始を除き 1/4～1/10）　・防水工事＝2月第3週（2/15～）～3月第3週（～3/21）の5週間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6F"/>
  <mergeCells count="157">
    <mergeCell ref="E78:E82"/>
    <mergeCell ref="B88:B92"/>
    <mergeCell ref="G83:G87"/>
    <mergeCell ref="G78:G82"/>
    <mergeCell ref="D93:D97"/>
    <mergeCell ref="G63:G67"/>
    <mergeCell ref="F93:F97"/>
    <mergeCell ref="B68:B72"/>
    <mergeCell ref="B83:B87"/>
    <mergeCell ref="D83:D87"/>
    <mergeCell ref="A38:A42"/>
    <mergeCell ref="B123:B127"/>
    <mergeCell ref="A13:A17"/>
    <mergeCell ref="A58:A62"/>
    <mergeCell ref="A123:A127"/>
    <mergeCell ref="F103:F107"/>
    <mergeCell ref="E98:E102"/>
    <mergeCell ref="G98:G102"/>
    <mergeCell ref="E73:E77"/>
    <mergeCell ref="E88:E92"/>
    <mergeCell ref="A118:A122"/>
    <mergeCell ref="B8:B12"/>
    <mergeCell ref="B73:B77"/>
    <mergeCell ref="A108:A112"/>
    <mergeCell ref="B23:B27"/>
    <mergeCell ref="G53:G57"/>
    <mergeCell ref="A18:A22"/>
    <mergeCell ref="B78:B82"/>
    <mergeCell ref="C4:C5"/>
    <mergeCell ref="G68:G72"/>
    <mergeCell ref="E108:E112"/>
    <mergeCell ref="G108:G112"/>
    <mergeCell ref="F23:F27"/>
    <mergeCell ref="F38:F42"/>
    <mergeCell ref="D68:D72"/>
    <mergeCell ref="G123:G127"/>
    <mergeCell ref="F13:F17"/>
    <mergeCell ref="D43:D47"/>
    <mergeCell ref="D18:D22"/>
    <mergeCell ref="D58:D62"/>
    <mergeCell ref="E4:E7"/>
    <mergeCell ref="F43:F47"/>
    <mergeCell ref="F58:F62"/>
    <mergeCell ref="D123:D127"/>
    <mergeCell ref="F123:F127"/>
    <mergeCell ref="B33:B37"/>
    <mergeCell ref="D33:D37"/>
    <mergeCell ref="D73:D77"/>
    <mergeCell ref="B113:B117"/>
    <mergeCell ref="A28:A32"/>
    <mergeCell ref="D113:D117"/>
    <mergeCell ref="A73:A77"/>
    <mergeCell ref="A48:A52"/>
    <mergeCell ref="F53:F57"/>
    <mergeCell ref="F118:F122"/>
    <mergeCell ref="E8:E12"/>
    <mergeCell ref="F63:F67"/>
    <mergeCell ref="G8:G12"/>
    <mergeCell ref="A98:A102"/>
    <mergeCell ref="D108:D112"/>
    <mergeCell ref="F108:F112"/>
    <mergeCell ref="E23:E27"/>
    <mergeCell ref="B93:B97"/>
    <mergeCell ref="G23:G27"/>
    <mergeCell ref="E63:E67"/>
    <mergeCell ref="E128:E132"/>
    <mergeCell ref="F83:F87"/>
    <mergeCell ref="G128:G132"/>
    <mergeCell ref="B4:B7"/>
    <mergeCell ref="B13:B17"/>
    <mergeCell ref="F33:F37"/>
    <mergeCell ref="D78:D82"/>
    <mergeCell ref="F4:F7"/>
    <mergeCell ref="G18:G22"/>
    <mergeCell ref="D48:D52"/>
    <mergeCell ref="G58:G62"/>
    <mergeCell ref="B128:B132"/>
    <mergeCell ref="B38:B42"/>
    <mergeCell ref="B103:B107"/>
    <mergeCell ref="G33:G37"/>
    <mergeCell ref="D103:D107"/>
    <mergeCell ref="E113:E117"/>
    <mergeCell ref="A33:A37"/>
    <mergeCell ref="G113:G117"/>
    <mergeCell ref="F28:F32"/>
    <mergeCell ref="A53:A57"/>
    <mergeCell ref="B63:B67"/>
    <mergeCell ref="F48:F52"/>
    <mergeCell ref="D38:D42"/>
    <mergeCell ref="D98:D102"/>
    <mergeCell ref="F98:F102"/>
    <mergeCell ref="E53:E57"/>
    <mergeCell ref="E93:E97"/>
    <mergeCell ref="D88:D92"/>
    <mergeCell ref="E68:E72"/>
    <mergeCell ref="A88:A92"/>
    <mergeCell ref="G4:G7"/>
    <mergeCell ref="A4:A7"/>
    <mergeCell ref="B18:B22"/>
    <mergeCell ref="E48:E52"/>
    <mergeCell ref="B58:B62"/>
    <mergeCell ref="G48:G52"/>
    <mergeCell ref="A78:A82"/>
    <mergeCell ref="F68:F72"/>
    <mergeCell ref="E38:E42"/>
    <mergeCell ref="E103:E107"/>
    <mergeCell ref="G38:G42"/>
    <mergeCell ref="G103:G107"/>
    <mergeCell ref="F18:F22"/>
    <mergeCell ref="E118:E122"/>
    <mergeCell ref="B53:B57"/>
    <mergeCell ref="D13:D17"/>
    <mergeCell ref="D53:D57"/>
    <mergeCell ref="B118:B122"/>
    <mergeCell ref="A8:A12"/>
    <mergeCell ref="A113:A117"/>
    <mergeCell ref="D118:D122"/>
    <mergeCell ref="B28:B32"/>
    <mergeCell ref="D28:D32"/>
    <mergeCell ref="B108:B112"/>
    <mergeCell ref="A23:A27"/>
    <mergeCell ref="A63:A67"/>
    <mergeCell ref="G73:G77"/>
    <mergeCell ref="A68:A72"/>
    <mergeCell ref="G88:G92"/>
    <mergeCell ref="D8:D12"/>
    <mergeCell ref="A43:A47"/>
    <mergeCell ref="A83:A87"/>
    <mergeCell ref="F73:F77"/>
    <mergeCell ref="F88:F92"/>
    <mergeCell ref="D23:D27"/>
    <mergeCell ref="A93:A97"/>
    <mergeCell ref="D63:D67"/>
    <mergeCell ref="D128:D132"/>
    <mergeCell ref="F128:F132"/>
    <mergeCell ref="D4:D7"/>
    <mergeCell ref="E18:E22"/>
    <mergeCell ref="E43:E47"/>
    <mergeCell ref="G43:G47"/>
    <mergeCell ref="E58:E62"/>
    <mergeCell ref="E123:E127"/>
    <mergeCell ref="F78:F82"/>
    <mergeCell ref="E33:E37"/>
    <mergeCell ref="E83:E87"/>
    <mergeCell ref="A128:A132"/>
    <mergeCell ref="E13:E17"/>
    <mergeCell ref="B48:B52"/>
    <mergeCell ref="B43:B47"/>
    <mergeCell ref="G13:G17"/>
    <mergeCell ref="A103:A107"/>
    <mergeCell ref="G118:G122"/>
    <mergeCell ref="F8:F12"/>
    <mergeCell ref="F113:F117"/>
    <mergeCell ref="E28:E32"/>
    <mergeCell ref="B98:B102"/>
    <mergeCell ref="G28:G32"/>
    <mergeCell ref="G93:G97"/>
  </mergeCells>
  <conditionalFormatting sqref="H8:AC132">
    <cfRule type="expression" priority="1" dxfId="0" stopIfTrue="1">
      <formula>H$6&lt;&gt;1</formula>
    </cfRule>
  </conditionalFormatting>
  <conditionalFormatting sqref="H8:AC8">
    <cfRule type="expression" priority="2" dxfId="1">
      <formula>H8&lt;&gt;""</formula>
    </cfRule>
  </conditionalFormatting>
  <conditionalFormatting sqref="H13:AC13">
    <cfRule type="expression" priority="3" dxfId="2">
      <formula>H13&lt;&gt;""</formula>
    </cfRule>
  </conditionalFormatting>
  <conditionalFormatting sqref="H18:AC18">
    <cfRule type="expression" priority="4" dxfId="1">
      <formula>H18&lt;&gt;""</formula>
    </cfRule>
  </conditionalFormatting>
  <conditionalFormatting sqref="H23:AC23">
    <cfRule type="expression" priority="5" dxfId="2">
      <formula>H23&lt;&gt;""</formula>
    </cfRule>
  </conditionalFormatting>
  <conditionalFormatting sqref="H28:AC28">
    <cfRule type="expression" priority="6" dxfId="2">
      <formula>H28&lt;&gt;""</formula>
    </cfRule>
  </conditionalFormatting>
  <conditionalFormatting sqref="H33:AC33">
    <cfRule type="expression" priority="7" dxfId="2">
      <formula>H33&lt;&gt;""</formula>
    </cfRule>
  </conditionalFormatting>
  <conditionalFormatting sqref="H38:AC38">
    <cfRule type="expression" priority="8" dxfId="2">
      <formula>H38&lt;&gt;""</formula>
    </cfRule>
  </conditionalFormatting>
  <conditionalFormatting sqref="H43:AC43">
    <cfRule type="expression" priority="9" dxfId="1">
      <formula>H43&lt;&gt;""</formula>
    </cfRule>
  </conditionalFormatting>
  <conditionalFormatting sqref="H48:AC48">
    <cfRule type="expression" priority="10" dxfId="1">
      <formula>H48&lt;&gt;""</formula>
    </cfRule>
  </conditionalFormatting>
  <conditionalFormatting sqref="H53:AC53">
    <cfRule type="expression" priority="11" dxfId="2">
      <formula>H53&lt;&gt;""</formula>
    </cfRule>
  </conditionalFormatting>
  <conditionalFormatting sqref="H58:AC58">
    <cfRule type="expression" priority="12" dxfId="2">
      <formula>H58&lt;&gt;""</formula>
    </cfRule>
  </conditionalFormatting>
  <conditionalFormatting sqref="H63:AC63">
    <cfRule type="expression" priority="13" dxfId="2">
      <formula>H63&lt;&gt;""</formula>
    </cfRule>
  </conditionalFormatting>
  <conditionalFormatting sqref="H68:AC68">
    <cfRule type="expression" priority="14" dxfId="2">
      <formula>H68&lt;&gt;""</formula>
    </cfRule>
  </conditionalFormatting>
  <conditionalFormatting sqref="H73:AC73">
    <cfRule type="expression" priority="15" dxfId="2">
      <formula>H73&lt;&gt;""</formula>
    </cfRule>
  </conditionalFormatting>
  <conditionalFormatting sqref="H78:AC78">
    <cfRule type="expression" priority="16" dxfId="2">
      <formula>H78&lt;&gt;""</formula>
    </cfRule>
  </conditionalFormatting>
  <conditionalFormatting sqref="H83:AC83">
    <cfRule type="expression" priority="17" dxfId="2">
      <formula>H83&lt;&gt;""</formula>
    </cfRule>
  </conditionalFormatting>
  <conditionalFormatting sqref="H88:AC88">
    <cfRule type="expression" priority="18" dxfId="2">
      <formula>H88&lt;&gt;""</formula>
    </cfRule>
  </conditionalFormatting>
  <conditionalFormatting sqref="H93:AC93">
    <cfRule type="expression" priority="19" dxfId="2">
      <formula>H93&lt;&gt;""</formula>
    </cfRule>
  </conditionalFormatting>
  <conditionalFormatting sqref="H98:AC98">
    <cfRule type="expression" priority="20" dxfId="2">
      <formula>H98&lt;&gt;""</formula>
    </cfRule>
  </conditionalFormatting>
  <conditionalFormatting sqref="H103:AC103">
    <cfRule type="expression" priority="21" dxfId="2">
      <formula>H103&lt;&gt;""</formula>
    </cfRule>
  </conditionalFormatting>
  <conditionalFormatting sqref="H108:AC108">
    <cfRule type="expression" priority="22" dxfId="2">
      <formula>H108&lt;&gt;""</formula>
    </cfRule>
  </conditionalFormatting>
  <conditionalFormatting sqref="H113:AC113">
    <cfRule type="expression" priority="23" dxfId="2">
      <formula>H113&lt;&gt;""</formula>
    </cfRule>
  </conditionalFormatting>
  <conditionalFormatting sqref="H118:AC118">
    <cfRule type="expression" priority="24" dxfId="2">
      <formula>H118&lt;&gt;""</formula>
    </cfRule>
  </conditionalFormatting>
  <conditionalFormatting sqref="H123:AC123">
    <cfRule type="expression" priority="25" dxfId="2">
      <formula>H123&lt;&gt;""</formula>
    </cfRule>
  </conditionalFormatting>
  <conditionalFormatting sqref="H128:AC128">
    <cfRule type="expression" priority="26" dxfId="2">
      <formula>H128&lt;&gt;""</formula>
    </cfRule>
  </conditionalFormatting>
  <conditionalFormatting sqref="G8:G132">
    <cfRule type="cellIs" priority="27" operator="equal" dxfId="3">
      <formula>"OK"</formula>
    </cfRule>
    <cfRule type="cellIs" priority="28" operator="notEqual" dxfId="4">
      <formula>"OK"</formula>
    </cfRule>
  </conditionalFormatting>
  <conditionalFormatting sqref="F8:F132">
    <cfRule type="expression" priority="29" dxfId="5">
      <formula>AND($E8&gt;0,ABS($F8-1)&gt;0.0001)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月別 予想出来高（予想出来高率・予想出来高金額）</t>
        </is>
      </c>
    </row>
    <row r="2">
      <c r="A2" s="4" t="inlineStr">
        <is>
          <t>予想値（実績ではありません）。「週間出来高」シートの各週を計上月（同シート7行目）ごとに集計。月をまたぐ週は月曜の属する月に計上。</t>
        </is>
      </c>
    </row>
    <row r="4">
      <c r="A4" s="88" t="inlineStr">
        <is>
          <t>項</t>
        </is>
      </c>
      <c r="B4" s="88" t="inlineStr">
        <is>
          <t>名称</t>
        </is>
      </c>
      <c r="C4" s="88" t="inlineStr">
        <is>
          <t>区分</t>
        </is>
      </c>
      <c r="D4" s="88" t="inlineStr">
        <is>
          <t>契約金額（円）</t>
        </is>
      </c>
      <c r="E4" s="88" t="inlineStr">
        <is>
          <t>11月</t>
        </is>
      </c>
      <c r="F4" s="88" t="inlineStr">
        <is>
          <t>12月</t>
        </is>
      </c>
      <c r="G4" s="88" t="inlineStr">
        <is>
          <t>1月</t>
        </is>
      </c>
      <c r="H4" s="88" t="inlineStr">
        <is>
          <t>2月</t>
        </is>
      </c>
      <c r="I4" s="88" t="inlineStr">
        <is>
          <t>3月</t>
        </is>
      </c>
      <c r="J4" s="88" t="inlineStr">
        <is>
          <t>計</t>
        </is>
      </c>
      <c r="K4" s="88" t="inlineStr">
        <is>
          <t>100%チェック</t>
        </is>
      </c>
    </row>
    <row r="5">
      <c r="A5" s="30" t="inlineStr"/>
      <c r="B5" s="30" t="inlineStr">
        <is>
          <t>工事費 合計（税抜）</t>
        </is>
      </c>
      <c r="C5" s="89" t="inlineStr">
        <is>
          <t>月出来高率</t>
        </is>
      </c>
      <c r="D5" s="32">
        <f>'週間出来高'!D8</f>
        <v/>
      </c>
      <c r="E5" s="90">
        <f>SUMPRODUCT(('週間出来高'!$H$7:$AC$7=11)*'週間出来高'!$H$9:$AC$9)</f>
        <v/>
      </c>
      <c r="F5" s="90">
        <f>SUMPRODUCT(('週間出来高'!$H$7:$AC$7=12)*'週間出来高'!$H$9:$AC$9)</f>
        <v/>
      </c>
      <c r="G5" s="90">
        <f>SUMPRODUCT(('週間出来高'!$H$7:$AC$7=1)*'週間出来高'!$H$9:$AC$9)</f>
        <v/>
      </c>
      <c r="H5" s="90">
        <f>SUMPRODUCT(('週間出来高'!$H$7:$AC$7=2)*'週間出来高'!$H$9:$AC$9)</f>
        <v/>
      </c>
      <c r="I5" s="90">
        <f>SUMPRODUCT(('週間出来高'!$H$7:$AC$7=3)*'週間出来高'!$H$9:$AC$9)</f>
        <v/>
      </c>
      <c r="J5" s="90">
        <f>SUM(E5:I5)</f>
        <v/>
      </c>
      <c r="K5" s="91">
        <f>IF(AND(ABS(J5-1)&lt;0.0001,ABS(J7-D5)&lt;1),"OK","NG")</f>
        <v/>
      </c>
    </row>
    <row r="6">
      <c r="A6" s="36" t="n"/>
      <c r="B6" s="36" t="n"/>
      <c r="C6" s="92" t="inlineStr">
        <is>
          <t>累計出来高率</t>
        </is>
      </c>
      <c r="D6" s="38" t="n"/>
      <c r="E6" s="41">
        <f>E5</f>
        <v/>
      </c>
      <c r="F6" s="41">
        <f>E6+F5</f>
        <v/>
      </c>
      <c r="G6" s="41">
        <f>F6+G5</f>
        <v/>
      </c>
      <c r="H6" s="41">
        <f>G6+H5</f>
        <v/>
      </c>
      <c r="I6" s="41">
        <f>H6+I5</f>
        <v/>
      </c>
      <c r="J6" s="41">
        <f>I6</f>
        <v/>
      </c>
      <c r="K6" s="93" t="n"/>
    </row>
    <row r="7">
      <c r="A7" s="36" t="n"/>
      <c r="B7" s="36" t="n"/>
      <c r="C7" s="92" t="inlineStr">
        <is>
          <t>月出来高金額</t>
        </is>
      </c>
      <c r="D7" s="38" t="n"/>
      <c r="E7" s="42">
        <f>SUMPRODUCT(('週間出来高'!$H$7:$AC$7=11)*'週間出来高'!$H$11:$AC$11)</f>
        <v/>
      </c>
      <c r="F7" s="42">
        <f>SUMPRODUCT(('週間出来高'!$H$7:$AC$7=12)*'週間出来高'!$H$11:$AC$11)</f>
        <v/>
      </c>
      <c r="G7" s="42">
        <f>SUMPRODUCT(('週間出来高'!$H$7:$AC$7=1)*'週間出来高'!$H$11:$AC$11)</f>
        <v/>
      </c>
      <c r="H7" s="42">
        <f>SUMPRODUCT(('週間出来高'!$H$7:$AC$7=2)*'週間出来高'!$H$11:$AC$11)</f>
        <v/>
      </c>
      <c r="I7" s="42">
        <f>SUMPRODUCT(('週間出来高'!$H$7:$AC$7=3)*'週間出来高'!$H$11:$AC$11)</f>
        <v/>
      </c>
      <c r="J7" s="42">
        <f>SUM(E7:I7)</f>
        <v/>
      </c>
      <c r="K7" s="94" t="n"/>
    </row>
    <row r="8">
      <c r="A8" s="43" t="inlineStr">
        <is>
          <t>a)</t>
        </is>
      </c>
      <c r="B8" s="44" t="inlineStr">
        <is>
          <t>共通仮設工事</t>
        </is>
      </c>
      <c r="C8" s="95" t="inlineStr">
        <is>
          <t>月出来高率</t>
        </is>
      </c>
      <c r="D8" s="56">
        <f>'週間出来高'!D13</f>
        <v/>
      </c>
      <c r="E8" s="90">
        <f>SUMPRODUCT(('週間出来高'!$H$7:$AC$7=11)*'週間出来高'!$H$14:$AC$14)</f>
        <v/>
      </c>
      <c r="F8" s="90">
        <f>SUMPRODUCT(('週間出来高'!$H$7:$AC$7=12)*'週間出来高'!$H$14:$AC$14)</f>
        <v/>
      </c>
      <c r="G8" s="90">
        <f>SUMPRODUCT(('週間出来高'!$H$7:$AC$7=1)*'週間出来高'!$H$14:$AC$14)</f>
        <v/>
      </c>
      <c r="H8" s="90">
        <f>SUMPRODUCT(('週間出来高'!$H$7:$AC$7=2)*'週間出来高'!$H$14:$AC$14)</f>
        <v/>
      </c>
      <c r="I8" s="90">
        <f>SUMPRODUCT(('週間出来高'!$H$7:$AC$7=3)*'週間出来高'!$H$14:$AC$14)</f>
        <v/>
      </c>
      <c r="J8" s="90">
        <f>SUM(E8:I8)</f>
        <v/>
      </c>
      <c r="K8" s="91">
        <f>IF(AND(ABS(J8-1)&lt;0.0001,ABS(J10-D8)&lt;1),"OK","NG")</f>
        <v/>
      </c>
    </row>
    <row r="9">
      <c r="A9" s="50" t="n"/>
      <c r="B9" s="51" t="n"/>
      <c r="C9" s="96" t="inlineStr">
        <is>
          <t>累計出来高率</t>
        </is>
      </c>
      <c r="D9" s="57" t="n"/>
      <c r="E9" s="41">
        <f>E8</f>
        <v/>
      </c>
      <c r="F9" s="41">
        <f>E9+F8</f>
        <v/>
      </c>
      <c r="G9" s="41">
        <f>F9+G8</f>
        <v/>
      </c>
      <c r="H9" s="41">
        <f>G9+H8</f>
        <v/>
      </c>
      <c r="I9" s="41">
        <f>H9+I8</f>
        <v/>
      </c>
      <c r="J9" s="41">
        <f>I9</f>
        <v/>
      </c>
      <c r="K9" s="93" t="n"/>
    </row>
    <row r="10">
      <c r="A10" s="50" t="n"/>
      <c r="B10" s="51" t="n"/>
      <c r="C10" s="96" t="inlineStr">
        <is>
          <t>月出来高金額</t>
        </is>
      </c>
      <c r="D10" s="57" t="n"/>
      <c r="E10" s="42">
        <f>SUMPRODUCT(('週間出来高'!$H$7:$AC$7=11)*'週間出来高'!$H$16:$AC$16)</f>
        <v/>
      </c>
      <c r="F10" s="42">
        <f>SUMPRODUCT(('週間出来高'!$H$7:$AC$7=12)*'週間出来高'!$H$16:$AC$16)</f>
        <v/>
      </c>
      <c r="G10" s="42">
        <f>SUMPRODUCT(('週間出来高'!$H$7:$AC$7=1)*'週間出来高'!$H$16:$AC$16)</f>
        <v/>
      </c>
      <c r="H10" s="42">
        <f>SUMPRODUCT(('週間出来高'!$H$7:$AC$7=2)*'週間出来高'!$H$16:$AC$16)</f>
        <v/>
      </c>
      <c r="I10" s="42">
        <f>SUMPRODUCT(('週間出来高'!$H$7:$AC$7=3)*'週間出来高'!$H$16:$AC$16)</f>
        <v/>
      </c>
      <c r="J10" s="42">
        <f>SUM(E10:I10)</f>
        <v/>
      </c>
      <c r="K10" s="94" t="n"/>
    </row>
    <row r="11">
      <c r="A11" s="43" t="inlineStr">
        <is>
          <t>b)</t>
        </is>
      </c>
      <c r="B11" s="44" t="inlineStr">
        <is>
          <t>解体撤去工事</t>
        </is>
      </c>
      <c r="C11" s="95" t="inlineStr">
        <is>
          <t>月出来高率</t>
        </is>
      </c>
      <c r="D11" s="56">
        <f>'週間出来高'!D18</f>
        <v/>
      </c>
      <c r="E11" s="90">
        <f>SUMPRODUCT(('週間出来高'!$H$7:$AC$7=11)*'週間出来高'!$H$19:$AC$19)</f>
        <v/>
      </c>
      <c r="F11" s="90">
        <f>SUMPRODUCT(('週間出来高'!$H$7:$AC$7=12)*'週間出来高'!$H$19:$AC$19)</f>
        <v/>
      </c>
      <c r="G11" s="90">
        <f>SUMPRODUCT(('週間出来高'!$H$7:$AC$7=1)*'週間出来高'!$H$19:$AC$19)</f>
        <v/>
      </c>
      <c r="H11" s="90">
        <f>SUMPRODUCT(('週間出来高'!$H$7:$AC$7=2)*'週間出来高'!$H$19:$AC$19)</f>
        <v/>
      </c>
      <c r="I11" s="90">
        <f>SUMPRODUCT(('週間出来高'!$H$7:$AC$7=3)*'週間出来高'!$H$19:$AC$19)</f>
        <v/>
      </c>
      <c r="J11" s="90">
        <f>SUM(E11:I11)</f>
        <v/>
      </c>
      <c r="K11" s="91">
        <f>IF(AND(ABS(J11-1)&lt;0.0001,ABS(J13-D11)&lt;1),"OK","NG")</f>
        <v/>
      </c>
    </row>
    <row r="12">
      <c r="A12" s="50" t="n"/>
      <c r="B12" s="51" t="n"/>
      <c r="C12" s="96" t="inlineStr">
        <is>
          <t>累計出来高率</t>
        </is>
      </c>
      <c r="D12" s="57" t="n"/>
      <c r="E12" s="41">
        <f>E11</f>
        <v/>
      </c>
      <c r="F12" s="41">
        <f>E12+F11</f>
        <v/>
      </c>
      <c r="G12" s="41">
        <f>F12+G11</f>
        <v/>
      </c>
      <c r="H12" s="41">
        <f>G12+H11</f>
        <v/>
      </c>
      <c r="I12" s="41">
        <f>H12+I11</f>
        <v/>
      </c>
      <c r="J12" s="41">
        <f>I12</f>
        <v/>
      </c>
      <c r="K12" s="93" t="n"/>
    </row>
    <row r="13">
      <c r="A13" s="50" t="n"/>
      <c r="B13" s="51" t="n"/>
      <c r="C13" s="96" t="inlineStr">
        <is>
          <t>月出来高金額</t>
        </is>
      </c>
      <c r="D13" s="57" t="n"/>
      <c r="E13" s="42">
        <f>SUMPRODUCT(('週間出来高'!$H$7:$AC$7=11)*'週間出来高'!$H$21:$AC$21)</f>
        <v/>
      </c>
      <c r="F13" s="42">
        <f>SUMPRODUCT(('週間出来高'!$H$7:$AC$7=12)*'週間出来高'!$H$21:$AC$21)</f>
        <v/>
      </c>
      <c r="G13" s="42">
        <f>SUMPRODUCT(('週間出来高'!$H$7:$AC$7=1)*'週間出来高'!$H$21:$AC$21)</f>
        <v/>
      </c>
      <c r="H13" s="42">
        <f>SUMPRODUCT(('週間出来高'!$H$7:$AC$7=2)*'週間出来高'!$H$21:$AC$21)</f>
        <v/>
      </c>
      <c r="I13" s="42">
        <f>SUMPRODUCT(('週間出来高'!$H$7:$AC$7=3)*'週間出来高'!$H$21:$AC$21)</f>
        <v/>
      </c>
      <c r="J13" s="42">
        <f>SUM(E13:I13)</f>
        <v/>
      </c>
      <c r="K13" s="94" t="n"/>
    </row>
    <row r="14">
      <c r="A14" s="58" t="inlineStr">
        <is>
          <t>b)-1</t>
        </is>
      </c>
      <c r="B14" s="59" t="inlineStr">
        <is>
          <t>建築工事</t>
        </is>
      </c>
      <c r="C14" s="60" t="inlineStr">
        <is>
          <t>月出来高率</t>
        </is>
      </c>
      <c r="D14" s="73">
        <f>'週間出来高'!D23</f>
        <v/>
      </c>
      <c r="E14" s="97">
        <f>SUMPRODUCT(('週間出来高'!$H$7:$AC$7=11)*'週間出来高'!$H$24:$AC$24)</f>
        <v/>
      </c>
      <c r="F14" s="97">
        <f>SUMPRODUCT(('週間出来高'!$H$7:$AC$7=12)*'週間出来高'!$H$24:$AC$24)</f>
        <v/>
      </c>
      <c r="G14" s="97">
        <f>SUMPRODUCT(('週間出来高'!$H$7:$AC$7=1)*'週間出来高'!$H$24:$AC$24)</f>
        <v/>
      </c>
      <c r="H14" s="97">
        <f>SUMPRODUCT(('週間出来高'!$H$7:$AC$7=2)*'週間出来高'!$H$24:$AC$24)</f>
        <v/>
      </c>
      <c r="I14" s="97">
        <f>SUMPRODUCT(('週間出来高'!$H$7:$AC$7=3)*'週間出来高'!$H$24:$AC$24)</f>
        <v/>
      </c>
      <c r="J14" s="97">
        <f>SUM(E14:I14)</f>
        <v/>
      </c>
      <c r="K14" s="98">
        <f>IF(AND(ABS(J14-1)&lt;0.0001,ABS(J16-D14)&lt;1),"OK","NG")</f>
        <v/>
      </c>
    </row>
    <row r="15">
      <c r="A15" s="65" t="n"/>
      <c r="B15" s="66" t="n"/>
      <c r="C15" s="67" t="inlineStr">
        <is>
          <t>累計出来高率</t>
        </is>
      </c>
      <c r="D15" s="75" t="n"/>
      <c r="E15" s="71">
        <f>E14</f>
        <v/>
      </c>
      <c r="F15" s="71">
        <f>E15+F14</f>
        <v/>
      </c>
      <c r="G15" s="71">
        <f>F15+G14</f>
        <v/>
      </c>
      <c r="H15" s="71">
        <f>G15+H14</f>
        <v/>
      </c>
      <c r="I15" s="71">
        <f>H15+I14</f>
        <v/>
      </c>
      <c r="J15" s="71">
        <f>I15</f>
        <v/>
      </c>
      <c r="K15" s="99" t="n"/>
    </row>
    <row r="16">
      <c r="A16" s="65" t="n"/>
      <c r="B16" s="66" t="n"/>
      <c r="C16" s="67" t="inlineStr">
        <is>
          <t>月出来高金額</t>
        </is>
      </c>
      <c r="D16" s="75" t="n"/>
      <c r="E16" s="72">
        <f>SUMPRODUCT(('週間出来高'!$H$7:$AC$7=11)*'週間出来高'!$H$26:$AC$26)</f>
        <v/>
      </c>
      <c r="F16" s="72">
        <f>SUMPRODUCT(('週間出来高'!$H$7:$AC$7=12)*'週間出来高'!$H$26:$AC$26)</f>
        <v/>
      </c>
      <c r="G16" s="72">
        <f>SUMPRODUCT(('週間出来高'!$H$7:$AC$7=1)*'週間出来高'!$H$26:$AC$26)</f>
        <v/>
      </c>
      <c r="H16" s="72">
        <f>SUMPRODUCT(('週間出来高'!$H$7:$AC$7=2)*'週間出来高'!$H$26:$AC$26)</f>
        <v/>
      </c>
      <c r="I16" s="72">
        <f>SUMPRODUCT(('週間出来高'!$H$7:$AC$7=3)*'週間出来高'!$H$26:$AC$26)</f>
        <v/>
      </c>
      <c r="J16" s="72">
        <f>SUM(E16:I16)</f>
        <v/>
      </c>
      <c r="K16" s="100" t="n"/>
    </row>
    <row r="17">
      <c r="A17" s="58" t="inlineStr"/>
      <c r="B17" s="59" t="inlineStr">
        <is>
          <t>電気設備工事</t>
        </is>
      </c>
      <c r="C17" s="60" t="inlineStr">
        <is>
          <t>月出来高率</t>
        </is>
      </c>
      <c r="D17" s="73">
        <f>'週間出来高'!D28</f>
        <v/>
      </c>
      <c r="E17" s="97">
        <f>SUMPRODUCT(('週間出来高'!$H$7:$AC$7=11)*'週間出来高'!$H$29:$AC$29)</f>
        <v/>
      </c>
      <c r="F17" s="97">
        <f>SUMPRODUCT(('週間出来高'!$H$7:$AC$7=12)*'週間出来高'!$H$29:$AC$29)</f>
        <v/>
      </c>
      <c r="G17" s="97">
        <f>SUMPRODUCT(('週間出来高'!$H$7:$AC$7=1)*'週間出来高'!$H$29:$AC$29)</f>
        <v/>
      </c>
      <c r="H17" s="97">
        <f>SUMPRODUCT(('週間出来高'!$H$7:$AC$7=2)*'週間出来高'!$H$29:$AC$29)</f>
        <v/>
      </c>
      <c r="I17" s="97">
        <f>SUMPRODUCT(('週間出来高'!$H$7:$AC$7=3)*'週間出来高'!$H$29:$AC$29)</f>
        <v/>
      </c>
      <c r="J17" s="97">
        <f>SUM(E17:I17)</f>
        <v/>
      </c>
      <c r="K17" s="98">
        <f>IF(AND(ABS(J17-1)&lt;0.0001,ABS(J19-D17)&lt;1),"OK","NG")</f>
        <v/>
      </c>
    </row>
    <row r="18">
      <c r="A18" s="65" t="n"/>
      <c r="B18" s="66" t="n"/>
      <c r="C18" s="67" t="inlineStr">
        <is>
          <t>累計出来高率</t>
        </is>
      </c>
      <c r="D18" s="75" t="n"/>
      <c r="E18" s="71">
        <f>E17</f>
        <v/>
      </c>
      <c r="F18" s="71">
        <f>E18+F17</f>
        <v/>
      </c>
      <c r="G18" s="71">
        <f>F18+G17</f>
        <v/>
      </c>
      <c r="H18" s="71">
        <f>G18+H17</f>
        <v/>
      </c>
      <c r="I18" s="71">
        <f>H18+I17</f>
        <v/>
      </c>
      <c r="J18" s="71">
        <f>I18</f>
        <v/>
      </c>
      <c r="K18" s="99" t="n"/>
    </row>
    <row r="19">
      <c r="A19" s="65" t="n"/>
      <c r="B19" s="66" t="n"/>
      <c r="C19" s="67" t="inlineStr">
        <is>
          <t>月出来高金額</t>
        </is>
      </c>
      <c r="D19" s="75" t="n"/>
      <c r="E19" s="72">
        <f>SUMPRODUCT(('週間出来高'!$H$7:$AC$7=11)*'週間出来高'!$H$31:$AC$31)</f>
        <v/>
      </c>
      <c r="F19" s="72">
        <f>SUMPRODUCT(('週間出来高'!$H$7:$AC$7=12)*'週間出来高'!$H$31:$AC$31)</f>
        <v/>
      </c>
      <c r="G19" s="72">
        <f>SUMPRODUCT(('週間出来高'!$H$7:$AC$7=1)*'週間出来高'!$H$31:$AC$31)</f>
        <v/>
      </c>
      <c r="H19" s="72">
        <f>SUMPRODUCT(('週間出来高'!$H$7:$AC$7=2)*'週間出来高'!$H$31:$AC$31)</f>
        <v/>
      </c>
      <c r="I19" s="72">
        <f>SUMPRODUCT(('週間出来高'!$H$7:$AC$7=3)*'週間出来高'!$H$31:$AC$31)</f>
        <v/>
      </c>
      <c r="J19" s="72">
        <f>SUM(E19:I19)</f>
        <v/>
      </c>
      <c r="K19" s="100" t="n"/>
    </row>
    <row r="20">
      <c r="A20" s="58" t="inlineStr"/>
      <c r="B20" s="59" t="inlineStr">
        <is>
          <t>空気調和設備工事</t>
        </is>
      </c>
      <c r="C20" s="60" t="inlineStr">
        <is>
          <t>月出来高率</t>
        </is>
      </c>
      <c r="D20" s="73">
        <f>'週間出来高'!D33</f>
        <v/>
      </c>
      <c r="E20" s="97">
        <f>SUMPRODUCT(('週間出来高'!$H$7:$AC$7=11)*'週間出来高'!$H$34:$AC$34)</f>
        <v/>
      </c>
      <c r="F20" s="97">
        <f>SUMPRODUCT(('週間出来高'!$H$7:$AC$7=12)*'週間出来高'!$H$34:$AC$34)</f>
        <v/>
      </c>
      <c r="G20" s="97">
        <f>SUMPRODUCT(('週間出来高'!$H$7:$AC$7=1)*'週間出来高'!$H$34:$AC$34)</f>
        <v/>
      </c>
      <c r="H20" s="97">
        <f>SUMPRODUCT(('週間出来高'!$H$7:$AC$7=2)*'週間出来高'!$H$34:$AC$34)</f>
        <v/>
      </c>
      <c r="I20" s="97">
        <f>SUMPRODUCT(('週間出来高'!$H$7:$AC$7=3)*'週間出来高'!$H$34:$AC$34)</f>
        <v/>
      </c>
      <c r="J20" s="97">
        <f>SUM(E20:I20)</f>
        <v/>
      </c>
      <c r="K20" s="98">
        <f>IF(AND(ABS(J20-1)&lt;0.0001,ABS(J22-D20)&lt;1),"OK","NG")</f>
        <v/>
      </c>
    </row>
    <row r="21">
      <c r="A21" s="65" t="n"/>
      <c r="B21" s="66" t="n"/>
      <c r="C21" s="67" t="inlineStr">
        <is>
          <t>累計出来高率</t>
        </is>
      </c>
      <c r="D21" s="75" t="n"/>
      <c r="E21" s="71">
        <f>E20</f>
        <v/>
      </c>
      <c r="F21" s="71">
        <f>E21+F20</f>
        <v/>
      </c>
      <c r="G21" s="71">
        <f>F21+G20</f>
        <v/>
      </c>
      <c r="H21" s="71">
        <f>G21+H20</f>
        <v/>
      </c>
      <c r="I21" s="71">
        <f>H21+I20</f>
        <v/>
      </c>
      <c r="J21" s="71">
        <f>I21</f>
        <v/>
      </c>
      <c r="K21" s="99" t="n"/>
    </row>
    <row r="22">
      <c r="A22" s="65" t="n"/>
      <c r="B22" s="66" t="n"/>
      <c r="C22" s="67" t="inlineStr">
        <is>
          <t>月出来高金額</t>
        </is>
      </c>
      <c r="D22" s="75" t="n"/>
      <c r="E22" s="72">
        <f>SUMPRODUCT(('週間出来高'!$H$7:$AC$7=11)*'週間出来高'!$H$36:$AC$36)</f>
        <v/>
      </c>
      <c r="F22" s="72">
        <f>SUMPRODUCT(('週間出来高'!$H$7:$AC$7=12)*'週間出来高'!$H$36:$AC$36)</f>
        <v/>
      </c>
      <c r="G22" s="72">
        <f>SUMPRODUCT(('週間出来高'!$H$7:$AC$7=1)*'週間出来高'!$H$36:$AC$36)</f>
        <v/>
      </c>
      <c r="H22" s="72">
        <f>SUMPRODUCT(('週間出来高'!$H$7:$AC$7=2)*'週間出来高'!$H$36:$AC$36)</f>
        <v/>
      </c>
      <c r="I22" s="72">
        <f>SUMPRODUCT(('週間出来高'!$H$7:$AC$7=3)*'週間出来高'!$H$36:$AC$36)</f>
        <v/>
      </c>
      <c r="J22" s="72">
        <f>SUM(E22:I22)</f>
        <v/>
      </c>
      <c r="K22" s="100" t="n"/>
    </row>
    <row r="23">
      <c r="A23" s="58" t="inlineStr"/>
      <c r="B23" s="59" t="inlineStr">
        <is>
          <t>衛生設備工事</t>
        </is>
      </c>
      <c r="C23" s="60" t="inlineStr">
        <is>
          <t>月出来高率</t>
        </is>
      </c>
      <c r="D23" s="73">
        <f>'週間出来高'!D38</f>
        <v/>
      </c>
      <c r="E23" s="97">
        <f>SUMPRODUCT(('週間出来高'!$H$7:$AC$7=11)*'週間出来高'!$H$39:$AC$39)</f>
        <v/>
      </c>
      <c r="F23" s="97">
        <f>SUMPRODUCT(('週間出来高'!$H$7:$AC$7=12)*'週間出来高'!$H$39:$AC$39)</f>
        <v/>
      </c>
      <c r="G23" s="97">
        <f>SUMPRODUCT(('週間出来高'!$H$7:$AC$7=1)*'週間出来高'!$H$39:$AC$39)</f>
        <v/>
      </c>
      <c r="H23" s="97">
        <f>SUMPRODUCT(('週間出来高'!$H$7:$AC$7=2)*'週間出来高'!$H$39:$AC$39)</f>
        <v/>
      </c>
      <c r="I23" s="97">
        <f>SUMPRODUCT(('週間出来高'!$H$7:$AC$7=3)*'週間出来高'!$H$39:$AC$39)</f>
        <v/>
      </c>
      <c r="J23" s="97">
        <f>SUM(E23:I23)</f>
        <v/>
      </c>
      <c r="K23" s="98">
        <f>IF(AND(ABS(J23-1)&lt;0.0001,ABS(J25-D23)&lt;1),"OK","NG")</f>
        <v/>
      </c>
    </row>
    <row r="24">
      <c r="A24" s="65" t="n"/>
      <c r="B24" s="66" t="n"/>
      <c r="C24" s="67" t="inlineStr">
        <is>
          <t>累計出来高率</t>
        </is>
      </c>
      <c r="D24" s="75" t="n"/>
      <c r="E24" s="71">
        <f>E23</f>
        <v/>
      </c>
      <c r="F24" s="71">
        <f>E24+F23</f>
        <v/>
      </c>
      <c r="G24" s="71">
        <f>F24+G23</f>
        <v/>
      </c>
      <c r="H24" s="71">
        <f>G24+H23</f>
        <v/>
      </c>
      <c r="I24" s="71">
        <f>H24+I23</f>
        <v/>
      </c>
      <c r="J24" s="71">
        <f>I24</f>
        <v/>
      </c>
      <c r="K24" s="99" t="n"/>
    </row>
    <row r="25">
      <c r="A25" s="65" t="n"/>
      <c r="B25" s="66" t="n"/>
      <c r="C25" s="67" t="inlineStr">
        <is>
          <t>月出来高金額</t>
        </is>
      </c>
      <c r="D25" s="75" t="n"/>
      <c r="E25" s="72">
        <f>SUMPRODUCT(('週間出来高'!$H$7:$AC$7=11)*'週間出来高'!$H$41:$AC$41)</f>
        <v/>
      </c>
      <c r="F25" s="72">
        <f>SUMPRODUCT(('週間出来高'!$H$7:$AC$7=12)*'週間出来高'!$H$41:$AC$41)</f>
        <v/>
      </c>
      <c r="G25" s="72">
        <f>SUMPRODUCT(('週間出来高'!$H$7:$AC$7=1)*'週間出来高'!$H$41:$AC$41)</f>
        <v/>
      </c>
      <c r="H25" s="72">
        <f>SUMPRODUCT(('週間出来高'!$H$7:$AC$7=2)*'週間出来高'!$H$41:$AC$41)</f>
        <v/>
      </c>
      <c r="I25" s="72">
        <f>SUMPRODUCT(('週間出来高'!$H$7:$AC$7=3)*'週間出来高'!$H$41:$AC$41)</f>
        <v/>
      </c>
      <c r="J25" s="72">
        <f>SUM(E25:I25)</f>
        <v/>
      </c>
      <c r="K25" s="100" t="n"/>
    </row>
    <row r="26">
      <c r="A26" s="43" t="inlineStr">
        <is>
          <t>c)</t>
        </is>
      </c>
      <c r="B26" s="44" t="inlineStr">
        <is>
          <t>改修工事</t>
        </is>
      </c>
      <c r="C26" s="95" t="inlineStr">
        <is>
          <t>月出来高率</t>
        </is>
      </c>
      <c r="D26" s="56">
        <f>'週間出来高'!D43</f>
        <v/>
      </c>
      <c r="E26" s="90">
        <f>SUMPRODUCT(('週間出来高'!$H$7:$AC$7=11)*'週間出来高'!$H$44:$AC$44)</f>
        <v/>
      </c>
      <c r="F26" s="90">
        <f>SUMPRODUCT(('週間出来高'!$H$7:$AC$7=12)*'週間出来高'!$H$44:$AC$44)</f>
        <v/>
      </c>
      <c r="G26" s="90">
        <f>SUMPRODUCT(('週間出来高'!$H$7:$AC$7=1)*'週間出来高'!$H$44:$AC$44)</f>
        <v/>
      </c>
      <c r="H26" s="90">
        <f>SUMPRODUCT(('週間出来高'!$H$7:$AC$7=2)*'週間出来高'!$H$44:$AC$44)</f>
        <v/>
      </c>
      <c r="I26" s="90">
        <f>SUMPRODUCT(('週間出来高'!$H$7:$AC$7=3)*'週間出来高'!$H$44:$AC$44)</f>
        <v/>
      </c>
      <c r="J26" s="90">
        <f>SUM(E26:I26)</f>
        <v/>
      </c>
      <c r="K26" s="91">
        <f>IF(AND(ABS(J26-1)&lt;0.0001,ABS(J28-D26)&lt;1),"OK","NG")</f>
        <v/>
      </c>
    </row>
    <row r="27">
      <c r="A27" s="50" t="n"/>
      <c r="B27" s="51" t="n"/>
      <c r="C27" s="96" t="inlineStr">
        <is>
          <t>累計出来高率</t>
        </is>
      </c>
      <c r="D27" s="57" t="n"/>
      <c r="E27" s="41">
        <f>E26</f>
        <v/>
      </c>
      <c r="F27" s="41">
        <f>E27+F26</f>
        <v/>
      </c>
      <c r="G27" s="41">
        <f>F27+G26</f>
        <v/>
      </c>
      <c r="H27" s="41">
        <f>G27+H26</f>
        <v/>
      </c>
      <c r="I27" s="41">
        <f>H27+I26</f>
        <v/>
      </c>
      <c r="J27" s="41">
        <f>I27</f>
        <v/>
      </c>
      <c r="K27" s="93" t="n"/>
    </row>
    <row r="28">
      <c r="A28" s="50" t="n"/>
      <c r="B28" s="51" t="n"/>
      <c r="C28" s="96" t="inlineStr">
        <is>
          <t>月出来高金額</t>
        </is>
      </c>
      <c r="D28" s="57" t="n"/>
      <c r="E28" s="42">
        <f>SUMPRODUCT(('週間出来高'!$H$7:$AC$7=11)*'週間出来高'!$H$46:$AC$46)</f>
        <v/>
      </c>
      <c r="F28" s="42">
        <f>SUMPRODUCT(('週間出来高'!$H$7:$AC$7=12)*'週間出来高'!$H$46:$AC$46)</f>
        <v/>
      </c>
      <c r="G28" s="42">
        <f>SUMPRODUCT(('週間出来高'!$H$7:$AC$7=1)*'週間出来高'!$H$46:$AC$46)</f>
        <v/>
      </c>
      <c r="H28" s="42">
        <f>SUMPRODUCT(('週間出来高'!$H$7:$AC$7=2)*'週間出来高'!$H$46:$AC$46)</f>
        <v/>
      </c>
      <c r="I28" s="42">
        <f>SUMPRODUCT(('週間出来高'!$H$7:$AC$7=3)*'週間出来高'!$H$46:$AC$46)</f>
        <v/>
      </c>
      <c r="J28" s="42">
        <f>SUM(E28:I28)</f>
        <v/>
      </c>
      <c r="K28" s="94" t="n"/>
    </row>
    <row r="29">
      <c r="A29" s="58" t="inlineStr">
        <is>
          <t>c)-1</t>
        </is>
      </c>
      <c r="B29" s="59" t="inlineStr">
        <is>
          <t>建築工事</t>
        </is>
      </c>
      <c r="C29" s="60" t="inlineStr">
        <is>
          <t>月出来高率</t>
        </is>
      </c>
      <c r="D29" s="73">
        <f>'週間出来高'!D48</f>
        <v/>
      </c>
      <c r="E29" s="97">
        <f>SUMPRODUCT(('週間出来高'!$H$7:$AC$7=11)*'週間出来高'!$H$49:$AC$49)</f>
        <v/>
      </c>
      <c r="F29" s="97">
        <f>SUMPRODUCT(('週間出来高'!$H$7:$AC$7=12)*'週間出来高'!$H$49:$AC$49)</f>
        <v/>
      </c>
      <c r="G29" s="97">
        <f>SUMPRODUCT(('週間出来高'!$H$7:$AC$7=1)*'週間出来高'!$H$49:$AC$49)</f>
        <v/>
      </c>
      <c r="H29" s="97">
        <f>SUMPRODUCT(('週間出来高'!$H$7:$AC$7=2)*'週間出来高'!$H$49:$AC$49)</f>
        <v/>
      </c>
      <c r="I29" s="97">
        <f>SUMPRODUCT(('週間出来高'!$H$7:$AC$7=3)*'週間出来高'!$H$49:$AC$49)</f>
        <v/>
      </c>
      <c r="J29" s="97">
        <f>SUM(E29:I29)</f>
        <v/>
      </c>
      <c r="K29" s="98">
        <f>IF(AND(ABS(J29-1)&lt;0.0001,ABS(J31-D29)&lt;1),"OK","NG")</f>
        <v/>
      </c>
    </row>
    <row r="30">
      <c r="A30" s="65" t="n"/>
      <c r="B30" s="66" t="n"/>
      <c r="C30" s="67" t="inlineStr">
        <is>
          <t>累計出来高率</t>
        </is>
      </c>
      <c r="D30" s="75" t="n"/>
      <c r="E30" s="71">
        <f>E29</f>
        <v/>
      </c>
      <c r="F30" s="71">
        <f>E30+F29</f>
        <v/>
      </c>
      <c r="G30" s="71">
        <f>F30+G29</f>
        <v/>
      </c>
      <c r="H30" s="71">
        <f>G30+H29</f>
        <v/>
      </c>
      <c r="I30" s="71">
        <f>H30+I29</f>
        <v/>
      </c>
      <c r="J30" s="71">
        <f>I30</f>
        <v/>
      </c>
      <c r="K30" s="99" t="n"/>
    </row>
    <row r="31">
      <c r="A31" s="65" t="n"/>
      <c r="B31" s="66" t="n"/>
      <c r="C31" s="67" t="inlineStr">
        <is>
          <t>月出来高金額</t>
        </is>
      </c>
      <c r="D31" s="75" t="n"/>
      <c r="E31" s="72">
        <f>SUMPRODUCT(('週間出来高'!$H$7:$AC$7=11)*'週間出来高'!$H$51:$AC$51)</f>
        <v/>
      </c>
      <c r="F31" s="72">
        <f>SUMPRODUCT(('週間出来高'!$H$7:$AC$7=12)*'週間出来高'!$H$51:$AC$51)</f>
        <v/>
      </c>
      <c r="G31" s="72">
        <f>SUMPRODUCT(('週間出来高'!$H$7:$AC$7=1)*'週間出来高'!$H$51:$AC$51)</f>
        <v/>
      </c>
      <c r="H31" s="72">
        <f>SUMPRODUCT(('週間出来高'!$H$7:$AC$7=2)*'週間出来高'!$H$51:$AC$51)</f>
        <v/>
      </c>
      <c r="I31" s="72">
        <f>SUMPRODUCT(('週間出来高'!$H$7:$AC$7=3)*'週間出来高'!$H$51:$AC$51)</f>
        <v/>
      </c>
      <c r="J31" s="72">
        <f>SUM(E31:I31)</f>
        <v/>
      </c>
      <c r="K31" s="100" t="n"/>
    </row>
    <row r="32">
      <c r="A32" s="76" t="inlineStr">
        <is>
          <t>1</t>
        </is>
      </c>
      <c r="B32" s="77" t="inlineStr">
        <is>
          <t>直接仮設工事</t>
        </is>
      </c>
      <c r="C32" s="78" t="inlineStr">
        <is>
          <t>月出来高率</t>
        </is>
      </c>
      <c r="D32" s="101">
        <f>'週間出来高'!D53</f>
        <v/>
      </c>
      <c r="E32" s="97">
        <f>SUMPRODUCT(('週間出来高'!$H$7:$AC$7=11)*'週間出来高'!$H$54:$AC$54)</f>
        <v/>
      </c>
      <c r="F32" s="97">
        <f>SUMPRODUCT(('週間出来高'!$H$7:$AC$7=12)*'週間出来高'!$H$54:$AC$54)</f>
        <v/>
      </c>
      <c r="G32" s="97">
        <f>SUMPRODUCT(('週間出来高'!$H$7:$AC$7=1)*'週間出来高'!$H$54:$AC$54)</f>
        <v/>
      </c>
      <c r="H32" s="97">
        <f>SUMPRODUCT(('週間出来高'!$H$7:$AC$7=2)*'週間出来高'!$H$54:$AC$54)</f>
        <v/>
      </c>
      <c r="I32" s="97">
        <f>SUMPRODUCT(('週間出来高'!$H$7:$AC$7=3)*'週間出来高'!$H$54:$AC$54)</f>
        <v/>
      </c>
      <c r="J32" s="97">
        <f>SUM(E32:I32)</f>
        <v/>
      </c>
      <c r="K32" s="98">
        <f>IF(AND(ABS(J32-1)&lt;0.0001,ABS(J34-D32)&lt;1),"OK","NG")</f>
        <v/>
      </c>
    </row>
    <row r="33">
      <c r="A33" s="82" t="n"/>
      <c r="B33" s="83" t="n"/>
      <c r="C33" s="84" t="inlineStr">
        <is>
          <t>累計出来高率</t>
        </is>
      </c>
      <c r="D33" s="102" t="n"/>
      <c r="E33" s="71">
        <f>E32</f>
        <v/>
      </c>
      <c r="F33" s="71">
        <f>E33+F32</f>
        <v/>
      </c>
      <c r="G33" s="71">
        <f>F33+G32</f>
        <v/>
      </c>
      <c r="H33" s="71">
        <f>G33+H32</f>
        <v/>
      </c>
      <c r="I33" s="71">
        <f>H33+I32</f>
        <v/>
      </c>
      <c r="J33" s="71">
        <f>I33</f>
        <v/>
      </c>
      <c r="K33" s="99" t="n"/>
    </row>
    <row r="34">
      <c r="A34" s="82" t="n"/>
      <c r="B34" s="83" t="n"/>
      <c r="C34" s="84" t="inlineStr">
        <is>
          <t>月出来高金額</t>
        </is>
      </c>
      <c r="D34" s="102" t="n"/>
      <c r="E34" s="72">
        <f>SUMPRODUCT(('週間出来高'!$H$7:$AC$7=11)*'週間出来高'!$H$56:$AC$56)</f>
        <v/>
      </c>
      <c r="F34" s="72">
        <f>SUMPRODUCT(('週間出来高'!$H$7:$AC$7=12)*'週間出来高'!$H$56:$AC$56)</f>
        <v/>
      </c>
      <c r="G34" s="72">
        <f>SUMPRODUCT(('週間出来高'!$H$7:$AC$7=1)*'週間出来高'!$H$56:$AC$56)</f>
        <v/>
      </c>
      <c r="H34" s="72">
        <f>SUMPRODUCT(('週間出来高'!$H$7:$AC$7=2)*'週間出来高'!$H$56:$AC$56)</f>
        <v/>
      </c>
      <c r="I34" s="72">
        <f>SUMPRODUCT(('週間出来高'!$H$7:$AC$7=3)*'週間出来高'!$H$56:$AC$56)</f>
        <v/>
      </c>
      <c r="J34" s="72">
        <f>SUM(E34:I34)</f>
        <v/>
      </c>
      <c r="K34" s="100" t="n"/>
    </row>
    <row r="35">
      <c r="A35" s="76" t="inlineStr">
        <is>
          <t>2</t>
        </is>
      </c>
      <c r="B35" s="77" t="inlineStr">
        <is>
          <t>躯体工事</t>
        </is>
      </c>
      <c r="C35" s="78" t="inlineStr">
        <is>
          <t>月出来高率</t>
        </is>
      </c>
      <c r="D35" s="101">
        <f>'週間出来高'!D58</f>
        <v/>
      </c>
      <c r="E35" s="97">
        <f>SUMPRODUCT(('週間出来高'!$H$7:$AC$7=11)*'週間出来高'!$H$59:$AC$59)</f>
        <v/>
      </c>
      <c r="F35" s="97">
        <f>SUMPRODUCT(('週間出来高'!$H$7:$AC$7=12)*'週間出来高'!$H$59:$AC$59)</f>
        <v/>
      </c>
      <c r="G35" s="97">
        <f>SUMPRODUCT(('週間出来高'!$H$7:$AC$7=1)*'週間出来高'!$H$59:$AC$59)</f>
        <v/>
      </c>
      <c r="H35" s="97">
        <f>SUMPRODUCT(('週間出来高'!$H$7:$AC$7=2)*'週間出来高'!$H$59:$AC$59)</f>
        <v/>
      </c>
      <c r="I35" s="97">
        <f>SUMPRODUCT(('週間出来高'!$H$7:$AC$7=3)*'週間出来高'!$H$59:$AC$59)</f>
        <v/>
      </c>
      <c r="J35" s="97">
        <f>SUM(E35:I35)</f>
        <v/>
      </c>
      <c r="K35" s="98">
        <f>IF(AND(ABS(J35-1)&lt;0.0001,ABS(J37-D35)&lt;1),"OK","NG")</f>
        <v/>
      </c>
    </row>
    <row r="36">
      <c r="A36" s="82" t="n"/>
      <c r="B36" s="83" t="n"/>
      <c r="C36" s="84" t="inlineStr">
        <is>
          <t>累計出来高率</t>
        </is>
      </c>
      <c r="D36" s="102" t="n"/>
      <c r="E36" s="71">
        <f>E35</f>
        <v/>
      </c>
      <c r="F36" s="71">
        <f>E36+F35</f>
        <v/>
      </c>
      <c r="G36" s="71">
        <f>F36+G35</f>
        <v/>
      </c>
      <c r="H36" s="71">
        <f>G36+H35</f>
        <v/>
      </c>
      <c r="I36" s="71">
        <f>H36+I35</f>
        <v/>
      </c>
      <c r="J36" s="71">
        <f>I36</f>
        <v/>
      </c>
      <c r="K36" s="99" t="n"/>
    </row>
    <row r="37">
      <c r="A37" s="82" t="n"/>
      <c r="B37" s="83" t="n"/>
      <c r="C37" s="84" t="inlineStr">
        <is>
          <t>月出来高金額</t>
        </is>
      </c>
      <c r="D37" s="102" t="n"/>
      <c r="E37" s="72">
        <f>SUMPRODUCT(('週間出来高'!$H$7:$AC$7=11)*'週間出来高'!$H$61:$AC$61)</f>
        <v/>
      </c>
      <c r="F37" s="72">
        <f>SUMPRODUCT(('週間出来高'!$H$7:$AC$7=12)*'週間出来高'!$H$61:$AC$61)</f>
        <v/>
      </c>
      <c r="G37" s="72">
        <f>SUMPRODUCT(('週間出来高'!$H$7:$AC$7=1)*'週間出来高'!$H$61:$AC$61)</f>
        <v/>
      </c>
      <c r="H37" s="72">
        <f>SUMPRODUCT(('週間出来高'!$H$7:$AC$7=2)*'週間出来高'!$H$61:$AC$61)</f>
        <v/>
      </c>
      <c r="I37" s="72">
        <f>SUMPRODUCT(('週間出来高'!$H$7:$AC$7=3)*'週間出来高'!$H$61:$AC$61)</f>
        <v/>
      </c>
      <c r="J37" s="72">
        <f>SUM(E37:I37)</f>
        <v/>
      </c>
      <c r="K37" s="100" t="n"/>
    </row>
    <row r="38">
      <c r="A38" s="76" t="inlineStr">
        <is>
          <t>3</t>
        </is>
      </c>
      <c r="B38" s="77" t="inlineStr">
        <is>
          <t>防水工事</t>
        </is>
      </c>
      <c r="C38" s="78" t="inlineStr">
        <is>
          <t>月出来高率</t>
        </is>
      </c>
      <c r="D38" s="101">
        <f>'週間出来高'!D63</f>
        <v/>
      </c>
      <c r="E38" s="97">
        <f>SUMPRODUCT(('週間出来高'!$H$7:$AC$7=11)*'週間出来高'!$H$64:$AC$64)</f>
        <v/>
      </c>
      <c r="F38" s="97">
        <f>SUMPRODUCT(('週間出来高'!$H$7:$AC$7=12)*'週間出来高'!$H$64:$AC$64)</f>
        <v/>
      </c>
      <c r="G38" s="97">
        <f>SUMPRODUCT(('週間出来高'!$H$7:$AC$7=1)*'週間出来高'!$H$64:$AC$64)</f>
        <v/>
      </c>
      <c r="H38" s="97">
        <f>SUMPRODUCT(('週間出来高'!$H$7:$AC$7=2)*'週間出来高'!$H$64:$AC$64)</f>
        <v/>
      </c>
      <c r="I38" s="97">
        <f>SUMPRODUCT(('週間出来高'!$H$7:$AC$7=3)*'週間出来高'!$H$64:$AC$64)</f>
        <v/>
      </c>
      <c r="J38" s="97">
        <f>SUM(E38:I38)</f>
        <v/>
      </c>
      <c r="K38" s="98">
        <f>IF(AND(ABS(J38-1)&lt;0.0001,ABS(J40-D38)&lt;1),"OK","NG")</f>
        <v/>
      </c>
    </row>
    <row r="39">
      <c r="A39" s="82" t="n"/>
      <c r="B39" s="83" t="n"/>
      <c r="C39" s="84" t="inlineStr">
        <is>
          <t>累計出来高率</t>
        </is>
      </c>
      <c r="D39" s="102" t="n"/>
      <c r="E39" s="71">
        <f>E38</f>
        <v/>
      </c>
      <c r="F39" s="71">
        <f>E39+F38</f>
        <v/>
      </c>
      <c r="G39" s="71">
        <f>F39+G38</f>
        <v/>
      </c>
      <c r="H39" s="71">
        <f>G39+H38</f>
        <v/>
      </c>
      <c r="I39" s="71">
        <f>H39+I38</f>
        <v/>
      </c>
      <c r="J39" s="71">
        <f>I39</f>
        <v/>
      </c>
      <c r="K39" s="99" t="n"/>
    </row>
    <row r="40">
      <c r="A40" s="82" t="n"/>
      <c r="B40" s="83" t="n"/>
      <c r="C40" s="84" t="inlineStr">
        <is>
          <t>月出来高金額</t>
        </is>
      </c>
      <c r="D40" s="102" t="n"/>
      <c r="E40" s="72">
        <f>SUMPRODUCT(('週間出来高'!$H$7:$AC$7=11)*'週間出来高'!$H$66:$AC$66)</f>
        <v/>
      </c>
      <c r="F40" s="72">
        <f>SUMPRODUCT(('週間出来高'!$H$7:$AC$7=12)*'週間出来高'!$H$66:$AC$66)</f>
        <v/>
      </c>
      <c r="G40" s="72">
        <f>SUMPRODUCT(('週間出来高'!$H$7:$AC$7=1)*'週間出来高'!$H$66:$AC$66)</f>
        <v/>
      </c>
      <c r="H40" s="72">
        <f>SUMPRODUCT(('週間出来高'!$H$7:$AC$7=2)*'週間出来高'!$H$66:$AC$66)</f>
        <v/>
      </c>
      <c r="I40" s="72">
        <f>SUMPRODUCT(('週間出来高'!$H$7:$AC$7=3)*'週間出来高'!$H$66:$AC$66)</f>
        <v/>
      </c>
      <c r="J40" s="72">
        <f>SUM(E40:I40)</f>
        <v/>
      </c>
      <c r="K40" s="100" t="n"/>
    </row>
    <row r="41">
      <c r="A41" s="76" t="inlineStr">
        <is>
          <t>4</t>
        </is>
      </c>
      <c r="B41" s="77" t="inlineStr">
        <is>
          <t>タイル工事</t>
        </is>
      </c>
      <c r="C41" s="78" t="inlineStr">
        <is>
          <t>月出来高率</t>
        </is>
      </c>
      <c r="D41" s="101">
        <f>'週間出来高'!D68</f>
        <v/>
      </c>
      <c r="E41" s="97">
        <f>SUMPRODUCT(('週間出来高'!$H$7:$AC$7=11)*'週間出来高'!$H$69:$AC$69)</f>
        <v/>
      </c>
      <c r="F41" s="97">
        <f>SUMPRODUCT(('週間出来高'!$H$7:$AC$7=12)*'週間出来高'!$H$69:$AC$69)</f>
        <v/>
      </c>
      <c r="G41" s="97">
        <f>SUMPRODUCT(('週間出来高'!$H$7:$AC$7=1)*'週間出来高'!$H$69:$AC$69)</f>
        <v/>
      </c>
      <c r="H41" s="97">
        <f>SUMPRODUCT(('週間出来高'!$H$7:$AC$7=2)*'週間出来高'!$H$69:$AC$69)</f>
        <v/>
      </c>
      <c r="I41" s="97">
        <f>SUMPRODUCT(('週間出来高'!$H$7:$AC$7=3)*'週間出来高'!$H$69:$AC$69)</f>
        <v/>
      </c>
      <c r="J41" s="97">
        <f>SUM(E41:I41)</f>
        <v/>
      </c>
      <c r="K41" s="98">
        <f>IF(AND(ABS(J41-1)&lt;0.0001,ABS(J43-D41)&lt;1),"OK","NG")</f>
        <v/>
      </c>
    </row>
    <row r="42">
      <c r="A42" s="82" t="n"/>
      <c r="B42" s="83" t="n"/>
      <c r="C42" s="84" t="inlineStr">
        <is>
          <t>累計出来高率</t>
        </is>
      </c>
      <c r="D42" s="102" t="n"/>
      <c r="E42" s="71">
        <f>E41</f>
        <v/>
      </c>
      <c r="F42" s="71">
        <f>E42+F41</f>
        <v/>
      </c>
      <c r="G42" s="71">
        <f>F42+G41</f>
        <v/>
      </c>
      <c r="H42" s="71">
        <f>G42+H41</f>
        <v/>
      </c>
      <c r="I42" s="71">
        <f>H42+I41</f>
        <v/>
      </c>
      <c r="J42" s="71">
        <f>I42</f>
        <v/>
      </c>
      <c r="K42" s="99" t="n"/>
    </row>
    <row r="43">
      <c r="A43" s="82" t="n"/>
      <c r="B43" s="83" t="n"/>
      <c r="C43" s="84" t="inlineStr">
        <is>
          <t>月出来高金額</t>
        </is>
      </c>
      <c r="D43" s="102" t="n"/>
      <c r="E43" s="72">
        <f>SUMPRODUCT(('週間出来高'!$H$7:$AC$7=11)*'週間出来高'!$H$71:$AC$71)</f>
        <v/>
      </c>
      <c r="F43" s="72">
        <f>SUMPRODUCT(('週間出来高'!$H$7:$AC$7=12)*'週間出来高'!$H$71:$AC$71)</f>
        <v/>
      </c>
      <c r="G43" s="72">
        <f>SUMPRODUCT(('週間出来高'!$H$7:$AC$7=1)*'週間出来高'!$H$71:$AC$71)</f>
        <v/>
      </c>
      <c r="H43" s="72">
        <f>SUMPRODUCT(('週間出来高'!$H$7:$AC$7=2)*'週間出来高'!$H$71:$AC$71)</f>
        <v/>
      </c>
      <c r="I43" s="72">
        <f>SUMPRODUCT(('週間出来高'!$H$7:$AC$7=3)*'週間出来高'!$H$71:$AC$71)</f>
        <v/>
      </c>
      <c r="J43" s="72">
        <f>SUM(E43:I43)</f>
        <v/>
      </c>
      <c r="K43" s="100" t="n"/>
    </row>
    <row r="44">
      <c r="A44" s="76" t="inlineStr">
        <is>
          <t>5</t>
        </is>
      </c>
      <c r="B44" s="77" t="inlineStr">
        <is>
          <t>金属工事</t>
        </is>
      </c>
      <c r="C44" s="78" t="inlineStr">
        <is>
          <t>月出来高率</t>
        </is>
      </c>
      <c r="D44" s="101">
        <f>'週間出来高'!D73</f>
        <v/>
      </c>
      <c r="E44" s="97">
        <f>SUMPRODUCT(('週間出来高'!$H$7:$AC$7=11)*'週間出来高'!$H$74:$AC$74)</f>
        <v/>
      </c>
      <c r="F44" s="97">
        <f>SUMPRODUCT(('週間出来高'!$H$7:$AC$7=12)*'週間出来高'!$H$74:$AC$74)</f>
        <v/>
      </c>
      <c r="G44" s="97">
        <f>SUMPRODUCT(('週間出来高'!$H$7:$AC$7=1)*'週間出来高'!$H$74:$AC$74)</f>
        <v/>
      </c>
      <c r="H44" s="97">
        <f>SUMPRODUCT(('週間出来高'!$H$7:$AC$7=2)*'週間出来高'!$H$74:$AC$74)</f>
        <v/>
      </c>
      <c r="I44" s="97">
        <f>SUMPRODUCT(('週間出来高'!$H$7:$AC$7=3)*'週間出来高'!$H$74:$AC$74)</f>
        <v/>
      </c>
      <c r="J44" s="97">
        <f>SUM(E44:I44)</f>
        <v/>
      </c>
      <c r="K44" s="98">
        <f>IF(AND(ABS(J44-1)&lt;0.0001,ABS(J46-D44)&lt;1),"OK","NG")</f>
        <v/>
      </c>
    </row>
    <row r="45">
      <c r="A45" s="82" t="n"/>
      <c r="B45" s="83" t="n"/>
      <c r="C45" s="84" t="inlineStr">
        <is>
          <t>累計出来高率</t>
        </is>
      </c>
      <c r="D45" s="102" t="n"/>
      <c r="E45" s="71">
        <f>E44</f>
        <v/>
      </c>
      <c r="F45" s="71">
        <f>E45+F44</f>
        <v/>
      </c>
      <c r="G45" s="71">
        <f>F45+G44</f>
        <v/>
      </c>
      <c r="H45" s="71">
        <f>G45+H44</f>
        <v/>
      </c>
      <c r="I45" s="71">
        <f>H45+I44</f>
        <v/>
      </c>
      <c r="J45" s="71">
        <f>I45</f>
        <v/>
      </c>
      <c r="K45" s="99" t="n"/>
    </row>
    <row r="46">
      <c r="A46" s="82" t="n"/>
      <c r="B46" s="83" t="n"/>
      <c r="C46" s="84" t="inlineStr">
        <is>
          <t>月出来高金額</t>
        </is>
      </c>
      <c r="D46" s="102" t="n"/>
      <c r="E46" s="72">
        <f>SUMPRODUCT(('週間出来高'!$H$7:$AC$7=11)*'週間出来高'!$H$76:$AC$76)</f>
        <v/>
      </c>
      <c r="F46" s="72">
        <f>SUMPRODUCT(('週間出来高'!$H$7:$AC$7=12)*'週間出来高'!$H$76:$AC$76)</f>
        <v/>
      </c>
      <c r="G46" s="72">
        <f>SUMPRODUCT(('週間出来高'!$H$7:$AC$7=1)*'週間出来高'!$H$76:$AC$76)</f>
        <v/>
      </c>
      <c r="H46" s="72">
        <f>SUMPRODUCT(('週間出来高'!$H$7:$AC$7=2)*'週間出来高'!$H$76:$AC$76)</f>
        <v/>
      </c>
      <c r="I46" s="72">
        <f>SUMPRODUCT(('週間出来高'!$H$7:$AC$7=3)*'週間出来高'!$H$76:$AC$76)</f>
        <v/>
      </c>
      <c r="J46" s="72">
        <f>SUM(E46:I46)</f>
        <v/>
      </c>
      <c r="K46" s="100" t="n"/>
    </row>
    <row r="47">
      <c r="A47" s="76" t="inlineStr">
        <is>
          <t>6</t>
        </is>
      </c>
      <c r="B47" s="77" t="inlineStr">
        <is>
          <t>金属製建具工事</t>
        </is>
      </c>
      <c r="C47" s="78" t="inlineStr">
        <is>
          <t>月出来高率</t>
        </is>
      </c>
      <c r="D47" s="101">
        <f>'週間出来高'!D78</f>
        <v/>
      </c>
      <c r="E47" s="97">
        <f>SUMPRODUCT(('週間出来高'!$H$7:$AC$7=11)*'週間出来高'!$H$79:$AC$79)</f>
        <v/>
      </c>
      <c r="F47" s="97">
        <f>SUMPRODUCT(('週間出来高'!$H$7:$AC$7=12)*'週間出来高'!$H$79:$AC$79)</f>
        <v/>
      </c>
      <c r="G47" s="97">
        <f>SUMPRODUCT(('週間出来高'!$H$7:$AC$7=1)*'週間出来高'!$H$79:$AC$79)</f>
        <v/>
      </c>
      <c r="H47" s="97">
        <f>SUMPRODUCT(('週間出来高'!$H$7:$AC$7=2)*'週間出来高'!$H$79:$AC$79)</f>
        <v/>
      </c>
      <c r="I47" s="97">
        <f>SUMPRODUCT(('週間出来高'!$H$7:$AC$7=3)*'週間出来高'!$H$79:$AC$79)</f>
        <v/>
      </c>
      <c r="J47" s="97">
        <f>SUM(E47:I47)</f>
        <v/>
      </c>
      <c r="K47" s="98">
        <f>IF(AND(ABS(J47-1)&lt;0.0001,ABS(J49-D47)&lt;1),"OK","NG")</f>
        <v/>
      </c>
    </row>
    <row r="48">
      <c r="A48" s="82" t="n"/>
      <c r="B48" s="83" t="n"/>
      <c r="C48" s="84" t="inlineStr">
        <is>
          <t>累計出来高率</t>
        </is>
      </c>
      <c r="D48" s="102" t="n"/>
      <c r="E48" s="71">
        <f>E47</f>
        <v/>
      </c>
      <c r="F48" s="71">
        <f>E48+F47</f>
        <v/>
      </c>
      <c r="G48" s="71">
        <f>F48+G47</f>
        <v/>
      </c>
      <c r="H48" s="71">
        <f>G48+H47</f>
        <v/>
      </c>
      <c r="I48" s="71">
        <f>H48+I47</f>
        <v/>
      </c>
      <c r="J48" s="71">
        <f>I48</f>
        <v/>
      </c>
      <c r="K48" s="99" t="n"/>
    </row>
    <row r="49">
      <c r="A49" s="82" t="n"/>
      <c r="B49" s="83" t="n"/>
      <c r="C49" s="84" t="inlineStr">
        <is>
          <t>月出来高金額</t>
        </is>
      </c>
      <c r="D49" s="102" t="n"/>
      <c r="E49" s="72">
        <f>SUMPRODUCT(('週間出来高'!$H$7:$AC$7=11)*'週間出来高'!$H$81:$AC$81)</f>
        <v/>
      </c>
      <c r="F49" s="72">
        <f>SUMPRODUCT(('週間出来高'!$H$7:$AC$7=12)*'週間出来高'!$H$81:$AC$81)</f>
        <v/>
      </c>
      <c r="G49" s="72">
        <f>SUMPRODUCT(('週間出来高'!$H$7:$AC$7=1)*'週間出来高'!$H$81:$AC$81)</f>
        <v/>
      </c>
      <c r="H49" s="72">
        <f>SUMPRODUCT(('週間出来高'!$H$7:$AC$7=2)*'週間出来高'!$H$81:$AC$81)</f>
        <v/>
      </c>
      <c r="I49" s="72">
        <f>SUMPRODUCT(('週間出来高'!$H$7:$AC$7=3)*'週間出来高'!$H$81:$AC$81)</f>
        <v/>
      </c>
      <c r="J49" s="72">
        <f>SUM(E49:I49)</f>
        <v/>
      </c>
      <c r="K49" s="100" t="n"/>
    </row>
    <row r="50">
      <c r="A50" s="76" t="inlineStr">
        <is>
          <t>7</t>
        </is>
      </c>
      <c r="B50" s="77" t="inlineStr">
        <is>
          <t>ガラス工事</t>
        </is>
      </c>
      <c r="C50" s="78" t="inlineStr">
        <is>
          <t>月出来高率</t>
        </is>
      </c>
      <c r="D50" s="101">
        <f>'週間出来高'!D83</f>
        <v/>
      </c>
      <c r="E50" s="97">
        <f>SUMPRODUCT(('週間出来高'!$H$7:$AC$7=11)*'週間出来高'!$H$84:$AC$84)</f>
        <v/>
      </c>
      <c r="F50" s="97">
        <f>SUMPRODUCT(('週間出来高'!$H$7:$AC$7=12)*'週間出来高'!$H$84:$AC$84)</f>
        <v/>
      </c>
      <c r="G50" s="97">
        <f>SUMPRODUCT(('週間出来高'!$H$7:$AC$7=1)*'週間出来高'!$H$84:$AC$84)</f>
        <v/>
      </c>
      <c r="H50" s="97">
        <f>SUMPRODUCT(('週間出来高'!$H$7:$AC$7=2)*'週間出来高'!$H$84:$AC$84)</f>
        <v/>
      </c>
      <c r="I50" s="97">
        <f>SUMPRODUCT(('週間出来高'!$H$7:$AC$7=3)*'週間出来高'!$H$84:$AC$84)</f>
        <v/>
      </c>
      <c r="J50" s="97">
        <f>SUM(E50:I50)</f>
        <v/>
      </c>
      <c r="K50" s="98">
        <f>IF(AND(ABS(J50-1)&lt;0.0001,ABS(J52-D50)&lt;1),"OK","NG")</f>
        <v/>
      </c>
    </row>
    <row r="51">
      <c r="A51" s="82" t="n"/>
      <c r="B51" s="83" t="n"/>
      <c r="C51" s="84" t="inlineStr">
        <is>
          <t>累計出来高率</t>
        </is>
      </c>
      <c r="D51" s="102" t="n"/>
      <c r="E51" s="71">
        <f>E50</f>
        <v/>
      </c>
      <c r="F51" s="71">
        <f>E51+F50</f>
        <v/>
      </c>
      <c r="G51" s="71">
        <f>F51+G50</f>
        <v/>
      </c>
      <c r="H51" s="71">
        <f>G51+H50</f>
        <v/>
      </c>
      <c r="I51" s="71">
        <f>H51+I50</f>
        <v/>
      </c>
      <c r="J51" s="71">
        <f>I51</f>
        <v/>
      </c>
      <c r="K51" s="99" t="n"/>
    </row>
    <row r="52">
      <c r="A52" s="82" t="n"/>
      <c r="B52" s="83" t="n"/>
      <c r="C52" s="84" t="inlineStr">
        <is>
          <t>月出来高金額</t>
        </is>
      </c>
      <c r="D52" s="102" t="n"/>
      <c r="E52" s="72">
        <f>SUMPRODUCT(('週間出来高'!$H$7:$AC$7=11)*'週間出来高'!$H$86:$AC$86)</f>
        <v/>
      </c>
      <c r="F52" s="72">
        <f>SUMPRODUCT(('週間出来高'!$H$7:$AC$7=12)*'週間出来高'!$H$86:$AC$86)</f>
        <v/>
      </c>
      <c r="G52" s="72">
        <f>SUMPRODUCT(('週間出来高'!$H$7:$AC$7=1)*'週間出来高'!$H$86:$AC$86)</f>
        <v/>
      </c>
      <c r="H52" s="72">
        <f>SUMPRODUCT(('週間出来高'!$H$7:$AC$7=2)*'週間出来高'!$H$86:$AC$86)</f>
        <v/>
      </c>
      <c r="I52" s="72">
        <f>SUMPRODUCT(('週間出来高'!$H$7:$AC$7=3)*'週間出来高'!$H$86:$AC$86)</f>
        <v/>
      </c>
      <c r="J52" s="72">
        <f>SUM(E52:I52)</f>
        <v/>
      </c>
      <c r="K52" s="100" t="n"/>
    </row>
    <row r="53">
      <c r="A53" s="76" t="inlineStr">
        <is>
          <t>8</t>
        </is>
      </c>
      <c r="B53" s="77" t="inlineStr">
        <is>
          <t>木工事</t>
        </is>
      </c>
      <c r="C53" s="78" t="inlineStr">
        <is>
          <t>月出来高率</t>
        </is>
      </c>
      <c r="D53" s="101">
        <f>'週間出来高'!D88</f>
        <v/>
      </c>
      <c r="E53" s="97">
        <f>SUMPRODUCT(('週間出来高'!$H$7:$AC$7=11)*'週間出来高'!$H$89:$AC$89)</f>
        <v/>
      </c>
      <c r="F53" s="97">
        <f>SUMPRODUCT(('週間出来高'!$H$7:$AC$7=12)*'週間出来高'!$H$89:$AC$89)</f>
        <v/>
      </c>
      <c r="G53" s="97">
        <f>SUMPRODUCT(('週間出来高'!$H$7:$AC$7=1)*'週間出来高'!$H$89:$AC$89)</f>
        <v/>
      </c>
      <c r="H53" s="97">
        <f>SUMPRODUCT(('週間出来高'!$H$7:$AC$7=2)*'週間出来高'!$H$89:$AC$89)</f>
        <v/>
      </c>
      <c r="I53" s="97">
        <f>SUMPRODUCT(('週間出来高'!$H$7:$AC$7=3)*'週間出来高'!$H$89:$AC$89)</f>
        <v/>
      </c>
      <c r="J53" s="97">
        <f>SUM(E53:I53)</f>
        <v/>
      </c>
      <c r="K53" s="98">
        <f>IF(AND(ABS(J53-1)&lt;0.0001,ABS(J55-D53)&lt;1),"OK","NG")</f>
        <v/>
      </c>
    </row>
    <row r="54">
      <c r="A54" s="82" t="n"/>
      <c r="B54" s="83" t="n"/>
      <c r="C54" s="84" t="inlineStr">
        <is>
          <t>累計出来高率</t>
        </is>
      </c>
      <c r="D54" s="102" t="n"/>
      <c r="E54" s="71">
        <f>E53</f>
        <v/>
      </c>
      <c r="F54" s="71">
        <f>E54+F53</f>
        <v/>
      </c>
      <c r="G54" s="71">
        <f>F54+G53</f>
        <v/>
      </c>
      <c r="H54" s="71">
        <f>G54+H53</f>
        <v/>
      </c>
      <c r="I54" s="71">
        <f>H54+I53</f>
        <v/>
      </c>
      <c r="J54" s="71">
        <f>I54</f>
        <v/>
      </c>
      <c r="K54" s="99" t="n"/>
    </row>
    <row r="55">
      <c r="A55" s="82" t="n"/>
      <c r="B55" s="83" t="n"/>
      <c r="C55" s="84" t="inlineStr">
        <is>
          <t>月出来高金額</t>
        </is>
      </c>
      <c r="D55" s="102" t="n"/>
      <c r="E55" s="72">
        <f>SUMPRODUCT(('週間出来高'!$H$7:$AC$7=11)*'週間出来高'!$H$91:$AC$91)</f>
        <v/>
      </c>
      <c r="F55" s="72">
        <f>SUMPRODUCT(('週間出来高'!$H$7:$AC$7=12)*'週間出来高'!$H$91:$AC$91)</f>
        <v/>
      </c>
      <c r="G55" s="72">
        <f>SUMPRODUCT(('週間出来高'!$H$7:$AC$7=1)*'週間出来高'!$H$91:$AC$91)</f>
        <v/>
      </c>
      <c r="H55" s="72">
        <f>SUMPRODUCT(('週間出来高'!$H$7:$AC$7=2)*'週間出来高'!$H$91:$AC$91)</f>
        <v/>
      </c>
      <c r="I55" s="72">
        <f>SUMPRODUCT(('週間出来高'!$H$7:$AC$7=3)*'週間出来高'!$H$91:$AC$91)</f>
        <v/>
      </c>
      <c r="J55" s="72">
        <f>SUM(E55:I55)</f>
        <v/>
      </c>
      <c r="K55" s="100" t="n"/>
    </row>
    <row r="56">
      <c r="A56" s="76" t="inlineStr">
        <is>
          <t>9</t>
        </is>
      </c>
      <c r="B56" s="77" t="inlineStr">
        <is>
          <t>左官工事</t>
        </is>
      </c>
      <c r="C56" s="78" t="inlineStr">
        <is>
          <t>月出来高率</t>
        </is>
      </c>
      <c r="D56" s="101">
        <f>'週間出来高'!D93</f>
        <v/>
      </c>
      <c r="E56" s="97">
        <f>SUMPRODUCT(('週間出来高'!$H$7:$AC$7=11)*'週間出来高'!$H$94:$AC$94)</f>
        <v/>
      </c>
      <c r="F56" s="97">
        <f>SUMPRODUCT(('週間出来高'!$H$7:$AC$7=12)*'週間出来高'!$H$94:$AC$94)</f>
        <v/>
      </c>
      <c r="G56" s="97">
        <f>SUMPRODUCT(('週間出来高'!$H$7:$AC$7=1)*'週間出来高'!$H$94:$AC$94)</f>
        <v/>
      </c>
      <c r="H56" s="97">
        <f>SUMPRODUCT(('週間出来高'!$H$7:$AC$7=2)*'週間出来高'!$H$94:$AC$94)</f>
        <v/>
      </c>
      <c r="I56" s="97">
        <f>SUMPRODUCT(('週間出来高'!$H$7:$AC$7=3)*'週間出来高'!$H$94:$AC$94)</f>
        <v/>
      </c>
      <c r="J56" s="97">
        <f>SUM(E56:I56)</f>
        <v/>
      </c>
      <c r="K56" s="98">
        <f>IF(AND(ABS(J56-1)&lt;0.0001,ABS(J58-D56)&lt;1),"OK","NG")</f>
        <v/>
      </c>
    </row>
    <row r="57">
      <c r="A57" s="82" t="n"/>
      <c r="B57" s="83" t="n"/>
      <c r="C57" s="84" t="inlineStr">
        <is>
          <t>累計出来高率</t>
        </is>
      </c>
      <c r="D57" s="102" t="n"/>
      <c r="E57" s="71">
        <f>E56</f>
        <v/>
      </c>
      <c r="F57" s="71">
        <f>E57+F56</f>
        <v/>
      </c>
      <c r="G57" s="71">
        <f>F57+G56</f>
        <v/>
      </c>
      <c r="H57" s="71">
        <f>G57+H56</f>
        <v/>
      </c>
      <c r="I57" s="71">
        <f>H57+I56</f>
        <v/>
      </c>
      <c r="J57" s="71">
        <f>I57</f>
        <v/>
      </c>
      <c r="K57" s="99" t="n"/>
    </row>
    <row r="58">
      <c r="A58" s="82" t="n"/>
      <c r="B58" s="83" t="n"/>
      <c r="C58" s="84" t="inlineStr">
        <is>
          <t>月出来高金額</t>
        </is>
      </c>
      <c r="D58" s="102" t="n"/>
      <c r="E58" s="72">
        <f>SUMPRODUCT(('週間出来高'!$H$7:$AC$7=11)*'週間出来高'!$H$96:$AC$96)</f>
        <v/>
      </c>
      <c r="F58" s="72">
        <f>SUMPRODUCT(('週間出来高'!$H$7:$AC$7=12)*'週間出来高'!$H$96:$AC$96)</f>
        <v/>
      </c>
      <c r="G58" s="72">
        <f>SUMPRODUCT(('週間出来高'!$H$7:$AC$7=1)*'週間出来高'!$H$96:$AC$96)</f>
        <v/>
      </c>
      <c r="H58" s="72">
        <f>SUMPRODUCT(('週間出来高'!$H$7:$AC$7=2)*'週間出来高'!$H$96:$AC$96)</f>
        <v/>
      </c>
      <c r="I58" s="72">
        <f>SUMPRODUCT(('週間出来高'!$H$7:$AC$7=3)*'週間出来高'!$H$96:$AC$96)</f>
        <v/>
      </c>
      <c r="J58" s="72">
        <f>SUM(E58:I58)</f>
        <v/>
      </c>
      <c r="K58" s="100" t="n"/>
    </row>
    <row r="59">
      <c r="A59" s="76" t="inlineStr">
        <is>
          <t>10</t>
        </is>
      </c>
      <c r="B59" s="77" t="inlineStr">
        <is>
          <t>塗装工事</t>
        </is>
      </c>
      <c r="C59" s="78" t="inlineStr">
        <is>
          <t>月出来高率</t>
        </is>
      </c>
      <c r="D59" s="101">
        <f>'週間出来高'!D98</f>
        <v/>
      </c>
      <c r="E59" s="97">
        <f>SUMPRODUCT(('週間出来高'!$H$7:$AC$7=11)*'週間出来高'!$H$99:$AC$99)</f>
        <v/>
      </c>
      <c r="F59" s="97">
        <f>SUMPRODUCT(('週間出来高'!$H$7:$AC$7=12)*'週間出来高'!$H$99:$AC$99)</f>
        <v/>
      </c>
      <c r="G59" s="97">
        <f>SUMPRODUCT(('週間出来高'!$H$7:$AC$7=1)*'週間出来高'!$H$99:$AC$99)</f>
        <v/>
      </c>
      <c r="H59" s="97">
        <f>SUMPRODUCT(('週間出来高'!$H$7:$AC$7=2)*'週間出来高'!$H$99:$AC$99)</f>
        <v/>
      </c>
      <c r="I59" s="97">
        <f>SUMPRODUCT(('週間出来高'!$H$7:$AC$7=3)*'週間出来高'!$H$99:$AC$99)</f>
        <v/>
      </c>
      <c r="J59" s="97">
        <f>SUM(E59:I59)</f>
        <v/>
      </c>
      <c r="K59" s="98">
        <f>IF(AND(ABS(J59-1)&lt;0.0001,ABS(J61-D59)&lt;1),"OK","NG")</f>
        <v/>
      </c>
    </row>
    <row r="60">
      <c r="A60" s="82" t="n"/>
      <c r="B60" s="83" t="n"/>
      <c r="C60" s="84" t="inlineStr">
        <is>
          <t>累計出来高率</t>
        </is>
      </c>
      <c r="D60" s="102" t="n"/>
      <c r="E60" s="71">
        <f>E59</f>
        <v/>
      </c>
      <c r="F60" s="71">
        <f>E60+F59</f>
        <v/>
      </c>
      <c r="G60" s="71">
        <f>F60+G59</f>
        <v/>
      </c>
      <c r="H60" s="71">
        <f>G60+H59</f>
        <v/>
      </c>
      <c r="I60" s="71">
        <f>H60+I59</f>
        <v/>
      </c>
      <c r="J60" s="71">
        <f>I60</f>
        <v/>
      </c>
      <c r="K60" s="99" t="n"/>
    </row>
    <row r="61">
      <c r="A61" s="82" t="n"/>
      <c r="B61" s="83" t="n"/>
      <c r="C61" s="84" t="inlineStr">
        <is>
          <t>月出来高金額</t>
        </is>
      </c>
      <c r="D61" s="102" t="n"/>
      <c r="E61" s="72">
        <f>SUMPRODUCT(('週間出来高'!$H$7:$AC$7=11)*'週間出来高'!$H$101:$AC$101)</f>
        <v/>
      </c>
      <c r="F61" s="72">
        <f>SUMPRODUCT(('週間出来高'!$H$7:$AC$7=12)*'週間出来高'!$H$101:$AC$101)</f>
        <v/>
      </c>
      <c r="G61" s="72">
        <f>SUMPRODUCT(('週間出来高'!$H$7:$AC$7=1)*'週間出来高'!$H$101:$AC$101)</f>
        <v/>
      </c>
      <c r="H61" s="72">
        <f>SUMPRODUCT(('週間出来高'!$H$7:$AC$7=2)*'週間出来高'!$H$101:$AC$101)</f>
        <v/>
      </c>
      <c r="I61" s="72">
        <f>SUMPRODUCT(('週間出来高'!$H$7:$AC$7=3)*'週間出来高'!$H$101:$AC$101)</f>
        <v/>
      </c>
      <c r="J61" s="72">
        <f>SUM(E61:I61)</f>
        <v/>
      </c>
      <c r="K61" s="100" t="n"/>
    </row>
    <row r="62">
      <c r="A62" s="76" t="inlineStr">
        <is>
          <t>11</t>
        </is>
      </c>
      <c r="B62" s="77" t="inlineStr">
        <is>
          <t>内装工事</t>
        </is>
      </c>
      <c r="C62" s="78" t="inlineStr">
        <is>
          <t>月出来高率</t>
        </is>
      </c>
      <c r="D62" s="101">
        <f>'週間出来高'!D103</f>
        <v/>
      </c>
      <c r="E62" s="97">
        <f>SUMPRODUCT(('週間出来高'!$H$7:$AC$7=11)*'週間出来高'!$H$104:$AC$104)</f>
        <v/>
      </c>
      <c r="F62" s="97">
        <f>SUMPRODUCT(('週間出来高'!$H$7:$AC$7=12)*'週間出来高'!$H$104:$AC$104)</f>
        <v/>
      </c>
      <c r="G62" s="97">
        <f>SUMPRODUCT(('週間出来高'!$H$7:$AC$7=1)*'週間出来高'!$H$104:$AC$104)</f>
        <v/>
      </c>
      <c r="H62" s="97">
        <f>SUMPRODUCT(('週間出来高'!$H$7:$AC$7=2)*'週間出来高'!$H$104:$AC$104)</f>
        <v/>
      </c>
      <c r="I62" s="97">
        <f>SUMPRODUCT(('週間出来高'!$H$7:$AC$7=3)*'週間出来高'!$H$104:$AC$104)</f>
        <v/>
      </c>
      <c r="J62" s="97">
        <f>SUM(E62:I62)</f>
        <v/>
      </c>
      <c r="K62" s="98">
        <f>IF(AND(ABS(J62-1)&lt;0.0001,ABS(J64-D62)&lt;1),"OK","NG")</f>
        <v/>
      </c>
    </row>
    <row r="63">
      <c r="A63" s="82" t="n"/>
      <c r="B63" s="83" t="n"/>
      <c r="C63" s="84" t="inlineStr">
        <is>
          <t>累計出来高率</t>
        </is>
      </c>
      <c r="D63" s="102" t="n"/>
      <c r="E63" s="71">
        <f>E62</f>
        <v/>
      </c>
      <c r="F63" s="71">
        <f>E63+F62</f>
        <v/>
      </c>
      <c r="G63" s="71">
        <f>F63+G62</f>
        <v/>
      </c>
      <c r="H63" s="71">
        <f>G63+H62</f>
        <v/>
      </c>
      <c r="I63" s="71">
        <f>H63+I62</f>
        <v/>
      </c>
      <c r="J63" s="71">
        <f>I63</f>
        <v/>
      </c>
      <c r="K63" s="99" t="n"/>
    </row>
    <row r="64">
      <c r="A64" s="82" t="n"/>
      <c r="B64" s="83" t="n"/>
      <c r="C64" s="84" t="inlineStr">
        <is>
          <t>月出来高金額</t>
        </is>
      </c>
      <c r="D64" s="102" t="n"/>
      <c r="E64" s="72">
        <f>SUMPRODUCT(('週間出来高'!$H$7:$AC$7=11)*'週間出来高'!$H$106:$AC$106)</f>
        <v/>
      </c>
      <c r="F64" s="72">
        <f>SUMPRODUCT(('週間出来高'!$H$7:$AC$7=12)*'週間出来高'!$H$106:$AC$106)</f>
        <v/>
      </c>
      <c r="G64" s="72">
        <f>SUMPRODUCT(('週間出来高'!$H$7:$AC$7=1)*'週間出来高'!$H$106:$AC$106)</f>
        <v/>
      </c>
      <c r="H64" s="72">
        <f>SUMPRODUCT(('週間出来高'!$H$7:$AC$7=2)*'週間出来高'!$H$106:$AC$106)</f>
        <v/>
      </c>
      <c r="I64" s="72">
        <f>SUMPRODUCT(('週間出来高'!$H$7:$AC$7=3)*'週間出来高'!$H$106:$AC$106)</f>
        <v/>
      </c>
      <c r="J64" s="72">
        <f>SUM(E64:I64)</f>
        <v/>
      </c>
      <c r="K64" s="100" t="n"/>
    </row>
    <row r="65">
      <c r="A65" s="76" t="inlineStr">
        <is>
          <t>12</t>
        </is>
      </c>
      <c r="B65" s="77" t="inlineStr">
        <is>
          <t>雑工事</t>
        </is>
      </c>
      <c r="C65" s="78" t="inlineStr">
        <is>
          <t>月出来高率</t>
        </is>
      </c>
      <c r="D65" s="101">
        <f>'週間出来高'!D108</f>
        <v/>
      </c>
      <c r="E65" s="97">
        <f>SUMPRODUCT(('週間出来高'!$H$7:$AC$7=11)*'週間出来高'!$H$109:$AC$109)</f>
        <v/>
      </c>
      <c r="F65" s="97">
        <f>SUMPRODUCT(('週間出来高'!$H$7:$AC$7=12)*'週間出来高'!$H$109:$AC$109)</f>
        <v/>
      </c>
      <c r="G65" s="97">
        <f>SUMPRODUCT(('週間出来高'!$H$7:$AC$7=1)*'週間出来高'!$H$109:$AC$109)</f>
        <v/>
      </c>
      <c r="H65" s="97">
        <f>SUMPRODUCT(('週間出来高'!$H$7:$AC$7=2)*'週間出来高'!$H$109:$AC$109)</f>
        <v/>
      </c>
      <c r="I65" s="97">
        <f>SUMPRODUCT(('週間出来高'!$H$7:$AC$7=3)*'週間出来高'!$H$109:$AC$109)</f>
        <v/>
      </c>
      <c r="J65" s="97">
        <f>SUM(E65:I65)</f>
        <v/>
      </c>
      <c r="K65" s="98">
        <f>IF(AND(ABS(J65-1)&lt;0.0001,ABS(J67-D65)&lt;1),"OK","NG")</f>
        <v/>
      </c>
    </row>
    <row r="66">
      <c r="A66" s="82" t="n"/>
      <c r="B66" s="83" t="n"/>
      <c r="C66" s="84" t="inlineStr">
        <is>
          <t>累計出来高率</t>
        </is>
      </c>
      <c r="D66" s="102" t="n"/>
      <c r="E66" s="71">
        <f>E65</f>
        <v/>
      </c>
      <c r="F66" s="71">
        <f>E66+F65</f>
        <v/>
      </c>
      <c r="G66" s="71">
        <f>F66+G65</f>
        <v/>
      </c>
      <c r="H66" s="71">
        <f>G66+H65</f>
        <v/>
      </c>
      <c r="I66" s="71">
        <f>H66+I65</f>
        <v/>
      </c>
      <c r="J66" s="71">
        <f>I66</f>
        <v/>
      </c>
      <c r="K66" s="99" t="n"/>
    </row>
    <row r="67">
      <c r="A67" s="82" t="n"/>
      <c r="B67" s="83" t="n"/>
      <c r="C67" s="84" t="inlineStr">
        <is>
          <t>月出来高金額</t>
        </is>
      </c>
      <c r="D67" s="102" t="n"/>
      <c r="E67" s="72">
        <f>SUMPRODUCT(('週間出来高'!$H$7:$AC$7=11)*'週間出来高'!$H$111:$AC$111)</f>
        <v/>
      </c>
      <c r="F67" s="72">
        <f>SUMPRODUCT(('週間出来高'!$H$7:$AC$7=12)*'週間出来高'!$H$111:$AC$111)</f>
        <v/>
      </c>
      <c r="G67" s="72">
        <f>SUMPRODUCT(('週間出来高'!$H$7:$AC$7=1)*'週間出来高'!$H$111:$AC$111)</f>
        <v/>
      </c>
      <c r="H67" s="72">
        <f>SUMPRODUCT(('週間出来高'!$H$7:$AC$7=2)*'週間出来高'!$H$111:$AC$111)</f>
        <v/>
      </c>
      <c r="I67" s="72">
        <f>SUMPRODUCT(('週間出来高'!$H$7:$AC$7=3)*'週間出来高'!$H$111:$AC$111)</f>
        <v/>
      </c>
      <c r="J67" s="72">
        <f>SUM(E67:I67)</f>
        <v/>
      </c>
      <c r="K67" s="100" t="n"/>
    </row>
    <row r="68">
      <c r="A68" s="58" t="inlineStr">
        <is>
          <t>c)-2</t>
        </is>
      </c>
      <c r="B68" s="59" t="inlineStr">
        <is>
          <t>電気設備工事</t>
        </is>
      </c>
      <c r="C68" s="60" t="inlineStr">
        <is>
          <t>月出来高率</t>
        </is>
      </c>
      <c r="D68" s="73">
        <f>'週間出来高'!D113</f>
        <v/>
      </c>
      <c r="E68" s="97">
        <f>SUMPRODUCT(('週間出来高'!$H$7:$AC$7=11)*'週間出来高'!$H$114:$AC$114)</f>
        <v/>
      </c>
      <c r="F68" s="97">
        <f>SUMPRODUCT(('週間出来高'!$H$7:$AC$7=12)*'週間出来高'!$H$114:$AC$114)</f>
        <v/>
      </c>
      <c r="G68" s="97">
        <f>SUMPRODUCT(('週間出来高'!$H$7:$AC$7=1)*'週間出来高'!$H$114:$AC$114)</f>
        <v/>
      </c>
      <c r="H68" s="97">
        <f>SUMPRODUCT(('週間出来高'!$H$7:$AC$7=2)*'週間出来高'!$H$114:$AC$114)</f>
        <v/>
      </c>
      <c r="I68" s="97">
        <f>SUMPRODUCT(('週間出来高'!$H$7:$AC$7=3)*'週間出来高'!$H$114:$AC$114)</f>
        <v/>
      </c>
      <c r="J68" s="97">
        <f>SUM(E68:I68)</f>
        <v/>
      </c>
      <c r="K68" s="98">
        <f>IF(AND(ABS(J68-1)&lt;0.0001,ABS(J70-D68)&lt;1),"OK","NG")</f>
        <v/>
      </c>
    </row>
    <row r="69">
      <c r="A69" s="65" t="n"/>
      <c r="B69" s="66" t="n"/>
      <c r="C69" s="67" t="inlineStr">
        <is>
          <t>累計出来高率</t>
        </is>
      </c>
      <c r="D69" s="75" t="n"/>
      <c r="E69" s="71">
        <f>E68</f>
        <v/>
      </c>
      <c r="F69" s="71">
        <f>E69+F68</f>
        <v/>
      </c>
      <c r="G69" s="71">
        <f>F69+G68</f>
        <v/>
      </c>
      <c r="H69" s="71">
        <f>G69+H68</f>
        <v/>
      </c>
      <c r="I69" s="71">
        <f>H69+I68</f>
        <v/>
      </c>
      <c r="J69" s="71">
        <f>I69</f>
        <v/>
      </c>
      <c r="K69" s="99" t="n"/>
    </row>
    <row r="70">
      <c r="A70" s="65" t="n"/>
      <c r="B70" s="66" t="n"/>
      <c r="C70" s="67" t="inlineStr">
        <is>
          <t>月出来高金額</t>
        </is>
      </c>
      <c r="D70" s="75" t="n"/>
      <c r="E70" s="72">
        <f>SUMPRODUCT(('週間出来高'!$H$7:$AC$7=11)*'週間出来高'!$H$116:$AC$116)</f>
        <v/>
      </c>
      <c r="F70" s="72">
        <f>SUMPRODUCT(('週間出来高'!$H$7:$AC$7=12)*'週間出来高'!$H$116:$AC$116)</f>
        <v/>
      </c>
      <c r="G70" s="72">
        <f>SUMPRODUCT(('週間出来高'!$H$7:$AC$7=1)*'週間出来高'!$H$116:$AC$116)</f>
        <v/>
      </c>
      <c r="H70" s="72">
        <f>SUMPRODUCT(('週間出来高'!$H$7:$AC$7=2)*'週間出来高'!$H$116:$AC$116)</f>
        <v/>
      </c>
      <c r="I70" s="72">
        <f>SUMPRODUCT(('週間出来高'!$H$7:$AC$7=3)*'週間出来高'!$H$116:$AC$116)</f>
        <v/>
      </c>
      <c r="J70" s="72">
        <f>SUM(E70:I70)</f>
        <v/>
      </c>
      <c r="K70" s="100" t="n"/>
    </row>
    <row r="71">
      <c r="A71" s="58" t="inlineStr">
        <is>
          <t>c)-3</t>
        </is>
      </c>
      <c r="B71" s="59" t="inlineStr">
        <is>
          <t>空気調和設備工事</t>
        </is>
      </c>
      <c r="C71" s="60" t="inlineStr">
        <is>
          <t>月出来高率</t>
        </is>
      </c>
      <c r="D71" s="73">
        <f>'週間出来高'!D118</f>
        <v/>
      </c>
      <c r="E71" s="97">
        <f>SUMPRODUCT(('週間出来高'!$H$7:$AC$7=11)*'週間出来高'!$H$119:$AC$119)</f>
        <v/>
      </c>
      <c r="F71" s="97">
        <f>SUMPRODUCT(('週間出来高'!$H$7:$AC$7=12)*'週間出来高'!$H$119:$AC$119)</f>
        <v/>
      </c>
      <c r="G71" s="97">
        <f>SUMPRODUCT(('週間出来高'!$H$7:$AC$7=1)*'週間出来高'!$H$119:$AC$119)</f>
        <v/>
      </c>
      <c r="H71" s="97">
        <f>SUMPRODUCT(('週間出来高'!$H$7:$AC$7=2)*'週間出来高'!$H$119:$AC$119)</f>
        <v/>
      </c>
      <c r="I71" s="97">
        <f>SUMPRODUCT(('週間出来高'!$H$7:$AC$7=3)*'週間出来高'!$H$119:$AC$119)</f>
        <v/>
      </c>
      <c r="J71" s="97">
        <f>SUM(E71:I71)</f>
        <v/>
      </c>
      <c r="K71" s="98">
        <f>IF(AND(ABS(J71-1)&lt;0.0001,ABS(J73-D71)&lt;1),"OK","NG")</f>
        <v/>
      </c>
    </row>
    <row r="72">
      <c r="A72" s="65" t="n"/>
      <c r="B72" s="66" t="n"/>
      <c r="C72" s="67" t="inlineStr">
        <is>
          <t>累計出来高率</t>
        </is>
      </c>
      <c r="D72" s="75" t="n"/>
      <c r="E72" s="71">
        <f>E71</f>
        <v/>
      </c>
      <c r="F72" s="71">
        <f>E72+F71</f>
        <v/>
      </c>
      <c r="G72" s="71">
        <f>F72+G71</f>
        <v/>
      </c>
      <c r="H72" s="71">
        <f>G72+H71</f>
        <v/>
      </c>
      <c r="I72" s="71">
        <f>H72+I71</f>
        <v/>
      </c>
      <c r="J72" s="71">
        <f>I72</f>
        <v/>
      </c>
      <c r="K72" s="99" t="n"/>
    </row>
    <row r="73">
      <c r="A73" s="65" t="n"/>
      <c r="B73" s="66" t="n"/>
      <c r="C73" s="67" t="inlineStr">
        <is>
          <t>月出来高金額</t>
        </is>
      </c>
      <c r="D73" s="75" t="n"/>
      <c r="E73" s="72">
        <f>SUMPRODUCT(('週間出来高'!$H$7:$AC$7=11)*'週間出来高'!$H$121:$AC$121)</f>
        <v/>
      </c>
      <c r="F73" s="72">
        <f>SUMPRODUCT(('週間出来高'!$H$7:$AC$7=12)*'週間出来高'!$H$121:$AC$121)</f>
        <v/>
      </c>
      <c r="G73" s="72">
        <f>SUMPRODUCT(('週間出来高'!$H$7:$AC$7=1)*'週間出来高'!$H$121:$AC$121)</f>
        <v/>
      </c>
      <c r="H73" s="72">
        <f>SUMPRODUCT(('週間出来高'!$H$7:$AC$7=2)*'週間出来高'!$H$121:$AC$121)</f>
        <v/>
      </c>
      <c r="I73" s="72">
        <f>SUMPRODUCT(('週間出来高'!$H$7:$AC$7=3)*'週間出来高'!$H$121:$AC$121)</f>
        <v/>
      </c>
      <c r="J73" s="72">
        <f>SUM(E73:I73)</f>
        <v/>
      </c>
      <c r="K73" s="100" t="n"/>
    </row>
    <row r="74">
      <c r="A74" s="58" t="inlineStr">
        <is>
          <t>c)-4</t>
        </is>
      </c>
      <c r="B74" s="59" t="inlineStr">
        <is>
          <t>衛生設備工事</t>
        </is>
      </c>
      <c r="C74" s="60" t="inlineStr">
        <is>
          <t>月出来高率</t>
        </is>
      </c>
      <c r="D74" s="73">
        <f>'週間出来高'!D123</f>
        <v/>
      </c>
      <c r="E74" s="97">
        <f>SUMPRODUCT(('週間出来高'!$H$7:$AC$7=11)*'週間出来高'!$H$124:$AC$124)</f>
        <v/>
      </c>
      <c r="F74" s="97">
        <f>SUMPRODUCT(('週間出来高'!$H$7:$AC$7=12)*'週間出来高'!$H$124:$AC$124)</f>
        <v/>
      </c>
      <c r="G74" s="97">
        <f>SUMPRODUCT(('週間出来高'!$H$7:$AC$7=1)*'週間出来高'!$H$124:$AC$124)</f>
        <v/>
      </c>
      <c r="H74" s="97">
        <f>SUMPRODUCT(('週間出来高'!$H$7:$AC$7=2)*'週間出来高'!$H$124:$AC$124)</f>
        <v/>
      </c>
      <c r="I74" s="97">
        <f>SUMPRODUCT(('週間出来高'!$H$7:$AC$7=3)*'週間出来高'!$H$124:$AC$124)</f>
        <v/>
      </c>
      <c r="J74" s="97">
        <f>SUM(E74:I74)</f>
        <v/>
      </c>
      <c r="K74" s="98">
        <f>IF(AND(ABS(J74-1)&lt;0.0001,ABS(J76-D74)&lt;1),"OK","NG")</f>
        <v/>
      </c>
    </row>
    <row r="75">
      <c r="A75" s="65" t="n"/>
      <c r="B75" s="66" t="n"/>
      <c r="C75" s="67" t="inlineStr">
        <is>
          <t>累計出来高率</t>
        </is>
      </c>
      <c r="D75" s="75" t="n"/>
      <c r="E75" s="71">
        <f>E74</f>
        <v/>
      </c>
      <c r="F75" s="71">
        <f>E75+F74</f>
        <v/>
      </c>
      <c r="G75" s="71">
        <f>F75+G74</f>
        <v/>
      </c>
      <c r="H75" s="71">
        <f>G75+H74</f>
        <v/>
      </c>
      <c r="I75" s="71">
        <f>H75+I74</f>
        <v/>
      </c>
      <c r="J75" s="71">
        <f>I75</f>
        <v/>
      </c>
      <c r="K75" s="99" t="n"/>
    </row>
    <row r="76">
      <c r="A76" s="65" t="n"/>
      <c r="B76" s="66" t="n"/>
      <c r="C76" s="67" t="inlineStr">
        <is>
          <t>月出来高金額</t>
        </is>
      </c>
      <c r="D76" s="75" t="n"/>
      <c r="E76" s="72">
        <f>SUMPRODUCT(('週間出来高'!$H$7:$AC$7=11)*'週間出来高'!$H$126:$AC$126)</f>
        <v/>
      </c>
      <c r="F76" s="72">
        <f>SUMPRODUCT(('週間出来高'!$H$7:$AC$7=12)*'週間出来高'!$H$126:$AC$126)</f>
        <v/>
      </c>
      <c r="G76" s="72">
        <f>SUMPRODUCT(('週間出来高'!$H$7:$AC$7=1)*'週間出来高'!$H$126:$AC$126)</f>
        <v/>
      </c>
      <c r="H76" s="72">
        <f>SUMPRODUCT(('週間出来高'!$H$7:$AC$7=2)*'週間出来高'!$H$126:$AC$126)</f>
        <v/>
      </c>
      <c r="I76" s="72">
        <f>SUMPRODUCT(('週間出来高'!$H$7:$AC$7=3)*'週間出来高'!$H$126:$AC$126)</f>
        <v/>
      </c>
      <c r="J76" s="72">
        <f>SUM(E76:I76)</f>
        <v/>
      </c>
      <c r="K76" s="100" t="n"/>
    </row>
    <row r="77">
      <c r="A77" s="43" t="inlineStr">
        <is>
          <t>d)</t>
        </is>
      </c>
      <c r="B77" s="44" t="inlineStr">
        <is>
          <t>諸経費</t>
        </is>
      </c>
      <c r="C77" s="95" t="inlineStr">
        <is>
          <t>月出来高率</t>
        </is>
      </c>
      <c r="D77" s="56">
        <f>'週間出来高'!D128</f>
        <v/>
      </c>
      <c r="E77" s="90">
        <f>SUMPRODUCT(('週間出来高'!$H$7:$AC$7=11)*'週間出来高'!$H$129:$AC$129)</f>
        <v/>
      </c>
      <c r="F77" s="90">
        <f>SUMPRODUCT(('週間出来高'!$H$7:$AC$7=12)*'週間出来高'!$H$129:$AC$129)</f>
        <v/>
      </c>
      <c r="G77" s="90">
        <f>SUMPRODUCT(('週間出来高'!$H$7:$AC$7=1)*'週間出来高'!$H$129:$AC$129)</f>
        <v/>
      </c>
      <c r="H77" s="90">
        <f>SUMPRODUCT(('週間出来高'!$H$7:$AC$7=2)*'週間出来高'!$H$129:$AC$129)</f>
        <v/>
      </c>
      <c r="I77" s="90">
        <f>SUMPRODUCT(('週間出来高'!$H$7:$AC$7=3)*'週間出来高'!$H$129:$AC$129)</f>
        <v/>
      </c>
      <c r="J77" s="90">
        <f>SUM(E77:I77)</f>
        <v/>
      </c>
      <c r="K77" s="91">
        <f>IF(AND(ABS(J77-1)&lt;0.0001,ABS(J79-D77)&lt;1),"OK","NG")</f>
        <v/>
      </c>
    </row>
    <row r="78">
      <c r="A78" s="50" t="n"/>
      <c r="B78" s="51" t="n"/>
      <c r="C78" s="96" t="inlineStr">
        <is>
          <t>累計出来高率</t>
        </is>
      </c>
      <c r="D78" s="57" t="n"/>
      <c r="E78" s="41">
        <f>E77</f>
        <v/>
      </c>
      <c r="F78" s="41">
        <f>E78+F77</f>
        <v/>
      </c>
      <c r="G78" s="41">
        <f>F78+G77</f>
        <v/>
      </c>
      <c r="H78" s="41">
        <f>G78+H77</f>
        <v/>
      </c>
      <c r="I78" s="41">
        <f>H78+I77</f>
        <v/>
      </c>
      <c r="J78" s="41">
        <f>I78</f>
        <v/>
      </c>
      <c r="K78" s="93" t="n"/>
    </row>
    <row r="79">
      <c r="A79" s="50" t="n"/>
      <c r="B79" s="51" t="n"/>
      <c r="C79" s="96" t="inlineStr">
        <is>
          <t>月出来高金額</t>
        </is>
      </c>
      <c r="D79" s="57" t="n"/>
      <c r="E79" s="42">
        <f>SUMPRODUCT(('週間出来高'!$H$7:$AC$7=11)*'週間出来高'!$H$131:$AC$131)</f>
        <v/>
      </c>
      <c r="F79" s="42">
        <f>SUMPRODUCT(('週間出来高'!$H$7:$AC$7=12)*'週間出来高'!$H$131:$AC$131)</f>
        <v/>
      </c>
      <c r="G79" s="42">
        <f>SUMPRODUCT(('週間出来高'!$H$7:$AC$7=1)*'週間出来高'!$H$131:$AC$131)</f>
        <v/>
      </c>
      <c r="H79" s="42">
        <f>SUMPRODUCT(('週間出来高'!$H$7:$AC$7=2)*'週間出来高'!$H$131:$AC$131)</f>
        <v/>
      </c>
      <c r="I79" s="42">
        <f>SUMPRODUCT(('週間出来高'!$H$7:$AC$7=3)*'週間出来高'!$H$131:$AC$131)</f>
        <v/>
      </c>
      <c r="J79" s="42">
        <f>SUM(E79:I79)</f>
        <v/>
      </c>
      <c r="K79" s="9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6F"/>
  <mergeCells count="100">
    <mergeCell ref="B53:B55"/>
    <mergeCell ref="D53:D55"/>
    <mergeCell ref="A26:A28"/>
    <mergeCell ref="D5:D7"/>
    <mergeCell ref="A20:A22"/>
    <mergeCell ref="B68:B70"/>
    <mergeCell ref="A29:A31"/>
    <mergeCell ref="D68:D70"/>
    <mergeCell ref="A23:A25"/>
    <mergeCell ref="A38:A40"/>
    <mergeCell ref="K38:K40"/>
    <mergeCell ref="B5:B7"/>
    <mergeCell ref="A68:A70"/>
    <mergeCell ref="B20:B22"/>
    <mergeCell ref="D20:D22"/>
    <mergeCell ref="D29:D31"/>
    <mergeCell ref="B47:B49"/>
    <mergeCell ref="B62:B64"/>
    <mergeCell ref="K74:K76"/>
    <mergeCell ref="D65:D67"/>
    <mergeCell ref="K44:K46"/>
    <mergeCell ref="B8:B10"/>
    <mergeCell ref="A41:A43"/>
    <mergeCell ref="K5:K7"/>
    <mergeCell ref="A50:A52"/>
    <mergeCell ref="K59:K61"/>
    <mergeCell ref="B23:B25"/>
    <mergeCell ref="K47:K49"/>
    <mergeCell ref="D41:D43"/>
    <mergeCell ref="D56:D58"/>
    <mergeCell ref="A5:A7"/>
    <mergeCell ref="A32:A34"/>
    <mergeCell ref="K14:K16"/>
    <mergeCell ref="A14:A16"/>
    <mergeCell ref="K23:K25"/>
    <mergeCell ref="B74:B76"/>
    <mergeCell ref="B35:B37"/>
    <mergeCell ref="D35:D37"/>
    <mergeCell ref="D44:D46"/>
    <mergeCell ref="K65:K67"/>
    <mergeCell ref="B11:B13"/>
    <mergeCell ref="K41:K43"/>
    <mergeCell ref="K35:K37"/>
    <mergeCell ref="K50:K52"/>
    <mergeCell ref="A74:A76"/>
    <mergeCell ref="B14:B16"/>
    <mergeCell ref="B29:B31"/>
    <mergeCell ref="B38:B40"/>
    <mergeCell ref="A71:A73"/>
    <mergeCell ref="D32:D34"/>
    <mergeCell ref="A8:A10"/>
    <mergeCell ref="B65:B67"/>
    <mergeCell ref="A17:A19"/>
    <mergeCell ref="K17:K19"/>
    <mergeCell ref="K77:K79"/>
    <mergeCell ref="D74:D76"/>
    <mergeCell ref="A47:A49"/>
    <mergeCell ref="D71:D73"/>
    <mergeCell ref="A62:A64"/>
    <mergeCell ref="A44:A46"/>
    <mergeCell ref="A59:A61"/>
    <mergeCell ref="K62:K64"/>
    <mergeCell ref="B26:B28"/>
    <mergeCell ref="D26:D28"/>
    <mergeCell ref="B41:B43"/>
    <mergeCell ref="B50:B52"/>
    <mergeCell ref="D50:D52"/>
    <mergeCell ref="B59:B61"/>
    <mergeCell ref="D59:D61"/>
    <mergeCell ref="K11:K13"/>
    <mergeCell ref="A65:A67"/>
    <mergeCell ref="K56:K58"/>
    <mergeCell ref="K32:K34"/>
    <mergeCell ref="B17:B19"/>
    <mergeCell ref="K26:K28"/>
    <mergeCell ref="B77:B79"/>
    <mergeCell ref="D77:D79"/>
    <mergeCell ref="B44:B46"/>
    <mergeCell ref="K8:K10"/>
    <mergeCell ref="D47:D49"/>
    <mergeCell ref="A56:A58"/>
    <mergeCell ref="D62:D64"/>
    <mergeCell ref="D8:D10"/>
    <mergeCell ref="D14:D16"/>
    <mergeCell ref="D23:D25"/>
    <mergeCell ref="A53:A55"/>
    <mergeCell ref="A35:A37"/>
    <mergeCell ref="K53:K55"/>
    <mergeCell ref="D38:D40"/>
    <mergeCell ref="A77:A79"/>
    <mergeCell ref="B56:B58"/>
    <mergeCell ref="K68:K70"/>
    <mergeCell ref="B32:B34"/>
    <mergeCell ref="A11:A13"/>
    <mergeCell ref="K20:K22"/>
    <mergeCell ref="D17:D19"/>
    <mergeCell ref="K29:K31"/>
    <mergeCell ref="B71:B73"/>
    <mergeCell ref="K71:K73"/>
    <mergeCell ref="D11:D13"/>
  </mergeCells>
  <conditionalFormatting sqref="K5:K79">
    <cfRule type="cellIs" priority="1" operator="equal" dxfId="3">
      <formula>"OK"</formula>
    </cfRule>
    <cfRule type="cellIs" priority="2" operator="notEqual" dxfId="4">
      <formula>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0" customWidth="1" min="4" max="4"/>
    <col width="11" customWidth="1" min="5" max="5"/>
  </cols>
  <sheetData>
    <row r="1">
      <c r="A1" s="1" t="inlineStr">
        <is>
          <t>予想工事進捗グラフ（予想出来高曲線・Sカーブ）</t>
        </is>
      </c>
    </row>
    <row r="2">
      <c r="A2" s="4" t="inlineStr">
        <is>
          <t>予想値（実績ではありません）。縦軸：出来高率（棒＝各期の出来高率、線＝累計出来高率＝Sカーブ）／横軸：週・月。工事費合計行を参照（金額加重）。</t>
        </is>
      </c>
    </row>
    <row r="4">
      <c r="A4" s="27" t="inlineStr">
        <is>
          <t>期間</t>
        </is>
      </c>
      <c r="B4" s="27" t="inlineStr">
        <is>
          <t>出来高金額（円）</t>
        </is>
      </c>
      <c r="C4" s="27" t="inlineStr">
        <is>
          <t>累計出来高金額（円）</t>
        </is>
      </c>
      <c r="D4" s="27" t="inlineStr">
        <is>
          <t>出来高率</t>
        </is>
      </c>
      <c r="E4" s="27" t="inlineStr">
        <is>
          <t>累計出来高率</t>
        </is>
      </c>
    </row>
    <row r="5">
      <c r="A5" s="103" t="inlineStr">
        <is>
          <t>着工前</t>
        </is>
      </c>
      <c r="B5" s="72" t="n">
        <v>0</v>
      </c>
      <c r="C5" s="72" t="n">
        <v>0</v>
      </c>
      <c r="D5" s="71" t="n">
        <v>0</v>
      </c>
      <c r="E5" s="71" t="n">
        <v>0</v>
      </c>
    </row>
    <row r="6">
      <c r="A6" s="103" t="inlineStr">
        <is>
          <t>11月1週</t>
        </is>
      </c>
      <c r="B6" s="104">
        <f>'週間出来高'!H11</f>
        <v/>
      </c>
      <c r="C6" s="104">
        <f>'週間出来高'!H12</f>
        <v/>
      </c>
      <c r="D6" s="105">
        <f>'週間出来高'!H9</f>
        <v/>
      </c>
      <c r="E6" s="105">
        <f>'週間出来高'!H10</f>
        <v/>
      </c>
    </row>
    <row r="7">
      <c r="A7" s="103" t="inlineStr">
        <is>
          <t>11月2週</t>
        </is>
      </c>
      <c r="B7" s="104">
        <f>'週間出来高'!I11</f>
        <v/>
      </c>
      <c r="C7" s="104">
        <f>'週間出来高'!I12</f>
        <v/>
      </c>
      <c r="D7" s="105">
        <f>'週間出来高'!I9</f>
        <v/>
      </c>
      <c r="E7" s="105">
        <f>'週間出来高'!I10</f>
        <v/>
      </c>
    </row>
    <row r="8">
      <c r="A8" s="103" t="inlineStr">
        <is>
          <t>11月3週</t>
        </is>
      </c>
      <c r="B8" s="104">
        <f>'週間出来高'!J11</f>
        <v/>
      </c>
      <c r="C8" s="104">
        <f>'週間出来高'!J12</f>
        <v/>
      </c>
      <c r="D8" s="105">
        <f>'週間出来高'!J9</f>
        <v/>
      </c>
      <c r="E8" s="105">
        <f>'週間出来高'!J10</f>
        <v/>
      </c>
    </row>
    <row r="9">
      <c r="A9" s="103" t="inlineStr">
        <is>
          <t>11月4週</t>
        </is>
      </c>
      <c r="B9" s="104">
        <f>'週間出来高'!K11</f>
        <v/>
      </c>
      <c r="C9" s="104">
        <f>'週間出来高'!K12</f>
        <v/>
      </c>
      <c r="D9" s="105">
        <f>'週間出来高'!K9</f>
        <v/>
      </c>
      <c r="E9" s="105">
        <f>'週間出来高'!K10</f>
        <v/>
      </c>
    </row>
    <row r="10">
      <c r="A10" s="103" t="inlineStr">
        <is>
          <t>11月5週</t>
        </is>
      </c>
      <c r="B10" s="104">
        <f>'週間出来高'!L11</f>
        <v/>
      </c>
      <c r="C10" s="104">
        <f>'週間出来高'!L12</f>
        <v/>
      </c>
      <c r="D10" s="105">
        <f>'週間出来高'!L9</f>
        <v/>
      </c>
      <c r="E10" s="105">
        <f>'週間出来高'!L10</f>
        <v/>
      </c>
    </row>
    <row r="11">
      <c r="A11" s="103" t="inlineStr">
        <is>
          <t>12月1週</t>
        </is>
      </c>
      <c r="B11" s="104">
        <f>'週間出来高'!M11</f>
        <v/>
      </c>
      <c r="C11" s="104">
        <f>'週間出来高'!M12</f>
        <v/>
      </c>
      <c r="D11" s="105">
        <f>'週間出来高'!M9</f>
        <v/>
      </c>
      <c r="E11" s="105">
        <f>'週間出来高'!M10</f>
        <v/>
      </c>
    </row>
    <row r="12">
      <c r="A12" s="103" t="inlineStr">
        <is>
          <t>12月2週</t>
        </is>
      </c>
      <c r="B12" s="104">
        <f>'週間出来高'!N11</f>
        <v/>
      </c>
      <c r="C12" s="104">
        <f>'週間出来高'!N12</f>
        <v/>
      </c>
      <c r="D12" s="105">
        <f>'週間出来高'!N9</f>
        <v/>
      </c>
      <c r="E12" s="105">
        <f>'週間出来高'!N10</f>
        <v/>
      </c>
    </row>
    <row r="13">
      <c r="A13" s="103" t="inlineStr">
        <is>
          <t>12月3週</t>
        </is>
      </c>
      <c r="B13" s="104">
        <f>'週間出来高'!O11</f>
        <v/>
      </c>
      <c r="C13" s="104">
        <f>'週間出来高'!O12</f>
        <v/>
      </c>
      <c r="D13" s="105">
        <f>'週間出来高'!O9</f>
        <v/>
      </c>
      <c r="E13" s="105">
        <f>'週間出来高'!O10</f>
        <v/>
      </c>
    </row>
    <row r="14">
      <c r="A14" s="103" t="inlineStr">
        <is>
          <t>12月4週</t>
        </is>
      </c>
      <c r="B14" s="104">
        <f>'週間出来高'!P11</f>
        <v/>
      </c>
      <c r="C14" s="104">
        <f>'週間出来高'!P12</f>
        <v/>
      </c>
      <c r="D14" s="105">
        <f>'週間出来高'!P9</f>
        <v/>
      </c>
      <c r="E14" s="105">
        <f>'週間出来高'!P10</f>
        <v/>
      </c>
    </row>
    <row r="15">
      <c r="A15" s="103" t="inlineStr">
        <is>
          <t>1月1週</t>
        </is>
      </c>
      <c r="B15" s="104">
        <f>'週間出来高'!Q11</f>
        <v/>
      </c>
      <c r="C15" s="104">
        <f>'週間出来高'!Q12</f>
        <v/>
      </c>
      <c r="D15" s="105">
        <f>'週間出来高'!Q9</f>
        <v/>
      </c>
      <c r="E15" s="105">
        <f>'週間出来高'!Q10</f>
        <v/>
      </c>
    </row>
    <row r="16">
      <c r="A16" s="103" t="inlineStr">
        <is>
          <t>1月2週</t>
        </is>
      </c>
      <c r="B16" s="104">
        <f>'週間出来高'!R11</f>
        <v/>
      </c>
      <c r="C16" s="104">
        <f>'週間出来高'!R12</f>
        <v/>
      </c>
      <c r="D16" s="105">
        <f>'週間出来高'!R9</f>
        <v/>
      </c>
      <c r="E16" s="105">
        <f>'週間出来高'!R10</f>
        <v/>
      </c>
    </row>
    <row r="17">
      <c r="A17" s="103" t="inlineStr">
        <is>
          <t>1月3週</t>
        </is>
      </c>
      <c r="B17" s="104">
        <f>'週間出来高'!S11</f>
        <v/>
      </c>
      <c r="C17" s="104">
        <f>'週間出来高'!S12</f>
        <v/>
      </c>
      <c r="D17" s="105">
        <f>'週間出来高'!S9</f>
        <v/>
      </c>
      <c r="E17" s="105">
        <f>'週間出来高'!S10</f>
        <v/>
      </c>
    </row>
    <row r="18">
      <c r="A18" s="103" t="inlineStr">
        <is>
          <t>1月4週</t>
        </is>
      </c>
      <c r="B18" s="104">
        <f>'週間出来高'!T11</f>
        <v/>
      </c>
      <c r="C18" s="104">
        <f>'週間出来高'!T12</f>
        <v/>
      </c>
      <c r="D18" s="105">
        <f>'週間出来高'!T9</f>
        <v/>
      </c>
      <c r="E18" s="105">
        <f>'週間出来高'!T10</f>
        <v/>
      </c>
    </row>
    <row r="19">
      <c r="A19" s="103" t="inlineStr">
        <is>
          <t>2月1週</t>
        </is>
      </c>
      <c r="B19" s="104">
        <f>'週間出来高'!U11</f>
        <v/>
      </c>
      <c r="C19" s="104">
        <f>'週間出来高'!U12</f>
        <v/>
      </c>
      <c r="D19" s="105">
        <f>'週間出来高'!U9</f>
        <v/>
      </c>
      <c r="E19" s="105">
        <f>'週間出来高'!U10</f>
        <v/>
      </c>
    </row>
    <row r="20">
      <c r="A20" s="103" t="inlineStr">
        <is>
          <t>2月2週</t>
        </is>
      </c>
      <c r="B20" s="104">
        <f>'週間出来高'!V11</f>
        <v/>
      </c>
      <c r="C20" s="104">
        <f>'週間出来高'!V12</f>
        <v/>
      </c>
      <c r="D20" s="105">
        <f>'週間出来高'!V9</f>
        <v/>
      </c>
      <c r="E20" s="105">
        <f>'週間出来高'!V10</f>
        <v/>
      </c>
    </row>
    <row r="21">
      <c r="A21" s="103" t="inlineStr">
        <is>
          <t>2月3週</t>
        </is>
      </c>
      <c r="B21" s="104">
        <f>'週間出来高'!W11</f>
        <v/>
      </c>
      <c r="C21" s="104">
        <f>'週間出来高'!W12</f>
        <v/>
      </c>
      <c r="D21" s="105">
        <f>'週間出来高'!W9</f>
        <v/>
      </c>
      <c r="E21" s="105">
        <f>'週間出来高'!W10</f>
        <v/>
      </c>
    </row>
    <row r="22">
      <c r="A22" s="103" t="inlineStr">
        <is>
          <t>2月4週</t>
        </is>
      </c>
      <c r="B22" s="104">
        <f>'週間出来高'!X11</f>
        <v/>
      </c>
      <c r="C22" s="104">
        <f>'週間出来高'!X12</f>
        <v/>
      </c>
      <c r="D22" s="105">
        <f>'週間出来高'!X9</f>
        <v/>
      </c>
      <c r="E22" s="105">
        <f>'週間出来高'!X10</f>
        <v/>
      </c>
    </row>
    <row r="23">
      <c r="A23" s="103" t="inlineStr">
        <is>
          <t>3月1週</t>
        </is>
      </c>
      <c r="B23" s="104">
        <f>'週間出来高'!Y11</f>
        <v/>
      </c>
      <c r="C23" s="104">
        <f>'週間出来高'!Y12</f>
        <v/>
      </c>
      <c r="D23" s="105">
        <f>'週間出来高'!Y9</f>
        <v/>
      </c>
      <c r="E23" s="105">
        <f>'週間出来高'!Y10</f>
        <v/>
      </c>
    </row>
    <row r="24">
      <c r="A24" s="103" t="inlineStr">
        <is>
          <t>3月2週</t>
        </is>
      </c>
      <c r="B24" s="104">
        <f>'週間出来高'!Z11</f>
        <v/>
      </c>
      <c r="C24" s="104">
        <f>'週間出来高'!Z12</f>
        <v/>
      </c>
      <c r="D24" s="105">
        <f>'週間出来高'!Z9</f>
        <v/>
      </c>
      <c r="E24" s="105">
        <f>'週間出来高'!Z10</f>
        <v/>
      </c>
    </row>
    <row r="25">
      <c r="A25" s="103" t="inlineStr">
        <is>
          <t>3月3週</t>
        </is>
      </c>
      <c r="B25" s="104">
        <f>'週間出来高'!AA11</f>
        <v/>
      </c>
      <c r="C25" s="104">
        <f>'週間出来高'!AA12</f>
        <v/>
      </c>
      <c r="D25" s="105">
        <f>'週間出来高'!AA9</f>
        <v/>
      </c>
      <c r="E25" s="105">
        <f>'週間出来高'!AA10</f>
        <v/>
      </c>
    </row>
    <row r="26">
      <c r="A26" s="103" t="inlineStr">
        <is>
          <t>3月4週</t>
        </is>
      </c>
      <c r="B26" s="104">
        <f>'週間出来高'!AB11</f>
        <v/>
      </c>
      <c r="C26" s="104">
        <f>'週間出来高'!AB12</f>
        <v/>
      </c>
      <c r="D26" s="105">
        <f>'週間出来高'!AB9</f>
        <v/>
      </c>
      <c r="E26" s="105">
        <f>'週間出来高'!AB10</f>
        <v/>
      </c>
    </row>
    <row r="27">
      <c r="A27" s="103" t="inlineStr">
        <is>
          <t>3月5週</t>
        </is>
      </c>
      <c r="B27" s="104">
        <f>'週間出来高'!AC11</f>
        <v/>
      </c>
      <c r="C27" s="104">
        <f>'週間出来高'!AC12</f>
        <v/>
      </c>
      <c r="D27" s="105">
        <f>'週間出来高'!AC9</f>
        <v/>
      </c>
      <c r="E27" s="105">
        <f>'週間出来高'!AC10</f>
        <v/>
      </c>
    </row>
    <row r="30">
      <c r="A30" s="27" t="inlineStr">
        <is>
          <t>期間</t>
        </is>
      </c>
      <c r="B30" s="27" t="inlineStr">
        <is>
          <t>出来高金額（円）</t>
        </is>
      </c>
      <c r="C30" s="27" t="inlineStr">
        <is>
          <t>累計出来高金額（円）</t>
        </is>
      </c>
      <c r="D30" s="27" t="inlineStr">
        <is>
          <t>出来高率</t>
        </is>
      </c>
      <c r="E30" s="27" t="inlineStr">
        <is>
          <t>累計出来高率</t>
        </is>
      </c>
    </row>
    <row r="31">
      <c r="A31" s="103" t="inlineStr">
        <is>
          <t>着工前</t>
        </is>
      </c>
      <c r="B31" s="72" t="n">
        <v>0</v>
      </c>
      <c r="C31" s="72" t="n">
        <v>0</v>
      </c>
      <c r="D31" s="71" t="n">
        <v>0</v>
      </c>
      <c r="E31" s="71" t="n">
        <v>0</v>
      </c>
    </row>
    <row r="32">
      <c r="A32" s="103" t="inlineStr">
        <is>
          <t>11月</t>
        </is>
      </c>
      <c r="B32" s="104">
        <f>'月別出来高'!E7</f>
        <v/>
      </c>
      <c r="C32" s="72">
        <f>B32</f>
        <v/>
      </c>
      <c r="D32" s="105">
        <f>'月別出来高'!E5</f>
        <v/>
      </c>
      <c r="E32" s="105">
        <f>'月別出来高'!E6</f>
        <v/>
      </c>
    </row>
    <row r="33">
      <c r="A33" s="103" t="inlineStr">
        <is>
          <t>12月</t>
        </is>
      </c>
      <c r="B33" s="104">
        <f>'月別出来高'!F7</f>
        <v/>
      </c>
      <c r="C33" s="72">
        <f>C32+B33</f>
        <v/>
      </c>
      <c r="D33" s="105">
        <f>'月別出来高'!F5</f>
        <v/>
      </c>
      <c r="E33" s="105">
        <f>'月別出来高'!F6</f>
        <v/>
      </c>
    </row>
    <row r="34">
      <c r="A34" s="103" t="inlineStr">
        <is>
          <t>1月</t>
        </is>
      </c>
      <c r="B34" s="104">
        <f>'月別出来高'!G7</f>
        <v/>
      </c>
      <c r="C34" s="72">
        <f>C33+B34</f>
        <v/>
      </c>
      <c r="D34" s="105">
        <f>'月別出来高'!G5</f>
        <v/>
      </c>
      <c r="E34" s="105">
        <f>'月別出来高'!G6</f>
        <v/>
      </c>
    </row>
    <row r="35">
      <c r="A35" s="103" t="inlineStr">
        <is>
          <t>2月</t>
        </is>
      </c>
      <c r="B35" s="104">
        <f>'月別出来高'!H7</f>
        <v/>
      </c>
      <c r="C35" s="72">
        <f>C34+B35</f>
        <v/>
      </c>
      <c r="D35" s="105">
        <f>'月別出来高'!H5</f>
        <v/>
      </c>
      <c r="E35" s="105">
        <f>'月別出来高'!H6</f>
        <v/>
      </c>
    </row>
    <row r="36">
      <c r="A36" s="103" t="inlineStr">
        <is>
          <t>3月</t>
        </is>
      </c>
      <c r="B36" s="104">
        <f>'月別出来高'!I7</f>
        <v/>
      </c>
      <c r="C36" s="72">
        <f>C35+B36</f>
        <v/>
      </c>
      <c r="D36" s="105">
        <f>'月別出来高'!I5</f>
        <v/>
      </c>
      <c r="E36" s="105">
        <f>'月別出来高'!I6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6F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2026-09-27T09:09:58Z</dcterms:created>
  <dcterms:modified xsi:type="dcterms:W3CDTF">2026-09-27T09:09:59Z</dcterms:modified>
</cp:coreProperties>
</file>