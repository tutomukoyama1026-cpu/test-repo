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comments2.xml" ContentType="application/vnd.openxmlformats-officedocument.spreadsheetml.comments+xml"/>
  <Override PartName="/xl/charts/chart2.xml" ContentType="application/vnd.openxmlformats-officedocument.drawingml.chart+xml"/>
  <Override PartName="/xl/drawings/drawing3.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①施工図リスト" sheetId="1" r:id="rId5"/>
    <sheet name="②製作図リスト" sheetId="2" r:id="rId6"/>
    <sheet name="③計画書要領書リスト" sheetId="3" r:id="rId7"/>
  </sheets>
  <calcPr fullCalcOnLoad="1"/>
</workbook>
</file>

<file path=xl/comments1.xml><?xml version="1.0" encoding="utf-8"?>
<comments xmlns="http://schemas.openxmlformats.org/spreadsheetml/2006/main">
  <authors>
    <author>作成者</author>
  </authors>
  <commentList>
    <comment ref="G4" authorId="0">
      <text>
        <r>
          <rPr>
            <sz val="11"/>
            <color indexed="8"/>
            <rFont val="ヒラギノ角ゴ ProN W3"/>
          </rPr>
          <t xml:space="preserve">作成者:
PDSから生技に提出日。
【トリガー】生技の初回メール受信
</t>
        </r>
      </text>
    </comment>
    <comment ref="J4" authorId="0">
      <text>
        <r>
          <rPr>
            <sz val="11"/>
            <color indexed="8"/>
            <rFont val="ヒラギノ角ゴ ProN W3"/>
          </rPr>
          <t xml:space="preserve">作成者:
生技が現場に提出日。eYachoにup。
【トリガー】ワオトークで通知
</t>
        </r>
      </text>
    </comment>
    <comment ref="N4" authorId="0">
      <text>
        <r>
          <rPr>
            <sz val="11"/>
            <color indexed="8"/>
            <rFont val="ヒラギノ角ゴ ProN W3"/>
          </rPr>
          <t>作成者:
打合２以降：基本受領へ移行なので使わない</t>
        </r>
      </text>
    </comment>
    <comment ref="U4" authorId="0">
      <text>
        <r>
          <rPr>
            <sz val="11"/>
            <color indexed="8"/>
            <rFont val="ヒラギノ角ゴ ProN W3"/>
          </rPr>
          <t xml:space="preserve">作成者:
受領３以降：同様
</t>
        </r>
      </text>
    </comment>
    <comment ref="AE4" authorId="0">
      <text>
        <r>
          <rPr>
            <sz val="11"/>
            <color indexed="8"/>
            <rFont val="ヒラギノ角ゴ ProN W3"/>
          </rPr>
          <t>作成者:
承認日
【トリガー】box内で移動</t>
        </r>
      </text>
    </comment>
    <comment ref="L5" authorId="0">
      <text>
        <r>
          <rPr>
            <sz val="11"/>
            <color indexed="8"/>
            <rFont val="ヒラギノ角ゴ ProN W3"/>
          </rPr>
          <t xml:space="preserve">作成者:
現場からNSに提出日。
【トリガー】Boxにup。メールで通知
</t>
        </r>
      </text>
    </comment>
    <comment ref="M5" authorId="0">
      <text>
        <r>
          <rPr>
            <sz val="11"/>
            <color indexed="8"/>
            <rFont val="ヒラギノ角ゴ ProN W3"/>
          </rPr>
          <t xml:space="preserve">作成者:
NSからSCに返却日
【トリガー】box内で移動
</t>
        </r>
      </text>
    </comment>
    <comment ref="S5" authorId="0">
      <text>
        <r>
          <rPr>
            <sz val="11"/>
            <color indexed="8"/>
            <rFont val="ヒラギノ角ゴ ProN W3"/>
          </rPr>
          <t xml:space="preserve">作成者:
現場からNSに提出日。
【トリガー】Boxにup
</t>
        </r>
      </text>
    </comment>
    <comment ref="T5" authorId="0">
      <text>
        <r>
          <rPr>
            <sz val="11"/>
            <color indexed="8"/>
            <rFont val="ヒラギノ角ゴ ProN W3"/>
          </rPr>
          <t xml:space="preserve">作成者:
NSからSCに返却日
【トリガー】box内で移動
</t>
        </r>
      </text>
    </comment>
    <comment ref="U5" authorId="0">
      <text>
        <r>
          <rPr>
            <sz val="11"/>
            <color indexed="8"/>
            <rFont val="ヒラギノ角ゴ ProN W3"/>
          </rPr>
          <t xml:space="preserve">作成者:
受領の２回目
受領１の返却以降、提出する時使用
</t>
        </r>
      </text>
    </comment>
  </commentList>
</comments>
</file>

<file path=xl/comments2.xml><?xml version="1.0" encoding="utf-8"?>
<comments xmlns="http://schemas.openxmlformats.org/spreadsheetml/2006/main">
  <authors>
    <author>作成者</author>
  </authors>
  <commentList>
    <comment ref="G4" authorId="0">
      <text>
        <r>
          <rPr>
            <sz val="11"/>
            <color indexed="8"/>
            <rFont val="ヒラギノ角ゴ ProN W3"/>
          </rPr>
          <t xml:space="preserve">作成者:
業者から生技に提出日。
【トリガー】生技の初回メール受信
</t>
        </r>
      </text>
    </comment>
    <comment ref="J4" authorId="0">
      <text>
        <r>
          <rPr>
            <sz val="11"/>
            <color indexed="8"/>
            <rFont val="ヒラギノ角ゴ ProN W3"/>
          </rPr>
          <t xml:space="preserve">作成者:
生技が現場に提出日。eYachoにup。
【トリガー】ワオトークで通知
</t>
        </r>
      </text>
    </comment>
    <comment ref="N4" authorId="0">
      <text>
        <r>
          <rPr>
            <sz val="11"/>
            <color indexed="8"/>
            <rFont val="ヒラギノ角ゴ ProN W3"/>
          </rPr>
          <t>作成者:
打合２以降：基本受領へ移行なので使わない</t>
        </r>
      </text>
    </comment>
    <comment ref="U4" authorId="0">
      <text>
        <r>
          <rPr>
            <sz val="11"/>
            <color indexed="8"/>
            <rFont val="ヒラギノ角ゴ ProN W3"/>
          </rPr>
          <t>作成者:
受領３以降：同様</t>
        </r>
      </text>
    </comment>
    <comment ref="AE4" authorId="0">
      <text>
        <r>
          <rPr>
            <sz val="11"/>
            <color indexed="8"/>
            <rFont val="ヒラギノ角ゴ ProN W3"/>
          </rPr>
          <t>作成者:
承認日
【トリガー】box内で移動</t>
        </r>
      </text>
    </comment>
    <comment ref="L5" authorId="0">
      <text>
        <r>
          <rPr>
            <sz val="11"/>
            <color indexed="8"/>
            <rFont val="ヒラギノ角ゴ ProN W3"/>
          </rPr>
          <t xml:space="preserve">作成者:
現場からNSに提出日。
【トリガー】Boxにup。メールで通知
</t>
        </r>
      </text>
    </comment>
    <comment ref="M5" authorId="0">
      <text>
        <r>
          <rPr>
            <sz val="11"/>
            <color indexed="8"/>
            <rFont val="ヒラギノ角ゴ ProN W3"/>
          </rPr>
          <t>作成者:
NSからSCに返却日
【トリガー】box内で移動</t>
        </r>
      </text>
    </comment>
    <comment ref="S5" authorId="0">
      <text>
        <r>
          <rPr>
            <sz val="11"/>
            <color indexed="8"/>
            <rFont val="ヒラギノ角ゴ ProN W3"/>
          </rPr>
          <t xml:space="preserve">作成者:
現場からNSに提出日。
【トリガー】Boxにup
</t>
        </r>
      </text>
    </comment>
    <comment ref="T5" authorId="0">
      <text>
        <r>
          <rPr>
            <sz val="11"/>
            <color indexed="8"/>
            <rFont val="ヒラギノ角ゴ ProN W3"/>
          </rPr>
          <t>作成者:
NSからSCに返却日
【トリガー】box内で移動</t>
        </r>
      </text>
    </comment>
    <comment ref="U5" authorId="0">
      <text>
        <r>
          <rPr>
            <sz val="11"/>
            <color indexed="8"/>
            <rFont val="ヒラギノ角ゴ ProN W3"/>
          </rPr>
          <t>作成者:
受領の２回目
受領１の返却以降、提出する時使用</t>
        </r>
      </text>
    </comment>
  </commentList>
</comments>
</file>

<file path=xl/comments3.xml><?xml version="1.0" encoding="utf-8"?>
<comments xmlns="http://schemas.openxmlformats.org/spreadsheetml/2006/main">
  <authors>
    <author>作成者</author>
    <author>tc={186EB7FF-6150-4081-BAFF-A5B0EEF89C85}</author>
    <author>tc={074915CD-2A5E-4A12-951B-11E15FF3B6E2}</author>
    <author>tc={30F2A156-5704-4249-B1B6-BB68E4CFD0AA}</author>
    <author>tc={10F0398F-1F37-4AFE-A42D-25D2B3924604}</author>
    <author>tc={5EB92A4C-5412-4215-88BE-124B408366B2}</author>
    <author>tc={28B16098-6F58-4F9A-8C90-B22F02A281BF}</author>
    <author>tc={34E8672B-2394-468C-8991-63093E151C6B}</author>
    <author>tc={E57E97AE-7504-465B-818F-5A9816285D70}</author>
    <author>tc={5329D758-5D49-4A4C-82ED-85A44CB621E6}</author>
    <author>tc={37359743-BD77-45CC-B164-A397BE7B83E2}</author>
    <author>tc={3F46542B-6524-4D25-90D2-41B78E02AD49}</author>
    <author>tc={6240F401-8CB6-4599-B5EC-8F3EE9647B1E}</author>
    <author>tc={D2EE1A19-BE50-4503-855A-080C248F5B1B}</author>
    <author>tc={76FF81F9-D638-4C79-86F2-2CC6D85DDD14}</author>
    <author>tc={4C8A40F9-C973-44A7-9970-E336D71AA3C1}</author>
    <author>tc={3ACFE864-3F5B-4379-97A8-73DA6F30F058}</author>
    <author>tc={923E33FA-BA36-411E-A8E6-A6BAF339FA5D}</author>
    <author>tc={83FB711D-8B28-4A84-ACFD-BCE51E7EF11D}</author>
    <author>tc={579A30B8-E381-4194-91E2-05508C91C74B}</author>
    <author>tc={D6262C48-FFDE-4108-A7AE-5754499B5663}</author>
    <author>tc={C114D27E-ABDB-467C-BA62-5D6B43EEA534}</author>
    <author>tc={490A2EB0-F844-438E-B295-7BDA2B18E9C7}</author>
    <author>tc={A1906958-B0D6-4868-AFAF-62B4D60967E2}</author>
    <author>tc={613661A0-76F4-4382-BDAF-CBD1ACA27AD5}</author>
    <author>tc={30708F2F-FE9B-4E20-B46E-36C013EA6705}</author>
    <author>tc={7A447963-69DC-4B45-91E8-2BB6A843CBBB}</author>
    <author>tc={A938DD5E-7E3F-45DA-990A-D4279FCAFAC8}</author>
    <author>tc={17BAA057-9D3B-49F6-82FD-397984348271}</author>
    <author>tc={5050E20C-B8FD-4EE3-846C-EC97A7B31F5E}</author>
    <author>tc={0642ABD1-3BB0-491F-8EA2-FB4796FF60EA}</author>
    <author>tc={0F89A010-98DC-40C3-BD41-17EDEDB4DF2E}</author>
    <author>tc={D667AB1A-E395-4E19-8C17-69F282649A16}</author>
    <author>tc={8812F35C-FC78-474B-99D5-8E63CF8C4F66}</author>
    <author>tc={FD1FF0CD-7431-4A6B-B411-51BC80D8977C}</author>
    <author>tc={3F6878C6-12A8-4FAF-9098-A44C0BA46E4C}</author>
    <author>tc={AEE7F0F3-F47C-4FB2-9672-30610D3162BC}</author>
    <author>tc={A65E11B3-E1E9-4C23-A788-064A6C080488}</author>
    <author>tc={959940DC-020F-4307-B64A-8923C29BCD9A}</author>
    <author>tc={6BF75B6E-B4DF-4FE3-8CC6-3D355209BC87}</author>
    <author>tc={CFF5C371-260F-471F-A741-82B16BCE167C}</author>
    <author>tc={DA438112-47C7-477C-9E81-673F159D8C84}</author>
    <author>tc={1117EE6A-ADBA-4A5A-AA41-38461818D9D6}</author>
    <author>tc={0220C257-B113-4C8F-8B83-A99690E344E0}</author>
    <author>tc={33012E8F-D7EB-4B60-860E-6D15FD0C65B1}</author>
    <author>tc={9DF3FD1D-0D5C-443C-8F8C-66C4F9A539FE}</author>
    <author>tc={42BC9089-9B36-4867-AB17-81DB5BBC449B}</author>
    <author>tc={84BDE533-2AFD-4E36-A58F-491A0D150212}</author>
    <author>tc={7E636583-E437-4565-8F0F-B28B4E4DDB87}</author>
    <author>tc={52E03E78-88C6-444B-92BF-336579FBAE28}</author>
    <author>tc={2D30AD96-EE42-4EF3-A626-692EC781842C}</author>
    <author>tc={A164F4A8-076F-4E65-A8D1-AA2C264D5C9C}</author>
    <author>tc={EADD7E14-DDF5-4D38-9665-BA63A59982FE}</author>
    <author>tc={B357D756-CC75-4A54-8708-FA3920111236}</author>
    <author>tc={6D564566-CA37-4F2D-A611-CE4792214421}</author>
    <author>tc={B2B9D243-73AE-4358-A7D4-CB0FEFCA80E9}</author>
    <author>tc={1977E0B8-B356-499A-B39D-A063786FBA93}</author>
    <author>tc={E8578F66-B27A-4157-BB58-4D134FC52A0B}</author>
    <author>tc={3E4D4A2B-C5F3-4A9E-AA96-1C503FD1C755}</author>
    <author>tc={4DA5B9A3-3583-4FC3-861D-B15C6EEE0A30}</author>
    <author>tc={7BB5AD95-9985-47CE-917B-A6341334B384}</author>
    <author>tc={04CC5174-BBE8-4516-A35D-A98EA1EC83C5}</author>
    <author>tc={C9BCDB02-F544-48D9-A4B2-3936B0D105BF}</author>
    <author>tc={454CB645-9204-4411-9EC0-83BA3DEC1F4F}</author>
    <author>tc={99EA24F2-B64A-4CA6-A5D5-4274A3C828A5}</author>
    <author>tc={B5D5E9FE-CD61-43DD-AAE4-A83137B80CB8}</author>
    <author>tc={7EC2B396-6AAE-4A56-B381-B6A8C45A80E4}</author>
    <author>tc={34AFB6A9-B750-41AE-9606-ABCBCDC282D1}</author>
    <author>tc={9A2477EE-F67A-4DF0-BC1B-AE45BB0EE60A}</author>
    <author>tc={9760F9C1-3FE3-41D6-9EEF-8F8C5014316F}</author>
    <author>tc={F8DE2C1D-88C5-4571-A59F-4735D9A19296}</author>
    <author>tc={EB2141A2-78C9-4B9E-99C9-D0A1D42AC12E}</author>
    <author>tc={878BDC8C-5E59-4251-9089-A3CB393C08FB}</author>
    <author>tc={D36783E2-1E3A-4C0B-A261-B960D6003C0B}</author>
    <author>tc={94218C62-6C7E-4940-894A-C663D7787B79}</author>
    <author>tc={EB40314A-9E78-47ED-96B4-1BE66D396697}</author>
    <author>tc={E8C86F23-FADD-4075-9EB0-FFC950DC1A2B}</author>
    <author>tc={F18BF9BB-3DB7-4AFE-8534-5E650EDCE919}</author>
    <author>tc={84E37308-E10F-48DD-86A1-4F8F1B3AFAD3}</author>
    <author>tc={083AAA7A-5338-4864-99FF-C526FF966E27}</author>
    <author>tc={10480D94-D00F-428C-AB87-95EDF979BCC5}</author>
    <author>tc={8D562FEE-5FC8-4319-94D5-02AE4AF1329A}</author>
    <author>tc={324E9F63-DC6B-490F-BA45-C1CE22ED990D}</author>
    <author>tc={06FF546A-371F-44CF-9B25-820A8AB96502}</author>
    <author>tc={179A861E-081F-425B-BCA2-1686C9AEEE5D}</author>
    <author>tc={F8D25A59-491D-426A-BD2E-3768CDE5027E}</author>
    <author>tc={1E31FE9B-236D-4A37-9E96-9C6C1FC5FC0B}</author>
    <author>tc={313C663C-96E2-48C0-99ED-57D6A1C282A3}</author>
    <author>tc={53E6F977-329F-4688-8810-1A78ED200EAE}</author>
    <author>tc={07B27614-091D-4368-AC92-C4D7D78FEF59}</author>
    <author>tc={EEDEF737-B44B-4E34-A3E0-9C56BC084195}</author>
    <author>tc={1161202D-4A2D-4625-98DB-FD88C7FB6663}</author>
    <author>tc={D3DE9F82-7287-4919-9DC5-5E06DE558B5E}</author>
    <author>tc={2608A4CC-4C19-4F9A-B5EF-042568E65E32}</author>
    <author>tc={7AFB5164-EABE-43F3-B945-CAC2EAEB9172}</author>
    <author>tc={4ACED43A-E69F-4C71-90A7-342CF447149F}</author>
    <author>tc={F72BE0A7-A002-4AEE-A951-B9F951F5434A}</author>
    <author>tc={F54A95F5-E653-403D-B557-A54CECAD20FC}</author>
    <author>tc={9C4AAC12-386C-4710-A06E-E31C23213891}</author>
    <author>tc={1803C8E4-C02C-4C55-8EA8-E7576FC6F760}</author>
    <author>tc={68871095-F7DE-428F-9617-47BB57F8A064}</author>
    <author>tc={7644C62D-5751-4456-AB2A-C2676CB4E999}</author>
    <author>tc={511AC2F4-EE3B-4BE1-98EA-4B5275AC17D6}</author>
    <author>tc={BC70A8AF-B22E-4BEB-A6F4-E5090C79096D}</author>
    <author>tc={20AAFB08-59AB-416F-A500-896E998EE305}</author>
    <author>tc={65C147E3-ABD0-40BF-BC1D-6FD87C600DA7}</author>
    <author>tc={AB71D5BC-E50F-4E61-B0D1-91F052645B3A}</author>
    <author>tc={3EBB5CD0-75BC-48E6-AF18-5EC7B85B4B83}</author>
    <author>tc={CF0658D3-F8B7-411E-A4E8-7EC55FB6AA51}</author>
    <author>tc={6DFDA79B-6996-4E8C-A61A-A345AA14A18C}</author>
    <author>tc={4DA533CF-716B-4F18-9090-65F0A5DD5E2C}</author>
    <author>tc={BA25C401-7E8F-4FB7-B4B8-55D1C38ECE89}</author>
    <author>tc={24557C8F-0092-402F-A879-30074215E87D}</author>
    <author>tc={68253AA9-738D-4C89-B838-B5E410F3A73B}</author>
    <author>tc={D8F14C98-745B-4155-B2EF-0AFD666C7C61}</author>
    <author>tc={AB7A30D5-FBF8-47FF-B838-50FBCF691113}</author>
    <author>tc={59742F8F-7D01-4CA6-8101-5E1A7CF6DD07}</author>
    <author>tc={17F7A726-6B3A-4F07-9921-6C17D8F9AA37}</author>
    <author>tc={9188EEB6-8C46-4192-81ED-E6F78B7A9036}</author>
    <author>tc={ADEB4547-A8DC-41E0-B0CC-8D0644A51B1F}</author>
    <author>tc={08CDBB62-09A2-492C-B8E1-1CF8EC14EE55}</author>
    <author>tc={34269D4D-60AC-4C84-85DE-7355183892C3}</author>
    <author>tc={F510124C-A98C-408E-B267-9B213CDCDCEF}</author>
    <author>tc={D86DB235-0626-42C7-913C-8B3D5FB37CEC}</author>
    <author>tc={E80FED31-2DB2-4D2B-AD68-5AEA32142D45}</author>
    <author>tc={363FFE3E-3FF4-4606-B71B-47E95A630F33}</author>
    <author>tc={1FA76E44-3A51-477F-9933-276DFEB7E609}</author>
    <author>tc={F6A4403C-BB49-41DE-8FD6-0F96379F7C28}</author>
    <author>tc={36E0737C-0B45-4192-A53B-E1598C56A7B5}</author>
    <author>tc={A2671B0B-41CB-4EA2-8359-E2DBEF11F526}</author>
    <author>tc={EF826289-8088-493A-9141-5F9C8C413801}</author>
    <author>tc={1A896003-05BA-4207-8F29-12A82B2D03BD}</author>
    <author>tc={7DD87953-AC16-4033-A93F-214A89F267D7}</author>
    <author>tc={896D292D-A8EA-431D-B1B1-17458B98222B}</author>
    <author>tc={E8B5B1EA-2641-45E9-8F81-9178933467E4}</author>
  </authors>
  <commentList>
    <comment ref="E4" authorId="0">
      <text>
        <r>
          <rPr>
            <sz val="11"/>
            <color indexed="8"/>
            <rFont val="ヒラギノ角ゴ ProN W3"/>
          </rPr>
          <t>作成者:
業者から生技に提出日。
【トリガー】生技の初回メール受信</t>
        </r>
      </text>
    </comment>
    <comment ref="I4" authorId="0">
      <text>
        <r>
          <rPr>
            <sz val="11"/>
            <color indexed="8"/>
            <rFont val="ヒラギノ角ゴ ProN W3"/>
          </rPr>
          <t xml:space="preserve">作成者:
生技が現場に提出日。eYachoにup。
【トリガー】ワオトークで通知
</t>
        </r>
      </text>
    </comment>
    <comment ref="S4" authorId="0">
      <text>
        <r>
          <rPr>
            <sz val="11"/>
            <color indexed="8"/>
            <rFont val="ヒラギノ角ゴ ProN W3"/>
          </rPr>
          <t>作成者:
受領３以降：同様</t>
        </r>
      </text>
    </comment>
    <comment ref="AB4" authorId="0">
      <text>
        <r>
          <rPr>
            <sz val="11"/>
            <color indexed="8"/>
            <rFont val="ヒラギノ角ゴ ProN W3"/>
          </rPr>
          <t>作成者:
承認日
【トリガー】box内で移動</t>
        </r>
      </text>
    </comment>
    <comment ref="Q5" authorId="0">
      <text>
        <r>
          <rPr>
            <sz val="11"/>
            <color indexed="8"/>
            <rFont val="ヒラギノ角ゴ ProN W3"/>
          </rPr>
          <t xml:space="preserve">作成者:
現場からNSに提出日。
【トリガー】Boxにup
</t>
        </r>
      </text>
    </comment>
    <comment ref="R5" authorId="0">
      <text>
        <r>
          <rPr>
            <sz val="11"/>
            <color indexed="8"/>
            <rFont val="ヒラギノ角ゴ ProN W3"/>
          </rPr>
          <t xml:space="preserve">作成者:
NSからSCに返却日
【トリガー】box内で移動
</t>
        </r>
      </text>
    </comment>
    <comment ref="S5" authorId="0">
      <text>
        <r>
          <rPr>
            <sz val="11"/>
            <color indexed="8"/>
            <rFont val="ヒラギノ角ゴ ProN W3"/>
          </rPr>
          <t>作成者:
受領の２回目
受領１の返却以降、提出する時使用</t>
        </r>
      </text>
    </comment>
    <comment ref="K6" authorId="0">
      <text>
        <r>
          <rPr>
            <sz val="11"/>
            <color indexed="8"/>
            <rFont val="ヒラギノ角ゴ ProN W3"/>
          </rPr>
          <t xml:space="preserve">作成者:
現場からNSに提出日。
【トリガー】Boxにup。メールで通知
</t>
        </r>
      </text>
    </comment>
    <comment ref="L6" authorId="0">
      <text>
        <r>
          <rPr>
            <sz val="11"/>
            <color indexed="8"/>
            <rFont val="ヒラギノ角ゴ ProN W3"/>
          </rPr>
          <t xml:space="preserve">作成者:
NSからSCに返却日
【トリガー】box内で移動
</t>
        </r>
      </text>
    </comment>
    <comment ref="AD7" authorId="1">
      <text>
        <r>
          <rPr>
            <sz val="11"/>
            <color indexed="8"/>
            <rFont val="ヒラギノ角ゴ ProN W3"/>
          </rPr>
          <t>tc={186EB7FF-6150-4081-BAFF-A5B0EEF89C85}: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C8" authorId="2">
      <text>
        <r>
          <rPr>
            <sz val="11"/>
            <color indexed="8"/>
            <rFont val="ヒラギノ角ゴ ProN W3"/>
          </rPr>
          <t>tc={074915CD-2A5E-4A12-951B-11E15FF3B6E2}: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8" authorId="3">
      <text>
        <r>
          <rPr>
            <sz val="11"/>
            <color indexed="8"/>
            <rFont val="ヒラギノ角ゴ ProN W3"/>
          </rPr>
          <t>tc={30F2A156-5704-4249-B1B6-BB68E4CFD0AA}: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9" authorId="4">
      <text>
        <r>
          <rPr>
            <sz val="11"/>
            <color indexed="8"/>
            <rFont val="ヒラギノ角ゴ ProN W3"/>
          </rPr>
          <t>tc={10F0398F-1F37-4AFE-A42D-25D2B3924604}: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0" authorId="5">
      <text>
        <r>
          <rPr>
            <sz val="11"/>
            <color indexed="8"/>
            <rFont val="ヒラギノ角ゴ ProN W3"/>
          </rPr>
          <t>tc={5EB92A4C-5412-4215-88BE-124B408366B2}: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1" authorId="6">
      <text>
        <r>
          <rPr>
            <sz val="11"/>
            <color indexed="8"/>
            <rFont val="ヒラギノ角ゴ ProN W3"/>
          </rPr>
          <t>tc={28B16098-6F58-4F9A-8C90-B22F02A281BF}: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2" authorId="7">
      <text>
        <r>
          <rPr>
            <sz val="11"/>
            <color indexed="8"/>
            <rFont val="ヒラギノ角ゴ ProN W3"/>
          </rPr>
          <t>tc={34E8672B-2394-468C-8991-63093E151C6B}: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3" authorId="8">
      <text>
        <r>
          <rPr>
            <sz val="11"/>
            <color indexed="8"/>
            <rFont val="ヒラギノ角ゴ ProN W3"/>
          </rPr>
          <t>tc={E57E97AE-7504-465B-818F-5A9816285D70}: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4" authorId="9">
      <text>
        <r>
          <rPr>
            <sz val="11"/>
            <color indexed="8"/>
            <rFont val="ヒラギノ角ゴ ProN W3"/>
          </rPr>
          <t>tc={5329D758-5D49-4A4C-82ED-85A44CB621E6}: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5" authorId="10">
      <text>
        <r>
          <rPr>
            <sz val="11"/>
            <color indexed="8"/>
            <rFont val="ヒラギノ角ゴ ProN W3"/>
          </rPr>
          <t>tc={37359743-BD77-45CC-B164-A397BE7B83E2}: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6" authorId="11">
      <text>
        <r>
          <rPr>
            <sz val="11"/>
            <color indexed="8"/>
            <rFont val="ヒラギノ角ゴ ProN W3"/>
          </rPr>
          <t>tc={3F46542B-6524-4D25-90D2-41B78E02AD49}: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7" authorId="12">
      <text>
        <r>
          <rPr>
            <sz val="11"/>
            <color indexed="8"/>
            <rFont val="ヒラギノ角ゴ ProN W3"/>
          </rPr>
          <t>tc={6240F401-8CB6-4599-B5EC-8F3EE9647B1E}: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8" authorId="13">
      <text>
        <r>
          <rPr>
            <sz val="11"/>
            <color indexed="8"/>
            <rFont val="ヒラギノ角ゴ ProN W3"/>
          </rPr>
          <t>tc={D2EE1A19-BE50-4503-855A-080C248F5B1B}: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9" authorId="14">
      <text>
        <r>
          <rPr>
            <sz val="11"/>
            <color indexed="8"/>
            <rFont val="ヒラギノ角ゴ ProN W3"/>
          </rPr>
          <t>tc={76FF81F9-D638-4C79-86F2-2CC6D85DDD14}: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20" authorId="15">
      <text>
        <r>
          <rPr>
            <sz val="11"/>
            <color indexed="8"/>
            <rFont val="ヒラギノ角ゴ ProN W3"/>
          </rPr>
          <t>tc={4C8A40F9-C973-44A7-9970-E336D71AA3C1}: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21" authorId="16">
      <text>
        <r>
          <rPr>
            <sz val="11"/>
            <color indexed="8"/>
            <rFont val="ヒラギノ角ゴ ProN W3"/>
          </rPr>
          <t>tc={3ACFE864-3F5B-4379-97A8-73DA6F30F058}: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22" authorId="17">
      <text>
        <r>
          <rPr>
            <sz val="11"/>
            <color indexed="8"/>
            <rFont val="ヒラギノ角ゴ ProN W3"/>
          </rPr>
          <t>tc={923E33FA-BA36-411E-A8E6-A6BAF339FA5D}: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23" authorId="18">
      <text>
        <r>
          <rPr>
            <sz val="11"/>
            <color indexed="8"/>
            <rFont val="ヒラギノ角ゴ ProN W3"/>
          </rPr>
          <t>tc={83FB711D-8B28-4A84-ACFD-BCE51E7EF11D}: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24" authorId="19">
      <text>
        <r>
          <rPr>
            <sz val="11"/>
            <color indexed="8"/>
            <rFont val="ヒラギノ角ゴ ProN W3"/>
          </rPr>
          <t>tc={579A30B8-E381-4194-91E2-05508C91C74B}: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25" authorId="20">
      <text>
        <r>
          <rPr>
            <sz val="11"/>
            <color indexed="8"/>
            <rFont val="ヒラギノ角ゴ ProN W3"/>
          </rPr>
          <t>tc={D6262C48-FFDE-4108-A7AE-5754499B5663}: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26" authorId="21">
      <text>
        <r>
          <rPr>
            <sz val="11"/>
            <color indexed="8"/>
            <rFont val="ヒラギノ角ゴ ProN W3"/>
          </rPr>
          <t>tc={C114D27E-ABDB-467C-BA62-5D6B43EEA534}: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27" authorId="22">
      <text>
        <r>
          <rPr>
            <sz val="11"/>
            <color indexed="8"/>
            <rFont val="ヒラギノ角ゴ ProN W3"/>
          </rPr>
          <t>tc={490A2EB0-F844-438E-B295-7BDA2B18E9C7}: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28" authorId="23">
      <text>
        <r>
          <rPr>
            <sz val="11"/>
            <color indexed="8"/>
            <rFont val="ヒラギノ角ゴ ProN W3"/>
          </rPr>
          <t>tc={A1906958-B0D6-4868-AFAF-62B4D60967E2}: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29" authorId="24">
      <text>
        <r>
          <rPr>
            <sz val="11"/>
            <color indexed="8"/>
            <rFont val="ヒラギノ角ゴ ProN W3"/>
          </rPr>
          <t>tc={613661A0-76F4-4382-BDAF-CBD1ACA27AD5}: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30" authorId="25">
      <text>
        <r>
          <rPr>
            <sz val="11"/>
            <color indexed="8"/>
            <rFont val="ヒラギノ角ゴ ProN W3"/>
          </rPr>
          <t>tc={30708F2F-FE9B-4E20-B46E-36C013EA6705}: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31" authorId="26">
      <text>
        <r>
          <rPr>
            <sz val="11"/>
            <color indexed="8"/>
            <rFont val="ヒラギノ角ゴ ProN W3"/>
          </rPr>
          <t>tc={7A447963-69DC-4B45-91E8-2BB6A843CBBB}: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32" authorId="27">
      <text>
        <r>
          <rPr>
            <sz val="11"/>
            <color indexed="8"/>
            <rFont val="ヒラギノ角ゴ ProN W3"/>
          </rPr>
          <t>tc={A938DD5E-7E3F-45DA-990A-D4279FCAFAC8}: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33" authorId="28">
      <text>
        <r>
          <rPr>
            <sz val="11"/>
            <color indexed="8"/>
            <rFont val="ヒラギノ角ゴ ProN W3"/>
          </rPr>
          <t>tc={17BAA057-9D3B-49F6-82FD-397984348271}: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34" authorId="29">
      <text>
        <r>
          <rPr>
            <sz val="11"/>
            <color indexed="8"/>
            <rFont val="ヒラギノ角ゴ ProN W3"/>
          </rPr>
          <t>tc={5050E20C-B8FD-4EE3-846C-EC97A7B31F5E}: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35" authorId="30">
      <text>
        <r>
          <rPr>
            <sz val="11"/>
            <color indexed="8"/>
            <rFont val="ヒラギノ角ゴ ProN W3"/>
          </rPr>
          <t>tc={0642ABD1-3BB0-491F-8EA2-FB4796FF60EA}: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36" authorId="31">
      <text>
        <r>
          <rPr>
            <sz val="11"/>
            <color indexed="8"/>
            <rFont val="ヒラギノ角ゴ ProN W3"/>
          </rPr>
          <t>tc={0F89A010-98DC-40C3-BD41-17EDEDB4DF2E}: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37" authorId="32">
      <text>
        <r>
          <rPr>
            <sz val="11"/>
            <color indexed="8"/>
            <rFont val="ヒラギノ角ゴ ProN W3"/>
          </rPr>
          <t>tc={D667AB1A-E395-4E19-8C17-69F282649A16}: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38" authorId="33">
      <text>
        <r>
          <rPr>
            <sz val="11"/>
            <color indexed="8"/>
            <rFont val="ヒラギノ角ゴ ProN W3"/>
          </rPr>
          <t>tc={8812F35C-FC78-474B-99D5-8E63CF8C4F66}: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39" authorId="34">
      <text>
        <r>
          <rPr>
            <sz val="11"/>
            <color indexed="8"/>
            <rFont val="ヒラギノ角ゴ ProN W3"/>
          </rPr>
          <t>tc={FD1FF0CD-7431-4A6B-B411-51BC80D8977C}: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40" authorId="35">
      <text>
        <r>
          <rPr>
            <sz val="11"/>
            <color indexed="8"/>
            <rFont val="ヒラギノ角ゴ ProN W3"/>
          </rPr>
          <t>tc={3F6878C6-12A8-4FAF-9098-A44C0BA46E4C}: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41" authorId="36">
      <text>
        <r>
          <rPr>
            <sz val="11"/>
            <color indexed="8"/>
            <rFont val="ヒラギノ角ゴ ProN W3"/>
          </rPr>
          <t>tc={AEE7F0F3-F47C-4FB2-9672-30610D3162BC}: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42" authorId="37">
      <text>
        <r>
          <rPr>
            <sz val="11"/>
            <color indexed="8"/>
            <rFont val="ヒラギノ角ゴ ProN W3"/>
          </rPr>
          <t>tc={A65E11B3-E1E9-4C23-A788-064A6C080488}: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43" authorId="38">
      <text>
        <r>
          <rPr>
            <sz val="11"/>
            <color indexed="8"/>
            <rFont val="ヒラギノ角ゴ ProN W3"/>
          </rPr>
          <t>tc={959940DC-020F-4307-B64A-8923C29BCD9A}: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44" authorId="39">
      <text>
        <r>
          <rPr>
            <sz val="11"/>
            <color indexed="8"/>
            <rFont val="ヒラギノ角ゴ ProN W3"/>
          </rPr>
          <t>tc={6BF75B6E-B4DF-4FE3-8CC6-3D355209BC87}: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45" authorId="40">
      <text>
        <r>
          <rPr>
            <sz val="11"/>
            <color indexed="8"/>
            <rFont val="ヒラギノ角ゴ ProN W3"/>
          </rPr>
          <t>tc={CFF5C371-260F-471F-A741-82B16BCE167C}: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46" authorId="41">
      <text>
        <r>
          <rPr>
            <sz val="11"/>
            <color indexed="8"/>
            <rFont val="ヒラギノ角ゴ ProN W3"/>
          </rPr>
          <t>tc={DA438112-47C7-477C-9E81-673F159D8C84}: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47" authorId="42">
      <text>
        <r>
          <rPr>
            <sz val="11"/>
            <color indexed="8"/>
            <rFont val="ヒラギノ角ゴ ProN W3"/>
          </rPr>
          <t>tc={1117EE6A-ADBA-4A5A-AA41-38461818D9D6}: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48" authorId="43">
      <text>
        <r>
          <rPr>
            <sz val="11"/>
            <color indexed="8"/>
            <rFont val="ヒラギノ角ゴ ProN W3"/>
          </rPr>
          <t>tc={0220C257-B113-4C8F-8B83-A99690E344E0}: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49" authorId="44">
      <text>
        <r>
          <rPr>
            <sz val="11"/>
            <color indexed="8"/>
            <rFont val="ヒラギノ角ゴ ProN W3"/>
          </rPr>
          <t>tc={33012E8F-D7EB-4B60-860E-6D15FD0C65B1}: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50" authorId="45">
      <text>
        <r>
          <rPr>
            <sz val="11"/>
            <color indexed="8"/>
            <rFont val="ヒラギノ角ゴ ProN W3"/>
          </rPr>
          <t>tc={9DF3FD1D-0D5C-443C-8F8C-66C4F9A539FE}: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51" authorId="46">
      <text>
        <r>
          <rPr>
            <sz val="11"/>
            <color indexed="8"/>
            <rFont val="ヒラギノ角ゴ ProN W3"/>
          </rPr>
          <t>tc={42BC9089-9B36-4867-AB17-81DB5BBC449B}: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52" authorId="47">
      <text>
        <r>
          <rPr>
            <sz val="11"/>
            <color indexed="8"/>
            <rFont val="ヒラギノ角ゴ ProN W3"/>
          </rPr>
          <t>tc={84BDE533-2AFD-4E36-A58F-491A0D150212}: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53" authorId="48">
      <text>
        <r>
          <rPr>
            <sz val="11"/>
            <color indexed="8"/>
            <rFont val="ヒラギノ角ゴ ProN W3"/>
          </rPr>
          <t>tc={7E636583-E437-4565-8F0F-B28B4E4DDB87}: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54" authorId="49">
      <text>
        <r>
          <rPr>
            <sz val="11"/>
            <color indexed="8"/>
            <rFont val="ヒラギノ角ゴ ProN W3"/>
          </rPr>
          <t>tc={52E03E78-88C6-444B-92BF-336579FBAE28}: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55" authorId="50">
      <text>
        <r>
          <rPr>
            <sz val="11"/>
            <color indexed="8"/>
            <rFont val="ヒラギノ角ゴ ProN W3"/>
          </rPr>
          <t>tc={2D30AD96-EE42-4EF3-A626-692EC781842C}: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56" authorId="51">
      <text>
        <r>
          <rPr>
            <sz val="11"/>
            <color indexed="8"/>
            <rFont val="ヒラギノ角ゴ ProN W3"/>
          </rPr>
          <t>tc={A164F4A8-076F-4E65-A8D1-AA2C264D5C9C}: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57" authorId="52">
      <text>
        <r>
          <rPr>
            <sz val="11"/>
            <color indexed="8"/>
            <rFont val="ヒラギノ角ゴ ProN W3"/>
          </rPr>
          <t>tc={EADD7E14-DDF5-4D38-9665-BA63A59982FE}: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58" authorId="53">
      <text>
        <r>
          <rPr>
            <sz val="11"/>
            <color indexed="8"/>
            <rFont val="ヒラギノ角ゴ ProN W3"/>
          </rPr>
          <t>tc={B357D756-CC75-4A54-8708-FA3920111236}: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59" authorId="54">
      <text>
        <r>
          <rPr>
            <sz val="11"/>
            <color indexed="8"/>
            <rFont val="ヒラギノ角ゴ ProN W3"/>
          </rPr>
          <t>tc={6D564566-CA37-4F2D-A611-CE4792214421}: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60" authorId="55">
      <text>
        <r>
          <rPr>
            <sz val="11"/>
            <color indexed="8"/>
            <rFont val="ヒラギノ角ゴ ProN W3"/>
          </rPr>
          <t>tc={B2B9D243-73AE-4358-A7D4-CB0FEFCA80E9}: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61" authorId="56">
      <text>
        <r>
          <rPr>
            <sz val="11"/>
            <color indexed="8"/>
            <rFont val="ヒラギノ角ゴ ProN W3"/>
          </rPr>
          <t>tc={1977E0B8-B356-499A-B39D-A063786FBA93}: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62" authorId="57">
      <text>
        <r>
          <rPr>
            <sz val="11"/>
            <color indexed="8"/>
            <rFont val="ヒラギノ角ゴ ProN W3"/>
          </rPr>
          <t>tc={E8578F66-B27A-4157-BB58-4D134FC52A0B}: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63" authorId="58">
      <text>
        <r>
          <rPr>
            <sz val="11"/>
            <color indexed="8"/>
            <rFont val="ヒラギノ角ゴ ProN W3"/>
          </rPr>
          <t>tc={3E4D4A2B-C5F3-4A9E-AA96-1C503FD1C755}: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64" authorId="59">
      <text>
        <r>
          <rPr>
            <sz val="11"/>
            <color indexed="8"/>
            <rFont val="ヒラギノ角ゴ ProN W3"/>
          </rPr>
          <t>tc={4DA5B9A3-3583-4FC3-861D-B15C6EEE0A30}: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65" authorId="60">
      <text>
        <r>
          <rPr>
            <sz val="11"/>
            <color indexed="8"/>
            <rFont val="ヒラギノ角ゴ ProN W3"/>
          </rPr>
          <t>tc={7BB5AD95-9985-47CE-917B-A6341334B384}: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66" authorId="61">
      <text>
        <r>
          <rPr>
            <sz val="11"/>
            <color indexed="8"/>
            <rFont val="ヒラギノ角ゴ ProN W3"/>
          </rPr>
          <t>tc={04CC5174-BBE8-4516-A35D-A98EA1EC83C5}: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67" authorId="62">
      <text>
        <r>
          <rPr>
            <sz val="11"/>
            <color indexed="8"/>
            <rFont val="ヒラギノ角ゴ ProN W3"/>
          </rPr>
          <t>tc={C9BCDB02-F544-48D9-A4B2-3936B0D105BF}: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68" authorId="63">
      <text>
        <r>
          <rPr>
            <sz val="11"/>
            <color indexed="8"/>
            <rFont val="ヒラギノ角ゴ ProN W3"/>
          </rPr>
          <t>tc={454CB645-9204-4411-9EC0-83BA3DEC1F4F}: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69" authorId="64">
      <text>
        <r>
          <rPr>
            <sz val="11"/>
            <color indexed="8"/>
            <rFont val="ヒラギノ角ゴ ProN W3"/>
          </rPr>
          <t>tc={99EA24F2-B64A-4CA6-A5D5-4274A3C828A5}: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70" authorId="65">
      <text>
        <r>
          <rPr>
            <sz val="11"/>
            <color indexed="8"/>
            <rFont val="ヒラギノ角ゴ ProN W3"/>
          </rPr>
          <t>tc={B5D5E9FE-CD61-43DD-AAE4-A83137B80CB8}: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71" authorId="66">
      <text>
        <r>
          <rPr>
            <sz val="11"/>
            <color indexed="8"/>
            <rFont val="ヒラギノ角ゴ ProN W3"/>
          </rPr>
          <t>tc={7EC2B396-6AAE-4A56-B381-B6A8C45A80E4}: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72" authorId="67">
      <text>
        <r>
          <rPr>
            <sz val="11"/>
            <color indexed="8"/>
            <rFont val="ヒラギノ角ゴ ProN W3"/>
          </rPr>
          <t>tc={34AFB6A9-B750-41AE-9606-ABCBCDC282D1}: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73" authorId="68">
      <text>
        <r>
          <rPr>
            <sz val="11"/>
            <color indexed="8"/>
            <rFont val="ヒラギノ角ゴ ProN W3"/>
          </rPr>
          <t>tc={9A2477EE-F67A-4DF0-BC1B-AE45BB0EE60A}: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74" authorId="69">
      <text>
        <r>
          <rPr>
            <sz val="11"/>
            <color indexed="8"/>
            <rFont val="ヒラギノ角ゴ ProN W3"/>
          </rPr>
          <t>tc={9760F9C1-3FE3-41D6-9EEF-8F8C5014316F}: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75" authorId="70">
      <text>
        <r>
          <rPr>
            <sz val="11"/>
            <color indexed="8"/>
            <rFont val="ヒラギノ角ゴ ProN W3"/>
          </rPr>
          <t>tc={F8DE2C1D-88C5-4571-A59F-4735D9A19296}: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76" authorId="71">
      <text>
        <r>
          <rPr>
            <sz val="11"/>
            <color indexed="8"/>
            <rFont val="ヒラギノ角ゴ ProN W3"/>
          </rPr>
          <t>tc={EB2141A2-78C9-4B9E-99C9-D0A1D42AC12E}: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77" authorId="72">
      <text>
        <r>
          <rPr>
            <sz val="11"/>
            <color indexed="8"/>
            <rFont val="ヒラギノ角ゴ ProN W3"/>
          </rPr>
          <t>tc={878BDC8C-5E59-4251-9089-A3CB393C08FB}: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78" authorId="73">
      <text>
        <r>
          <rPr>
            <sz val="11"/>
            <color indexed="8"/>
            <rFont val="ヒラギノ角ゴ ProN W3"/>
          </rPr>
          <t>tc={D36783E2-1E3A-4C0B-A261-B960D6003C0B}: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79" authorId="74">
      <text>
        <r>
          <rPr>
            <sz val="11"/>
            <color indexed="8"/>
            <rFont val="ヒラギノ角ゴ ProN W3"/>
          </rPr>
          <t>tc={94218C62-6C7E-4940-894A-C663D7787B79}: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80" authorId="75">
      <text>
        <r>
          <rPr>
            <sz val="11"/>
            <color indexed="8"/>
            <rFont val="ヒラギノ角ゴ ProN W3"/>
          </rPr>
          <t>tc={EB40314A-9E78-47ED-96B4-1BE66D396697}: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81" authorId="76">
      <text>
        <r>
          <rPr>
            <sz val="11"/>
            <color indexed="8"/>
            <rFont val="ヒラギノ角ゴ ProN W3"/>
          </rPr>
          <t>tc={E8C86F23-FADD-4075-9EB0-FFC950DC1A2B}: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82" authorId="77">
      <text>
        <r>
          <rPr>
            <sz val="11"/>
            <color indexed="8"/>
            <rFont val="ヒラギノ角ゴ ProN W3"/>
          </rPr>
          <t>tc={F18BF9BB-3DB7-4AFE-8534-5E650EDCE919}: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83" authorId="78">
      <text>
        <r>
          <rPr>
            <sz val="11"/>
            <color indexed="8"/>
            <rFont val="ヒラギノ角ゴ ProN W3"/>
          </rPr>
          <t>tc={84E37308-E10F-48DD-86A1-4F8F1B3AFAD3}: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84" authorId="79">
      <text>
        <r>
          <rPr>
            <sz val="11"/>
            <color indexed="8"/>
            <rFont val="ヒラギノ角ゴ ProN W3"/>
          </rPr>
          <t>tc={083AAA7A-5338-4864-99FF-C526FF966E27}: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85" authorId="80">
      <text>
        <r>
          <rPr>
            <sz val="11"/>
            <color indexed="8"/>
            <rFont val="ヒラギノ角ゴ ProN W3"/>
          </rPr>
          <t>tc={10480D94-D00F-428C-AB87-95EDF979BCC5}: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86" authorId="81">
      <text>
        <r>
          <rPr>
            <sz val="11"/>
            <color indexed="8"/>
            <rFont val="ヒラギノ角ゴ ProN W3"/>
          </rPr>
          <t>tc={8D562FEE-5FC8-4319-94D5-02AE4AF1329A}: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87" authorId="82">
      <text>
        <r>
          <rPr>
            <sz val="11"/>
            <color indexed="8"/>
            <rFont val="ヒラギノ角ゴ ProN W3"/>
          </rPr>
          <t>tc={324E9F63-DC6B-490F-BA45-C1CE22ED990D}: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88" authorId="83">
      <text>
        <r>
          <rPr>
            <sz val="11"/>
            <color indexed="8"/>
            <rFont val="ヒラギノ角ゴ ProN W3"/>
          </rPr>
          <t>tc={06FF546A-371F-44CF-9B25-820A8AB96502}: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89" authorId="84">
      <text>
        <r>
          <rPr>
            <sz val="11"/>
            <color indexed="8"/>
            <rFont val="ヒラギノ角ゴ ProN W3"/>
          </rPr>
          <t>tc={179A861E-081F-425B-BCA2-1686C9AEEE5D}: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90" authorId="85">
      <text>
        <r>
          <rPr>
            <sz val="11"/>
            <color indexed="8"/>
            <rFont val="ヒラギノ角ゴ ProN W3"/>
          </rPr>
          <t>tc={F8D25A59-491D-426A-BD2E-3768CDE5027E}: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91" authorId="86">
      <text>
        <r>
          <rPr>
            <sz val="11"/>
            <color indexed="8"/>
            <rFont val="ヒラギノ角ゴ ProN W3"/>
          </rPr>
          <t>tc={1E31FE9B-236D-4A37-9E96-9C6C1FC5FC0B}: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92" authorId="87">
      <text>
        <r>
          <rPr>
            <sz val="11"/>
            <color indexed="8"/>
            <rFont val="ヒラギノ角ゴ ProN W3"/>
          </rPr>
          <t>tc={313C663C-96E2-48C0-99ED-57D6A1C282A3}: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93" authorId="88">
      <text>
        <r>
          <rPr>
            <sz val="11"/>
            <color indexed="8"/>
            <rFont val="ヒラギノ角ゴ ProN W3"/>
          </rPr>
          <t>tc={53E6F977-329F-4688-8810-1A78ED200EAE}: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94" authorId="89">
      <text>
        <r>
          <rPr>
            <sz val="11"/>
            <color indexed="8"/>
            <rFont val="ヒラギノ角ゴ ProN W3"/>
          </rPr>
          <t>tc={07B27614-091D-4368-AC92-C4D7D78FEF59}: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95" authorId="90">
      <text>
        <r>
          <rPr>
            <sz val="11"/>
            <color indexed="8"/>
            <rFont val="ヒラギノ角ゴ ProN W3"/>
          </rPr>
          <t>tc={EEDEF737-B44B-4E34-A3E0-9C56BC084195}: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96" authorId="91">
      <text>
        <r>
          <rPr>
            <sz val="11"/>
            <color indexed="8"/>
            <rFont val="ヒラギノ角ゴ ProN W3"/>
          </rPr>
          <t>tc={1161202D-4A2D-4625-98DB-FD88C7FB6663}: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97" authorId="92">
      <text>
        <r>
          <rPr>
            <sz val="11"/>
            <color indexed="8"/>
            <rFont val="ヒラギノ角ゴ ProN W3"/>
          </rPr>
          <t>tc={D3DE9F82-7287-4919-9DC5-5E06DE558B5E}: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98" authorId="93">
      <text>
        <r>
          <rPr>
            <sz val="11"/>
            <color indexed="8"/>
            <rFont val="ヒラギノ角ゴ ProN W3"/>
          </rPr>
          <t>tc={2608A4CC-4C19-4F9A-B5EF-042568E65E32}: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99" authorId="94">
      <text>
        <r>
          <rPr>
            <sz val="11"/>
            <color indexed="8"/>
            <rFont val="ヒラギノ角ゴ ProN W3"/>
          </rPr>
          <t>tc={7AFB5164-EABE-43F3-B945-CAC2EAEB9172}: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00" authorId="95">
      <text>
        <r>
          <rPr>
            <sz val="11"/>
            <color indexed="8"/>
            <rFont val="ヒラギノ角ゴ ProN W3"/>
          </rPr>
          <t>tc={4ACED43A-E69F-4C71-90A7-342CF447149F}: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01" authorId="96">
      <text>
        <r>
          <rPr>
            <sz val="11"/>
            <color indexed="8"/>
            <rFont val="ヒラギノ角ゴ ProN W3"/>
          </rPr>
          <t>tc={F72BE0A7-A002-4AEE-A951-B9F951F5434A}: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02" authorId="97">
      <text>
        <r>
          <rPr>
            <sz val="11"/>
            <color indexed="8"/>
            <rFont val="ヒラギノ角ゴ ProN W3"/>
          </rPr>
          <t>tc={F54A95F5-E653-403D-B557-A54CECAD20FC}: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03" authorId="98">
      <text>
        <r>
          <rPr>
            <sz val="11"/>
            <color indexed="8"/>
            <rFont val="ヒラギノ角ゴ ProN W3"/>
          </rPr>
          <t>tc={9C4AAC12-386C-4710-A06E-E31C23213891}: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04" authorId="99">
      <text>
        <r>
          <rPr>
            <sz val="11"/>
            <color indexed="8"/>
            <rFont val="ヒラギノ角ゴ ProN W3"/>
          </rPr>
          <t>tc={1803C8E4-C02C-4C55-8EA8-E7576FC6F760}: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05" authorId="100">
      <text>
        <r>
          <rPr>
            <sz val="11"/>
            <color indexed="8"/>
            <rFont val="ヒラギノ角ゴ ProN W3"/>
          </rPr>
          <t>tc={68871095-F7DE-428F-9617-47BB57F8A064}: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06" authorId="101">
      <text>
        <r>
          <rPr>
            <sz val="11"/>
            <color indexed="8"/>
            <rFont val="ヒラギノ角ゴ ProN W3"/>
          </rPr>
          <t>tc={7644C62D-5751-4456-AB2A-C2676CB4E999}: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07" authorId="102">
      <text>
        <r>
          <rPr>
            <sz val="11"/>
            <color indexed="8"/>
            <rFont val="ヒラギノ角ゴ ProN W3"/>
          </rPr>
          <t>tc={511AC2F4-EE3B-4BE1-98EA-4B5275AC17D6}: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08" authorId="103">
      <text>
        <r>
          <rPr>
            <sz val="11"/>
            <color indexed="8"/>
            <rFont val="ヒラギノ角ゴ ProN W3"/>
          </rPr>
          <t>tc={BC70A8AF-B22E-4BEB-A6F4-E5090C79096D}: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09" authorId="104">
      <text>
        <r>
          <rPr>
            <sz val="11"/>
            <color indexed="8"/>
            <rFont val="ヒラギノ角ゴ ProN W3"/>
          </rPr>
          <t>tc={20AAFB08-59AB-416F-A500-896E998EE305}: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10" authorId="105">
      <text>
        <r>
          <rPr>
            <sz val="11"/>
            <color indexed="8"/>
            <rFont val="ヒラギノ角ゴ ProN W3"/>
          </rPr>
          <t>tc={65C147E3-ABD0-40BF-BC1D-6FD87C600DA7}: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11" authorId="106">
      <text>
        <r>
          <rPr>
            <sz val="11"/>
            <color indexed="8"/>
            <rFont val="ヒラギノ角ゴ ProN W3"/>
          </rPr>
          <t>tc={AB71D5BC-E50F-4E61-B0D1-91F052645B3A}: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12" authorId="107">
      <text>
        <r>
          <rPr>
            <sz val="11"/>
            <color indexed="8"/>
            <rFont val="ヒラギノ角ゴ ProN W3"/>
          </rPr>
          <t>tc={3EBB5CD0-75BC-48E6-AF18-5EC7B85B4B83}: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13" authorId="108">
      <text>
        <r>
          <rPr>
            <sz val="11"/>
            <color indexed="8"/>
            <rFont val="ヒラギノ角ゴ ProN W3"/>
          </rPr>
          <t>tc={CF0658D3-F8B7-411E-A4E8-7EC55FB6AA51}: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14" authorId="109">
      <text>
        <r>
          <rPr>
            <sz val="11"/>
            <color indexed="8"/>
            <rFont val="ヒラギノ角ゴ ProN W3"/>
          </rPr>
          <t>tc={6DFDA79B-6996-4E8C-A61A-A345AA14A18C}: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15" authorId="110">
      <text>
        <r>
          <rPr>
            <sz val="11"/>
            <color indexed="8"/>
            <rFont val="ヒラギノ角ゴ ProN W3"/>
          </rPr>
          <t>tc={4DA533CF-716B-4F18-9090-65F0A5DD5E2C}: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16" authorId="111">
      <text>
        <r>
          <rPr>
            <sz val="11"/>
            <color indexed="8"/>
            <rFont val="ヒラギノ角ゴ ProN W3"/>
          </rPr>
          <t>tc={BA25C401-7E8F-4FB7-B4B8-55D1C38ECE89}: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17" authorId="112">
      <text>
        <r>
          <rPr>
            <sz val="11"/>
            <color indexed="8"/>
            <rFont val="ヒラギノ角ゴ ProN W3"/>
          </rPr>
          <t>tc={24557C8F-0092-402F-A879-30074215E87D}: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18" authorId="113">
      <text>
        <r>
          <rPr>
            <sz val="11"/>
            <color indexed="8"/>
            <rFont val="ヒラギノ角ゴ ProN W3"/>
          </rPr>
          <t>tc={68253AA9-738D-4C89-B838-B5E410F3A73B}: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19" authorId="114">
      <text>
        <r>
          <rPr>
            <sz val="11"/>
            <color indexed="8"/>
            <rFont val="ヒラギノ角ゴ ProN W3"/>
          </rPr>
          <t>tc={D8F14C98-745B-4155-B2EF-0AFD666C7C61}: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20" authorId="115">
      <text>
        <r>
          <rPr>
            <sz val="11"/>
            <color indexed="8"/>
            <rFont val="ヒラギノ角ゴ ProN W3"/>
          </rPr>
          <t>tc={AB7A30D5-FBF8-47FF-B838-50FBCF691113}: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21" authorId="116">
      <text>
        <r>
          <rPr>
            <sz val="11"/>
            <color indexed="8"/>
            <rFont val="ヒラギノ角ゴ ProN W3"/>
          </rPr>
          <t>tc={59742F8F-7D01-4CA6-8101-5E1A7CF6DD07}: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22" authorId="117">
      <text>
        <r>
          <rPr>
            <sz val="11"/>
            <color indexed="8"/>
            <rFont val="ヒラギノ角ゴ ProN W3"/>
          </rPr>
          <t>tc={17F7A726-6B3A-4F07-9921-6C17D8F9AA37}: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23" authorId="118">
      <text>
        <r>
          <rPr>
            <sz val="11"/>
            <color indexed="8"/>
            <rFont val="ヒラギノ角ゴ ProN W3"/>
          </rPr>
          <t>tc={9188EEB6-8C46-4192-81ED-E6F78B7A9036}: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24" authorId="119">
      <text>
        <r>
          <rPr>
            <sz val="11"/>
            <color indexed="8"/>
            <rFont val="ヒラギノ角ゴ ProN W3"/>
          </rPr>
          <t>tc={ADEB4547-A8DC-41E0-B0CC-8D0644A51B1F}: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25" authorId="120">
      <text>
        <r>
          <rPr>
            <sz val="11"/>
            <color indexed="8"/>
            <rFont val="ヒラギノ角ゴ ProN W3"/>
          </rPr>
          <t>tc={08CDBB62-09A2-492C-B8E1-1CF8EC14EE55}: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26" authorId="121">
      <text>
        <r>
          <rPr>
            <sz val="11"/>
            <color indexed="8"/>
            <rFont val="ヒラギノ角ゴ ProN W3"/>
          </rPr>
          <t>tc={34269D4D-60AC-4C84-85DE-7355183892C3}: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27" authorId="122">
      <text>
        <r>
          <rPr>
            <sz val="11"/>
            <color indexed="8"/>
            <rFont val="ヒラギノ角ゴ ProN W3"/>
          </rPr>
          <t>tc={F510124C-A98C-408E-B267-9B213CDCDCEF}: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28" authorId="123">
      <text>
        <r>
          <rPr>
            <sz val="11"/>
            <color indexed="8"/>
            <rFont val="ヒラギノ角ゴ ProN W3"/>
          </rPr>
          <t>tc={D86DB235-0626-42C7-913C-8B3D5FB37CEC}: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29" authorId="124">
      <text>
        <r>
          <rPr>
            <sz val="11"/>
            <color indexed="8"/>
            <rFont val="ヒラギノ角ゴ ProN W3"/>
          </rPr>
          <t>tc={E80FED31-2DB2-4D2B-AD68-5AEA32142D45}: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30" authorId="125">
      <text>
        <r>
          <rPr>
            <sz val="11"/>
            <color indexed="8"/>
            <rFont val="ヒラギノ角ゴ ProN W3"/>
          </rPr>
          <t>tc={363FFE3E-3FF4-4606-B71B-47E95A630F33}: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31" authorId="126">
      <text>
        <r>
          <rPr>
            <sz val="11"/>
            <color indexed="8"/>
            <rFont val="ヒラギノ角ゴ ProN W3"/>
          </rPr>
          <t>tc={1FA76E44-3A51-477F-9933-276DFEB7E609}: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32" authorId="127">
      <text>
        <r>
          <rPr>
            <sz val="11"/>
            <color indexed="8"/>
            <rFont val="ヒラギノ角ゴ ProN W3"/>
          </rPr>
          <t>tc={F6A4403C-BB49-41DE-8FD6-0F96379F7C28}: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33" authorId="128">
      <text>
        <r>
          <rPr>
            <sz val="11"/>
            <color indexed="8"/>
            <rFont val="ヒラギノ角ゴ ProN W3"/>
          </rPr>
          <t>tc={36E0737C-0B45-4192-A53B-E1598C56A7B5}: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34" authorId="129">
      <text>
        <r>
          <rPr>
            <sz val="11"/>
            <color indexed="8"/>
            <rFont val="ヒラギノ角ゴ ProN W3"/>
          </rPr>
          <t>tc={A2671B0B-41CB-4EA2-8359-E2DBEF11F526}: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35" authorId="130">
      <text>
        <r>
          <rPr>
            <sz val="11"/>
            <color indexed="8"/>
            <rFont val="ヒラギノ角ゴ ProN W3"/>
          </rPr>
          <t>tc={EF826289-8088-493A-9141-5F9C8C413801}: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36" authorId="131">
      <text>
        <r>
          <rPr>
            <sz val="11"/>
            <color indexed="8"/>
            <rFont val="ヒラギノ角ゴ ProN W3"/>
          </rPr>
          <t>tc={1A896003-05BA-4207-8F29-12A82B2D03BD}: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37" authorId="132">
      <text>
        <r>
          <rPr>
            <sz val="11"/>
            <color indexed="8"/>
            <rFont val="ヒラギノ角ゴ ProN W3"/>
          </rPr>
          <t>tc={7DD87953-AC16-4033-A93F-214A89F267D7}: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38" authorId="133">
      <text>
        <r>
          <rPr>
            <sz val="11"/>
            <color indexed="8"/>
            <rFont val="ヒラギノ角ゴ ProN W3"/>
          </rPr>
          <t>tc={896D292D-A8EA-431D-B1B1-17458B98222B}: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 ref="AD139" authorId="134">
      <text>
        <r>
          <rPr>
            <sz val="11"/>
            <color indexed="8"/>
            <rFont val="ヒラギノ角ゴ ProN W3"/>
          </rPr>
          <t>tc={E8B5B1EA-2641-45E9-8F81-9178933467E4}: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不要な場合は「-（半角ハイフン）」を入力するとグレーアウトできます</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<sst xmlns="http://schemas.openxmlformats.org/spreadsheetml/2006/main" uniqueCount="274">
  <si>
    <t>現場／統括：、現場責任者：新地工事長、主任：、担当：</t>
  </si>
  <si>
    <t>統責者</t>
  </si>
  <si>
    <t>生産技術統括部 生産推進G</t>
  </si>
  <si>
    <t>工事名：</t>
  </si>
  <si>
    <t>椙山女学園　星が丘キャンパス大学会館食堂リニューアル工事</t>
  </si>
  <si>
    <t>備考メモ</t>
  </si>
  <si>
    <t>完了</t>
  </si>
  <si>
    <t>工期：2026/11/9～2027/03/31</t>
  </si>
  <si>
    <t>PDS</t>
  </si>
  <si>
    <t>生推G</t>
  </si>
  <si>
    <t>監理者図面回覧</t>
  </si>
  <si>
    <t>決定図</t>
  </si>
  <si>
    <t>製作期間</t>
  </si>
  <si>
    <t>施工予定</t>
  </si>
  <si>
    <t>作図業者等</t>
  </si>
  <si>
    <t>決定後変更図</t>
  </si>
  <si>
    <t>図面終了確認日</t>
  </si>
  <si>
    <t>　　　　　　　　　　備　考</t>
  </si>
  <si>
    <t>推進G受領日
業者から↑</t>
  </si>
  <si>
    <t>現場へ提出日
生技が打２↑</t>
  </si>
  <si>
    <t>現場へ提出日
生技が受領図↑</t>
  </si>
  <si>
    <t>受領図２</t>
  </si>
  <si>
    <t>受領図３</t>
  </si>
  <si>
    <t>未完了</t>
  </si>
  <si>
    <t>通し番号</t>
  </si>
  <si>
    <t>整　理
番　号</t>
  </si>
  <si>
    <t>敷地：m2</t>
  </si>
  <si>
    <t>外注予定日</t>
  </si>
  <si>
    <t>検図期間</t>
  </si>
  <si>
    <t>出図予定日</t>
  </si>
  <si>
    <t>受 図　日</t>
  </si>
  <si>
    <t>提出予定日</t>
  </si>
  <si>
    <t>提 出 日</t>
  </si>
  <si>
    <t>監理者確認期間</t>
  </si>
  <si>
    <t>打合</t>
  </si>
  <si>
    <t>打合2</t>
  </si>
  <si>
    <t>完了予定日</t>
  </si>
  <si>
    <t>修正検図期間</t>
  </si>
  <si>
    <t>受領1</t>
  </si>
  <si>
    <t>受領2</t>
  </si>
  <si>
    <t>受領3</t>
  </si>
  <si>
    <t>受領4</t>
  </si>
  <si>
    <t>受領5</t>
  </si>
  <si>
    <t>予　定　日</t>
  </si>
  <si>
    <t>決定限界日</t>
  </si>
  <si>
    <t>決 定 日</t>
  </si>
  <si>
    <t>赤色</t>
  </si>
  <si>
    <t>赤色: 0個</t>
  </si>
  <si>
    <t>建面：m2</t>
  </si>
  <si>
    <t>提　出</t>
  </si>
  <si>
    <t>返　却</t>
  </si>
  <si>
    <t>提出</t>
  </si>
  <si>
    <t>返却</t>
  </si>
  <si>
    <t>黄色</t>
  </si>
  <si>
    <t>黄色: 0個</t>
  </si>
  <si>
    <t>改修面積：675m2</t>
  </si>
  <si>
    <t>構造：RC造</t>
  </si>
  <si>
    <t>設計者：日建設計</t>
  </si>
  <si>
    <t>図　　面　　名　　称</t>
  </si>
  <si>
    <t>【躯体図】</t>
  </si>
  <si>
    <t>躯体-1</t>
  </si>
  <si>
    <t>１階・２階床伏図(1/50)</t>
  </si>
  <si>
    <t>2D作図</t>
  </si>
  <si>
    <t>１階SSD-1部分、２階ルーバー取り合い</t>
  </si>
  <si>
    <t>【仕上図】</t>
  </si>
  <si>
    <t>仕上-1</t>
  </si>
  <si>
    <t>１階平面詳細図(1/50)</t>
  </si>
  <si>
    <t>２D作図</t>
  </si>
  <si>
    <t>仕上-2</t>
  </si>
  <si>
    <t>１階天井伏図(1/50)</t>
  </si>
  <si>
    <t>仕上-3</t>
  </si>
  <si>
    <t>食堂展開図(1/50)</t>
  </si>
  <si>
    <t>仕上-4</t>
  </si>
  <si>
    <t>解体範囲図（新旧重ね合わせ図）（床・壁・天井）</t>
  </si>
  <si>
    <t>壁・床・天井</t>
  </si>
  <si>
    <t>仕上-5</t>
  </si>
  <si>
    <t>食堂床タイル割付図(1/50)</t>
  </si>
  <si>
    <t>既存タイル割実測必要</t>
  </si>
  <si>
    <t>【外構図】</t>
  </si>
  <si>
    <t>【検討図】</t>
  </si>
  <si>
    <t>【躯体打込関係】</t>
  </si>
  <si>
    <r>
      <rPr>
        <sz val="12"/>
        <color indexed="8"/>
        <rFont val="HG丸ｺﾞｼｯｸM-PRO"/>
      </rPr>
      <t>現場／統括：、現場責任者：新地工事長、主任：、担当：</t>
    </r>
  </si>
  <si>
    <r>
      <rPr>
        <sz val="18"/>
        <color indexed="8"/>
        <rFont val="HG丸ｺﾞｼｯｸM-PRO"/>
      </rPr>
      <t>椙山女学園　星が丘キャンパス大学会館食堂リニューアル工事</t>
    </r>
  </si>
  <si>
    <t>工期：</t>
  </si>
  <si>
    <t>作図
手配</t>
  </si>
  <si>
    <t>現場記入</t>
  </si>
  <si>
    <t>業者作成</t>
  </si>
  <si>
    <t>備　　考</t>
  </si>
  <si>
    <t>手配実施日</t>
  </si>
  <si>
    <t>業者決定
予定日</t>
  </si>
  <si>
    <t>受　図　日</t>
  </si>
  <si>
    <t>受領１</t>
  </si>
  <si>
    <t>受領２</t>
  </si>
  <si>
    <t>受領３</t>
  </si>
  <si>
    <t>受領４</t>
  </si>
  <si>
    <t>受領５</t>
  </si>
  <si>
    <t>延面：m2</t>
  </si>
  <si>
    <t>構造：</t>
  </si>
  <si>
    <t>設計者：</t>
  </si>
  <si>
    <t>金属工事（三友建材）</t>
  </si>
  <si>
    <t>三友-1</t>
  </si>
  <si>
    <t>西側　ボックス席腰壁下地鉄骨</t>
  </si>
  <si>
    <t>製作２週間</t>
  </si>
  <si>
    <t>三友-2</t>
  </si>
  <si>
    <t>西側　壁アルミルーバー（天井裏下地込み）</t>
  </si>
  <si>
    <t>製作２か月、9/30初回作図</t>
  </si>
  <si>
    <t>三友-3</t>
  </si>
  <si>
    <t>東側　吹抜け部天井下地鉄骨</t>
  </si>
  <si>
    <t>三友-4</t>
  </si>
  <si>
    <t>東側　吸音ルーバー壁下地鉄骨</t>
  </si>
  <si>
    <t>三友-5</t>
  </si>
  <si>
    <t>東側　腰壁下地鉄骨</t>
  </si>
  <si>
    <t>製作３週間</t>
  </si>
  <si>
    <t>三友-6</t>
  </si>
  <si>
    <t>その他　金物</t>
  </si>
  <si>
    <t>金建工事（三和シャッター）</t>
  </si>
  <si>
    <t>三和-1</t>
  </si>
  <si>
    <t>木製パネル張ハンガードア</t>
  </si>
  <si>
    <t>３か所（中央ホール側）、製作２か月</t>
  </si>
  <si>
    <t>三和-2</t>
  </si>
  <si>
    <t>スチール製ガラリ扉更新（既設そのまま）</t>
  </si>
  <si>
    <t>SG-1（西側）製作２か月</t>
  </si>
  <si>
    <t>三和-3</t>
  </si>
  <si>
    <t>アルミ自動ドア</t>
  </si>
  <si>
    <t>AD1（中央ホール側）製作２か月</t>
  </si>
  <si>
    <t>三和-4</t>
  </si>
  <si>
    <t>（オペレータ改修）</t>
  </si>
  <si>
    <t>9月調査、10月～手配・修理・交換</t>
  </si>
  <si>
    <t>金建工事（三和タジマ）</t>
  </si>
  <si>
    <t>タジマ-1</t>
  </si>
  <si>
    <t>ステンレス製建具</t>
  </si>
  <si>
    <t>SSD1（東デッキ側）製作２か月+塗装20日</t>
  </si>
  <si>
    <t>家具工事（ミディック）</t>
  </si>
  <si>
    <t>MIDIC-1</t>
  </si>
  <si>
    <t>天井・壁_吸音ルーバー（ヒガノ）</t>
  </si>
  <si>
    <t>製作３か月、9/18～作図</t>
  </si>
  <si>
    <t>MIDIC-2</t>
  </si>
  <si>
    <t>ハンガードアパネル</t>
  </si>
  <si>
    <t>製作１か月</t>
  </si>
  <si>
    <t>MIDIC-3</t>
  </si>
  <si>
    <t>ボックス席家具</t>
  </si>
  <si>
    <t>MIDIC-4</t>
  </si>
  <si>
    <t>その他ポストフォームなど</t>
  </si>
  <si>
    <t>鋼製床工事（中部フローリング）</t>
  </si>
  <si>
    <t>中部-1</t>
  </si>
  <si>
    <t>鋼製床</t>
  </si>
  <si>
    <t>製作２か月</t>
  </si>
  <si>
    <t>サイン工事（アイセイ社）</t>
  </si>
  <si>
    <t>アイセイ-1</t>
  </si>
  <si>
    <t>サイン</t>
  </si>
  <si>
    <t>【作図保留】</t>
  </si>
  <si>
    <t>立川-1</t>
  </si>
  <si>
    <t>ロールスクリーン</t>
  </si>
  <si>
    <t>４分割 or 5分割</t>
  </si>
  <si>
    <t>【金属】</t>
  </si>
  <si>
    <t>【雑】</t>
  </si>
  <si>
    <t>【他】</t>
  </si>
  <si>
    <r>
      <rPr>
        <sz val="12"/>
        <color indexed="8"/>
        <rFont val="HG丸ｺﾞｼｯｸM-PRO"/>
      </rPr>
      <t>椙山女学園　星が丘キャンパス大学会館食堂リニューアル工事</t>
    </r>
  </si>
  <si>
    <t>通し
番号</t>
  </si>
  <si>
    <t>整理番号</t>
  </si>
  <si>
    <t>図　面　名　称</t>
  </si>
  <si>
    <t>協力業者</t>
  </si>
  <si>
    <t>推進G受領受領日</t>
  </si>
  <si>
    <t>推進G受領予定日</t>
  </si>
  <si>
    <t>推進G確認期間</t>
  </si>
  <si>
    <t>現場提出予定日</t>
  </si>
  <si>
    <t>現場提出日</t>
  </si>
  <si>
    <t>監理者チェック版
提出日</t>
  </si>
  <si>
    <t>修正期間</t>
  </si>
  <si>
    <t>受領図
提出日</t>
  </si>
  <si>
    <t>監理者承認予定日</t>
  </si>
  <si>
    <t>監理者承認日</t>
  </si>
  <si>
    <t>現場施工予定日</t>
  </si>
  <si>
    <t>備考</t>
  </si>
  <si>
    <t>受領図２
提出日</t>
  </si>
  <si>
    <t>受領図３
提出日</t>
  </si>
  <si>
    <t>1回目</t>
  </si>
  <si>
    <t>2回目</t>
  </si>
  <si>
    <t>計-1</t>
  </si>
  <si>
    <t>総合施工計画書</t>
  </si>
  <si>
    <t>仮設・搬入計画等</t>
  </si>
  <si>
    <t>計-2</t>
  </si>
  <si>
    <t>コンクリート配合計画書</t>
  </si>
  <si>
    <t>TCトレーディング</t>
  </si>
  <si>
    <t>小口工事、不要</t>
  </si>
  <si>
    <t>計-3</t>
  </si>
  <si>
    <t>コンクリート工事施工計画書</t>
  </si>
  <si>
    <t>アン・シティ</t>
  </si>
  <si>
    <t>14</t>
  </si>
  <si>
    <t>計-4</t>
  </si>
  <si>
    <t>あと施工アンカー工事施工計画書</t>
  </si>
  <si>
    <t>0918質疑対応とする⇒設計図に記載有り。とりあえず作成する</t>
  </si>
  <si>
    <t>計-5</t>
  </si>
  <si>
    <t>シーリング工事施工計画書</t>
  </si>
  <si>
    <t>アジケン</t>
  </si>
  <si>
    <t>計-6</t>
  </si>
  <si>
    <t>タイル工事施工計画書</t>
  </si>
  <si>
    <t>協和建材</t>
  </si>
  <si>
    <t>西：2/2～/東：2/4～</t>
  </si>
  <si>
    <t>計-7</t>
  </si>
  <si>
    <t>金属工事施工計画書</t>
  </si>
  <si>
    <t>三友建材</t>
  </si>
  <si>
    <t>計-8</t>
  </si>
  <si>
    <t>鋼製建具工事（AD・SG）</t>
  </si>
  <si>
    <t>三和シャッター</t>
  </si>
  <si>
    <t>計-9</t>
  </si>
  <si>
    <t>鋼製建具工事（SSD）</t>
  </si>
  <si>
    <t>三和タジマ</t>
  </si>
  <si>
    <t>計-10</t>
  </si>
  <si>
    <t>造作家具工事施工計画書</t>
  </si>
  <si>
    <t>ミディック</t>
  </si>
  <si>
    <t>計-11</t>
  </si>
  <si>
    <t>ガラス工事施工計画書</t>
  </si>
  <si>
    <t>津田硝子</t>
  </si>
  <si>
    <t>計-12</t>
  </si>
  <si>
    <t>左官工事施工計画書</t>
  </si>
  <si>
    <t>浪花組</t>
  </si>
  <si>
    <t>モルタルアート他</t>
  </si>
  <si>
    <t>計-13</t>
  </si>
  <si>
    <t>塗装工事施工計画書</t>
  </si>
  <si>
    <t>中部岩佐</t>
  </si>
  <si>
    <t>計-14</t>
  </si>
  <si>
    <t>内装工事（LGS･ボード工事）施工計画書</t>
  </si>
  <si>
    <t>ミルックス</t>
  </si>
  <si>
    <t>計-15</t>
  </si>
  <si>
    <t>鋼製床工事施工計画書</t>
  </si>
  <si>
    <t>中部フローリング</t>
  </si>
  <si>
    <t>【 報告書 】</t>
  </si>
  <si>
    <t>報-1</t>
  </si>
  <si>
    <t>石綿含有建材事前調査結果報告書</t>
  </si>
  <si>
    <t>10月上旬調査実施</t>
  </si>
  <si>
    <t>報-2</t>
  </si>
  <si>
    <t>化学物質の濃度測定</t>
  </si>
  <si>
    <t>引渡し前</t>
  </si>
  <si>
    <t>【 仕　上 】</t>
  </si>
  <si>
    <t>屋根工事施工計画書</t>
  </si>
  <si>
    <t>外壁工事施工計画書</t>
  </si>
  <si>
    <t>防水工事施工計画書</t>
  </si>
  <si>
    <t>断熱工事施工計画書</t>
  </si>
  <si>
    <t>建具工事施工要領書</t>
  </si>
  <si>
    <t>【 報告書（計画書）・計算書 】</t>
  </si>
  <si>
    <t>平板載荷試験報告書</t>
  </si>
  <si>
    <t>室内配合試験報告書</t>
  </si>
  <si>
    <t>貫通部補強計算書</t>
  </si>
  <si>
    <t>屋根耐風圧計算書</t>
  </si>
  <si>
    <t>排水雨量計算書</t>
  </si>
  <si>
    <t>ガラス熱割れ検討書</t>
  </si>
  <si>
    <t>ガラス耐風圧計算書</t>
  </si>
  <si>
    <t>天井下地強度計算書</t>
  </si>
  <si>
    <t>シーリング接着性試験報告書</t>
  </si>
  <si>
    <t>遮音性能試験報告書</t>
  </si>
  <si>
    <t>環境測定試験報告書</t>
  </si>
  <si>
    <t>外壁風圧計算書</t>
  </si>
  <si>
    <t>外壁サイン強度計算書</t>
  </si>
  <si>
    <t>【 地　業 】</t>
  </si>
  <si>
    <t>土工事施工計画書</t>
  </si>
  <si>
    <t>杭頭補強筋工事施工計画書</t>
  </si>
  <si>
    <t>【 躯　体 】</t>
  </si>
  <si>
    <t>免震装置製作要領書</t>
  </si>
  <si>
    <t>PC鋼線工事施工計画書</t>
  </si>
  <si>
    <t>PCa工事施工計画書</t>
  </si>
  <si>
    <t>スパンクリート工事施工計画書</t>
  </si>
  <si>
    <t>鉄筋圧接部検査要領書</t>
  </si>
  <si>
    <t>CFT工事施工計画書</t>
  </si>
  <si>
    <t>デッキ･スタッド工事施工計画書</t>
  </si>
  <si>
    <t>鉄骨階段製作要領書</t>
  </si>
  <si>
    <t>免震工事施工計画書</t>
  </si>
  <si>
    <t>タイル張り工事施工計画書</t>
  </si>
  <si>
    <t>石張り工事施工計画書</t>
  </si>
  <si>
    <t>防蝕工事施工計画書</t>
  </si>
  <si>
    <t>塗床工事施工計画書</t>
  </si>
  <si>
    <t>フェロコン含む</t>
  </si>
  <si>
    <t>【その他 】</t>
  </si>
  <si>
    <t>昇降機施工計画書</t>
  </si>
</sst>
</file>

<file path=xl/styles.xml><?xml version="1.0" encoding="utf-8"?>
<styleSheet xmlns="http://schemas.openxmlformats.org/spreadsheetml/2006/main">
  <numFmts count="5">
    <numFmt numFmtId="0" formatCode="General"/>
    <numFmt numFmtId="59" formatCode="m/d"/>
    <numFmt numFmtId="60" formatCode="&quot;R&quot;?.#"/>
    <numFmt numFmtId="61" formatCode="?.#&quot;年&quot;"/>
    <numFmt numFmtId="62" formatCode="0&quot; &quot;;(0)"/>
  </numFmts>
  <fonts count="25">
    <font>
      <sz val="11"/>
      <color indexed="8"/>
      <name val="ＭＳ Ｐゴシック"/>
    </font>
    <font>
      <sz val="12"/>
      <color indexed="8"/>
      <name val="ヒラギノ角ゴ ProN W3"/>
    </font>
    <font>
      <sz val="15"/>
      <color indexed="8"/>
      <name val="Calibri"/>
    </font>
    <font>
      <sz val="12"/>
      <color indexed="8"/>
      <name val="HG丸ｺﾞｼｯｸM-PRO"/>
    </font>
    <font>
      <sz val="11"/>
      <color indexed="8"/>
      <name val="HG丸ｺﾞｼｯｸM-PRO"/>
    </font>
    <font>
      <sz val="16"/>
      <color indexed="8"/>
      <name val="HG丸ｺﾞｼｯｸM-PRO"/>
    </font>
    <font>
      <sz val="18"/>
      <color indexed="8"/>
      <name val="HG丸ｺﾞｼｯｸM-PRO"/>
    </font>
    <font>
      <sz val="11"/>
      <color indexed="8"/>
      <name val="ＭＳ 明朝"/>
    </font>
    <font>
      <sz val="10"/>
      <color indexed="8"/>
      <name val="HG丸ｺﾞｼｯｸM-PRO"/>
    </font>
    <font>
      <sz val="9"/>
      <color indexed="8"/>
      <name val="HG丸ｺﾞｼｯｸM-PRO"/>
    </font>
    <font>
      <sz val="11"/>
      <color indexed="8"/>
      <name val="ヒラギノ角ゴ ProN W3"/>
    </font>
    <font>
      <b val="1"/>
      <sz val="11"/>
      <color indexed="8"/>
      <name val="HG丸ｺﾞｼｯｸM-PRO"/>
    </font>
    <font>
      <sz val="9"/>
      <color indexed="8"/>
      <name val="ＭＳ 明朝"/>
    </font>
    <font>
      <sz val="8"/>
      <color indexed="8"/>
      <name val="HG丸ｺﾞｼｯｸM-PRO"/>
    </font>
    <font>
      <sz val="10"/>
      <color indexed="8"/>
      <name val="ＭＳ 明朝"/>
    </font>
    <font>
      <sz val="10"/>
      <color indexed="8"/>
      <name val="Calibri"/>
    </font>
    <font>
      <sz val="18"/>
      <color indexed="8"/>
      <name val="Calibri"/>
    </font>
    <font>
      <sz val="9"/>
      <color indexed="20"/>
      <name val="Calibri"/>
    </font>
    <font>
      <sz val="9"/>
      <color indexed="21"/>
      <name val="Calibri"/>
    </font>
    <font>
      <b val="1"/>
      <sz val="10"/>
      <color indexed="20"/>
      <name val="Calibri"/>
    </font>
    <font>
      <sz val="10"/>
      <color indexed="8"/>
      <name val="HG丸ｺﾞｼｯｸM-PRO"/>
    </font>
    <font>
      <b val="1"/>
      <sz val="11"/>
      <color indexed="9"/>
      <name val="HG丸ｺﾞｼｯｸM-PRO"/>
    </font>
    <font>
      <sz val="10"/>
      <color indexed="9"/>
      <name val="ＭＳ 明朝"/>
    </font>
    <font>
      <sz val="8"/>
      <color indexed="25"/>
      <name val="HG丸ｺﾞｼｯｸM-PRO"/>
    </font>
    <font>
      <sz val="40"/>
      <color indexed="9"/>
      <name val="Helvetica"/>
    </font>
  </fonts>
  <fills count="11">
    <fill>
      <patternFill patternType="none"/>
    </fill>
    <fill>
      <patternFill patternType="gray125"/>
    </fill>
    <fill>
      <patternFill patternType="solid">
        <fgColor indexed="10"/>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23"/>
        <bgColor auto="1"/>
      </patternFill>
    </fill>
    <fill>
      <patternFill patternType="solid">
        <fgColor indexed="19"/>
        <bgColor auto="1"/>
      </patternFill>
    </fill>
  </fills>
  <borders count="84">
    <border>
      <left/>
      <right/>
      <top/>
      <bottom/>
      <diagonal/>
    </border>
    <border>
      <left style="thin">
        <color indexed="11"/>
      </left>
      <right style="thin">
        <color indexed="11"/>
      </right>
      <top style="thin">
        <color indexed="11"/>
      </top>
      <bottom style="thin">
        <color indexed="11"/>
      </bottom>
      <diagonal/>
    </border>
    <border>
      <left style="thin">
        <color indexed="11"/>
      </left>
      <right>
        <color indexed="8"/>
      </right>
      <top style="thin">
        <color indexed="11"/>
      </top>
      <bottom style="thin">
        <color indexed="11"/>
      </bottom>
      <diagonal/>
    </border>
    <border>
      <left>
        <color indexed="8"/>
      </left>
      <right style="thin">
        <color indexed="11"/>
      </right>
      <top style="thin">
        <color indexed="11"/>
      </top>
      <bottom style="thin">
        <color indexed="11"/>
      </bottom>
      <diagonal/>
    </border>
    <border>
      <left>
        <color indexed="8"/>
      </left>
      <right>
        <color indexed="8"/>
      </right>
      <top style="thin">
        <color indexed="11"/>
      </top>
      <bottom style="thin">
        <color indexed="11"/>
      </bottom>
      <diagonal/>
    </border>
    <border>
      <left style="thin">
        <color indexed="11"/>
      </left>
      <right style="thin">
        <color indexed="8"/>
      </right>
      <top style="thin">
        <color indexed="11"/>
      </top>
      <bottom style="thin">
        <color indexed="11"/>
      </bottom>
      <diagonal/>
    </border>
    <border>
      <left style="thin">
        <color indexed="8"/>
      </left>
      <right style="thin">
        <color indexed="8"/>
      </right>
      <top style="thin">
        <color indexed="8"/>
      </top>
      <bottom style="thin">
        <color indexed="8"/>
      </bottom>
      <diagonal/>
    </border>
    <border>
      <left style="thin">
        <color indexed="8"/>
      </left>
      <right style="thin">
        <color indexed="11"/>
      </right>
      <top style="thin">
        <color indexed="11"/>
      </top>
      <bottom style="thin">
        <color indexed="11"/>
      </bottom>
      <diagonal/>
    </border>
    <border>
      <left style="thin">
        <color indexed="11"/>
      </left>
      <right style="thin">
        <color indexed="11"/>
      </right>
      <top style="thin">
        <color indexed="11"/>
      </top>
      <bottom style="thin">
        <color indexed="8"/>
      </bottom>
      <diagonal/>
    </border>
    <border>
      <left style="thin">
        <color indexed="11"/>
      </left>
      <right>
        <color indexed="8"/>
      </right>
      <top style="thin">
        <color indexed="11"/>
      </top>
      <bottom style="thin">
        <color indexed="8"/>
      </bottom>
      <diagonal/>
    </border>
    <border>
      <left>
        <color indexed="8"/>
      </left>
      <right style="thin">
        <color indexed="11"/>
      </right>
      <top style="thin">
        <color indexed="11"/>
      </top>
      <bottom style="thin">
        <color indexed="8"/>
      </bottom>
      <diagonal/>
    </border>
    <border>
      <left>
        <color indexed="8"/>
      </left>
      <right>
        <color indexed="8"/>
      </right>
      <top style="thin">
        <color indexed="11"/>
      </top>
      <bottom style="thin">
        <color indexed="8"/>
      </bottom>
      <diagonal/>
    </border>
    <border>
      <left style="thin">
        <color indexed="11"/>
      </left>
      <right style="thin">
        <color indexed="8"/>
      </right>
      <top style="thin">
        <color indexed="11"/>
      </top>
      <bottom style="thin">
        <color indexed="8"/>
      </bottom>
      <diagonal/>
    </border>
    <border>
      <left style="thin">
        <color indexed="8"/>
      </left>
      <right style="thin">
        <color indexed="11"/>
      </right>
      <top style="thin">
        <color indexed="8"/>
      </top>
      <bottom style="thin">
        <color indexed="8"/>
      </bottom>
      <diagonal/>
    </border>
    <border>
      <left style="thin">
        <color indexed="11"/>
      </left>
      <right style="thin">
        <color indexed="11"/>
      </right>
      <top style="thin">
        <color indexed="8"/>
      </top>
      <bottom style="thin">
        <color indexed="8"/>
      </bottom>
      <diagonal/>
    </border>
    <border>
      <left style="thin">
        <color indexed="11"/>
      </left>
      <right style="thin">
        <color indexed="8"/>
      </right>
      <top style="thin">
        <color indexed="8"/>
      </top>
      <bottom style="thin">
        <color indexed="8"/>
      </bottom>
      <diagonal/>
    </border>
    <border>
      <left style="thin">
        <color indexed="8"/>
      </left>
      <right style="thin">
        <color indexed="8"/>
      </right>
      <top style="thin">
        <color indexed="11"/>
      </top>
      <bottom style="thin">
        <color indexed="11"/>
      </bottom>
      <diagonal/>
    </border>
    <border>
      <left style="thin">
        <color indexed="8"/>
      </left>
      <right style="thin">
        <color indexed="8"/>
      </right>
      <top style="thin">
        <color indexed="8"/>
      </top>
      <bottom style="thin">
        <color indexed="11"/>
      </bottom>
      <diagonal/>
    </border>
    <border>
      <left style="thin">
        <color indexed="8"/>
      </left>
      <right style="thin">
        <color indexed="11"/>
      </right>
      <top style="thin">
        <color indexed="8"/>
      </top>
      <bottom style="hair">
        <color indexed="8"/>
      </bottom>
      <diagonal/>
    </border>
    <border>
      <left style="thin">
        <color indexed="11"/>
      </left>
      <right style="thin">
        <color indexed="11"/>
      </right>
      <top style="thin">
        <color indexed="8"/>
      </top>
      <bottom style="hair">
        <color indexed="8"/>
      </bottom>
      <diagonal/>
    </border>
    <border>
      <left style="thin">
        <color indexed="11"/>
      </left>
      <right style="thin">
        <color indexed="8"/>
      </right>
      <top style="thin">
        <color indexed="8"/>
      </top>
      <bottom style="hair">
        <color indexed="8"/>
      </bottom>
      <diagonal/>
    </border>
    <border>
      <left style="thin">
        <color indexed="8"/>
      </left>
      <right>
        <color indexed="8"/>
      </right>
      <top style="thin">
        <color indexed="8"/>
      </top>
      <bottom style="hair">
        <color indexed="8"/>
      </bottom>
      <diagonal/>
    </border>
    <border>
      <left>
        <color indexed="8"/>
      </left>
      <right style="thin">
        <color indexed="11"/>
      </right>
      <top style="thin">
        <color indexed="8"/>
      </top>
      <bottom style="hair">
        <color indexed="8"/>
      </bottom>
      <diagonal/>
    </border>
    <border>
      <left style="thin">
        <color indexed="11"/>
      </left>
      <right>
        <color indexed="8"/>
      </right>
      <top style="thin">
        <color indexed="8"/>
      </top>
      <bottom style="hair">
        <color indexed="8"/>
      </bottom>
      <diagonal/>
    </border>
    <border>
      <left>
        <color indexed="8"/>
      </left>
      <right>
        <color indexed="8"/>
      </right>
      <top style="thin">
        <color indexed="8"/>
      </top>
      <bottom style="hair">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thin">
        <color indexed="8"/>
      </right>
      <top style="thin">
        <color indexed="8"/>
      </top>
      <bottom style="hair">
        <color indexed="8"/>
      </bottom>
      <diagonal/>
    </border>
    <border>
      <left style="thin">
        <color indexed="8"/>
      </left>
      <right style="thin">
        <color indexed="8"/>
      </right>
      <top style="thin">
        <color indexed="8"/>
      </top>
      <bottom/>
      <diagonal/>
    </border>
    <border>
      <left style="thin">
        <color indexed="11"/>
      </left>
      <right style="thin">
        <color indexed="8"/>
      </right>
      <top style="thin">
        <color indexed="8"/>
      </top>
      <bottom style="thin">
        <color indexed="11"/>
      </bottom>
      <diagonal/>
    </border>
    <border>
      <left style="thin">
        <color indexed="8"/>
      </left>
      <right style="thin">
        <color indexed="11"/>
      </right>
      <top style="thin">
        <color indexed="8"/>
      </top>
      <bottom style="thin">
        <color indexed="11"/>
      </bottom>
      <diagonal/>
    </border>
    <border>
      <left style="thin">
        <color indexed="8"/>
      </left>
      <right style="thin">
        <color indexed="11"/>
      </right>
      <top style="thin">
        <color indexed="8"/>
      </top>
      <bottom/>
      <diagonal/>
    </border>
    <border>
      <left style="thin">
        <color indexed="11"/>
      </left>
      <right style="thin">
        <color indexed="11"/>
      </right>
      <top style="thin">
        <color indexed="8"/>
      </top>
      <bottom/>
      <diagonal/>
    </border>
    <border>
      <left style="thin">
        <color indexed="8"/>
      </left>
      <right style="hair">
        <color indexed="8"/>
      </right>
      <top style="hair">
        <color indexed="8"/>
      </top>
      <bottom style="hair">
        <color indexed="8"/>
      </bottom>
      <diagonal/>
    </border>
    <border>
      <left style="hair">
        <color indexed="8"/>
      </left>
      <right style="hair">
        <color indexed="8"/>
      </right>
      <top style="hair">
        <color indexed="8"/>
      </top>
      <bottom/>
      <diagonal/>
    </border>
    <border>
      <left style="hair">
        <color indexed="8"/>
      </left>
      <right style="hair">
        <color indexed="8"/>
      </right>
      <top style="hair">
        <color indexed="8"/>
      </top>
      <bottom style="thin">
        <color indexed="11"/>
      </bottom>
      <diagonal/>
    </border>
    <border>
      <left style="hair">
        <color indexed="8"/>
      </left>
      <right style="thin">
        <color indexed="8"/>
      </right>
      <top style="hair">
        <color indexed="8"/>
      </top>
      <bottom/>
      <diagonal/>
    </border>
    <border>
      <left style="thin">
        <color indexed="8"/>
      </left>
      <right style="hair">
        <color indexed="8"/>
      </right>
      <top style="hair">
        <color indexed="8"/>
      </top>
      <bottom/>
      <diagonal/>
    </border>
    <border>
      <left style="hair">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bottom/>
      <diagonal/>
    </border>
    <border>
      <left style="thin">
        <color indexed="8"/>
      </left>
      <right style="thin">
        <color indexed="11"/>
      </right>
      <top style="thin">
        <color indexed="11"/>
      </top>
      <bottom style="thin">
        <color indexed="8"/>
      </bottom>
      <diagonal/>
    </border>
    <border>
      <left style="thin">
        <color indexed="8"/>
      </left>
      <right/>
      <top/>
      <bottom/>
      <diagonal/>
    </border>
    <border>
      <left/>
      <right/>
      <top/>
      <bottom/>
      <diagonal/>
    </border>
    <border>
      <left/>
      <right style="thin">
        <color indexed="11"/>
      </right>
      <top style="thin">
        <color indexed="11"/>
      </top>
      <bottom style="thin">
        <color indexed="11"/>
      </bottom>
      <diagonal/>
    </border>
    <border>
      <left style="hair">
        <color indexed="8"/>
      </left>
      <right style="hair">
        <color indexed="8"/>
      </right>
      <top/>
      <bottom/>
      <diagonal/>
    </border>
    <border>
      <left style="hair">
        <color indexed="8"/>
      </left>
      <right style="hair">
        <color indexed="8"/>
      </right>
      <top style="thin">
        <color indexed="11"/>
      </top>
      <bottom style="thin">
        <color indexed="11"/>
      </bottom>
      <diagonal/>
    </border>
    <border>
      <left style="hair">
        <color indexed="8"/>
      </left>
      <right style="thin">
        <color indexed="8"/>
      </right>
      <top/>
      <bottom/>
      <diagonal/>
    </border>
    <border>
      <left style="thin">
        <color indexed="8"/>
      </left>
      <right style="hair">
        <color indexed="8"/>
      </right>
      <top/>
      <bottom/>
      <diagonal/>
    </border>
    <border>
      <left style="thin">
        <color indexed="8"/>
      </left>
      <right style="thin">
        <color indexed="8"/>
      </right>
      <top/>
      <bottom style="thin">
        <color indexed="8"/>
      </bottom>
      <diagonal/>
    </border>
    <border>
      <left style="thin">
        <color indexed="8"/>
      </left>
      <right style="thin">
        <color indexed="8"/>
      </right>
      <top style="thin">
        <color indexed="11"/>
      </top>
      <bottom style="thin">
        <color indexed="8"/>
      </bottom>
      <diagonal/>
    </border>
    <border>
      <left style="thin">
        <color indexed="8"/>
      </left>
      <right style="thin">
        <color indexed="8"/>
      </right>
      <top/>
      <bottom style="thin">
        <color indexed="11"/>
      </bottom>
      <diagonal/>
    </border>
    <border>
      <left style="thin">
        <color indexed="8"/>
      </left>
      <right style="hair">
        <color indexed="8"/>
      </right>
      <top style="hair">
        <color indexed="8"/>
      </top>
      <bottom style="thin">
        <color indexed="8"/>
      </bottom>
      <diagonal/>
    </border>
    <border>
      <left style="hair">
        <color indexed="8"/>
      </left>
      <right style="hair">
        <color indexed="8"/>
      </right>
      <top/>
      <bottom style="thin">
        <color indexed="8"/>
      </bottom>
      <diagonal/>
    </border>
    <border>
      <left style="hair">
        <color indexed="8"/>
      </left>
      <right style="hair">
        <color indexed="8"/>
      </right>
      <top style="thin">
        <color indexed="11"/>
      </top>
      <bottom style="thin">
        <color indexed="8"/>
      </bottom>
      <diagonal/>
    </border>
    <border>
      <left style="hair">
        <color indexed="8"/>
      </left>
      <right style="thin">
        <color indexed="8"/>
      </right>
      <top/>
      <bottom style="thin">
        <color indexed="8"/>
      </bottom>
      <diagonal/>
    </border>
    <border>
      <left style="thin">
        <color indexed="8"/>
      </left>
      <right style="hair">
        <color indexed="8"/>
      </right>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style="thin">
        <color indexed="8"/>
      </bottom>
      <diagonal/>
    </border>
    <border>
      <left style="thin">
        <color indexed="8"/>
      </left>
      <right style="thin">
        <color indexed="8"/>
      </right>
      <top style="hair">
        <color indexed="8"/>
      </top>
      <bottom style="thin">
        <color indexed="8"/>
      </bottom>
      <diagonal/>
    </border>
    <border>
      <left style="thin">
        <color indexed="8"/>
      </left>
      <right style="hair">
        <color indexed="8"/>
      </right>
      <top style="thin">
        <color indexed="8"/>
      </top>
      <bottom style="thin">
        <color indexed="8"/>
      </bottom>
      <diagonal/>
    </border>
    <border>
      <left style="hair">
        <color indexed="8"/>
      </left>
      <right style="hair">
        <color indexed="8"/>
      </right>
      <top style="thin">
        <color indexed="8"/>
      </top>
      <bottom style="thin">
        <color indexed="8"/>
      </bottom>
      <diagonal/>
    </border>
    <border>
      <left style="hair">
        <color indexed="8"/>
      </left>
      <right style="thin">
        <color indexed="8"/>
      </right>
      <top style="thin">
        <color indexed="8"/>
      </top>
      <bottom style="thin">
        <color indexed="8"/>
      </bottom>
      <diagonal/>
    </border>
    <border>
      <left style="hair">
        <color indexed="8"/>
      </left>
      <right style="thin">
        <color indexed="11"/>
      </right>
      <top style="thin">
        <color indexed="8"/>
      </top>
      <bottom style="thin">
        <color indexed="8"/>
      </bottom>
      <diagonal/>
    </border>
    <border>
      <left style="thin">
        <color indexed="11"/>
      </left>
      <right style="hair">
        <color indexed="8"/>
      </right>
      <top style="thin">
        <color indexed="8"/>
      </top>
      <bottom style="thin">
        <color indexed="8"/>
      </bottom>
      <diagonal/>
    </border>
    <border>
      <left style="thin">
        <color indexed="11"/>
      </left>
      <right style="thin">
        <color indexed="11"/>
      </right>
      <top style="thin">
        <color indexed="8"/>
      </top>
      <bottom style="thin">
        <color indexed="11"/>
      </bottom>
      <diagonal/>
    </border>
    <border>
      <left style="thin">
        <color indexed="11"/>
      </left>
      <right style="thin">
        <color indexed="11"/>
      </right>
      <top/>
      <bottom style="thin">
        <color indexed="11"/>
      </bottom>
      <diagonal/>
    </border>
    <border>
      <left style="thin">
        <color indexed="11"/>
      </left>
      <right style="thin">
        <color indexed="11"/>
      </right>
      <top style="thin">
        <color indexed="11"/>
      </top>
      <bottom/>
      <diagonal/>
    </border>
    <border>
      <left style="thin">
        <color indexed="8"/>
      </left>
      <right style="thin">
        <color indexed="8"/>
      </right>
      <top style="hair">
        <color indexed="8"/>
      </top>
      <bottom/>
      <diagonal/>
    </border>
    <border>
      <left style="thin">
        <color indexed="8"/>
      </left>
      <right style="hair">
        <color indexed="8"/>
      </right>
      <top style="hair">
        <color indexed="8"/>
      </top>
      <bottom style="thin">
        <color indexed="11"/>
      </bottom>
      <diagonal/>
    </border>
    <border>
      <left style="thin">
        <color indexed="8"/>
      </left>
      <right style="hair">
        <color indexed="8"/>
      </right>
      <top style="thin">
        <color indexed="11"/>
      </top>
      <bottom style="thin">
        <color indexed="11"/>
      </bottom>
      <diagonal/>
    </border>
    <border>
      <left style="thin">
        <color indexed="8"/>
      </left>
      <right style="hair">
        <color indexed="8"/>
      </right>
      <top style="thin">
        <color indexed="11"/>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style="hair">
        <color indexed="8"/>
      </right>
      <top style="thin">
        <color indexed="8"/>
      </top>
      <bottom style="thin">
        <color indexed="8"/>
      </bottom>
      <diagonal/>
    </border>
    <border>
      <left style="hair">
        <color indexed="8"/>
      </left>
      <right/>
      <top style="thin">
        <color indexed="8"/>
      </top>
      <bottom style="thin">
        <color indexed="8"/>
      </bottom>
      <diagonal/>
    </border>
    <border>
      <left style="thin">
        <color indexed="8"/>
      </left>
      <right style="hair">
        <color indexed="8"/>
      </right>
      <top style="thin">
        <color indexed="8"/>
      </top>
      <bottom/>
      <diagonal/>
    </border>
    <border>
      <left style="hair">
        <color indexed="8"/>
      </left>
      <right style="hair">
        <color indexed="8"/>
      </right>
      <top style="thin">
        <color indexed="8"/>
      </top>
      <bottom/>
      <diagonal/>
    </border>
    <border>
      <left style="hair">
        <color indexed="8"/>
      </left>
      <right style="thin">
        <color indexed="8"/>
      </right>
      <top style="thin">
        <color indexed="8"/>
      </top>
      <bottom/>
      <diagonal/>
    </border>
    <border>
      <left style="thin">
        <color indexed="11"/>
      </left>
      <right/>
      <top style="thin">
        <color indexed="11"/>
      </top>
      <bottom style="thin">
        <color indexed="11"/>
      </bottom>
      <diagonal/>
    </border>
    <border>
      <left/>
      <right style="thin">
        <color indexed="11"/>
      </right>
      <top/>
      <bottom/>
      <diagonal/>
    </border>
  </borders>
  <cellStyleXfs count="1">
    <xf numFmtId="0" fontId="0" applyNumberFormat="0" applyFont="1" applyFill="0" applyBorder="0" applyAlignment="1" applyProtection="0">
      <alignment vertical="center"/>
    </xf>
  </cellStyleXfs>
  <cellXfs count="310">
    <xf numFmtId="0" fontId="0" applyNumberFormat="0" applyFont="1" applyFill="0" applyBorder="0" applyAlignment="1" applyProtection="0">
      <alignment vertical="center"/>
    </xf>
    <xf numFmtId="0" fontId="0" applyNumberFormat="1" applyFont="1" applyFill="0" applyBorder="0" applyAlignment="1" applyProtection="0">
      <alignment vertical="center"/>
    </xf>
    <xf numFmtId="49" fontId="3" fillId="2" borderId="1" applyNumberFormat="1" applyFont="1" applyFill="1" applyBorder="1" applyAlignment="1" applyProtection="0">
      <alignment vertical="bottom"/>
    </xf>
    <xf numFmtId="59" fontId="3" fillId="2" borderId="1" applyNumberFormat="1" applyFont="1" applyFill="1" applyBorder="1" applyAlignment="1" applyProtection="0">
      <alignment vertical="bottom"/>
    </xf>
    <xf numFmtId="59" fontId="3" fillId="2" borderId="2" applyNumberFormat="1" applyFont="1" applyFill="1" applyBorder="1" applyAlignment="1" applyProtection="0">
      <alignment vertical="bottom"/>
    </xf>
    <xf numFmtId="59" fontId="3" fillId="2" borderId="3" applyNumberFormat="1" applyFont="1" applyFill="1" applyBorder="1" applyAlignment="1" applyProtection="0">
      <alignment vertical="bottom"/>
    </xf>
    <xf numFmtId="59" fontId="3" fillId="2" borderId="4" applyNumberFormat="1" applyFont="1" applyFill="1" applyBorder="1" applyAlignment="1" applyProtection="0">
      <alignment vertical="bottom"/>
    </xf>
    <xf numFmtId="59" fontId="3" fillId="2" borderId="5" applyNumberFormat="1" applyFont="1" applyFill="1" applyBorder="1" applyAlignment="1" applyProtection="0">
      <alignment vertical="bottom"/>
    </xf>
    <xf numFmtId="49" fontId="4" fillId="2" borderId="6" applyNumberFormat="1" applyFont="1" applyFill="1" applyBorder="1" applyAlignment="1" applyProtection="0">
      <alignment horizontal="center" vertical="center"/>
    </xf>
    <xf numFmtId="0" fontId="4" fillId="2" borderId="6" applyNumberFormat="0" applyFont="1" applyFill="1" applyBorder="1" applyAlignment="1" applyProtection="0">
      <alignment horizontal="center" vertical="center"/>
    </xf>
    <xf numFmtId="0" fontId="0" fillId="2" borderId="7" applyNumberFormat="0" applyFont="1" applyFill="1" applyBorder="1" applyAlignment="1" applyProtection="0">
      <alignment vertical="center"/>
    </xf>
    <xf numFmtId="0" fontId="0" fillId="2" borderId="8" applyNumberFormat="0" applyFont="1" applyFill="1" applyBorder="1" applyAlignment="1" applyProtection="0">
      <alignment vertical="center"/>
    </xf>
    <xf numFmtId="0" fontId="0" fillId="2" borderId="1" applyNumberFormat="0" applyFont="1" applyFill="1" applyBorder="1" applyAlignment="1" applyProtection="0">
      <alignment vertical="center"/>
    </xf>
    <xf numFmtId="49" fontId="5" fillId="2" borderId="8" applyNumberFormat="1" applyFont="1" applyFill="1" applyBorder="1" applyAlignment="1" applyProtection="0">
      <alignment horizontal="center" vertical="center"/>
    </xf>
    <xf numFmtId="0" fontId="5" fillId="2" borderId="8" applyNumberFormat="0" applyFont="1" applyFill="1" applyBorder="1" applyAlignment="1" applyProtection="0">
      <alignment horizontal="center" vertical="center"/>
    </xf>
    <xf numFmtId="49" fontId="6" fillId="2" borderId="8" applyNumberFormat="1" applyFont="1" applyFill="1" applyBorder="1" applyAlignment="1" applyProtection="0">
      <alignment vertical="center"/>
    </xf>
    <xf numFmtId="0" fontId="6" fillId="2" borderId="8" applyNumberFormat="0" applyFont="1" applyFill="1" applyBorder="1" applyAlignment="1" applyProtection="0">
      <alignment vertical="center"/>
    </xf>
    <xf numFmtId="0" fontId="6" fillId="2" borderId="9" applyNumberFormat="0" applyFont="1" applyFill="1" applyBorder="1" applyAlignment="1" applyProtection="0">
      <alignment vertical="center"/>
    </xf>
    <xf numFmtId="0" fontId="6" fillId="2" borderId="10" applyNumberFormat="0" applyFont="1" applyFill="1" applyBorder="1" applyAlignment="1" applyProtection="0">
      <alignment vertical="center"/>
    </xf>
    <xf numFmtId="0" fontId="6" fillId="2" borderId="11" applyNumberFormat="0" applyFont="1" applyFill="1" applyBorder="1" applyAlignment="1" applyProtection="0">
      <alignment vertical="center"/>
    </xf>
    <xf numFmtId="0" fontId="6" fillId="2" borderId="12" applyNumberFormat="0" applyFont="1" applyFill="1" applyBorder="1" applyAlignment="1" applyProtection="0">
      <alignment vertical="center"/>
    </xf>
    <xf numFmtId="0" fontId="4" fillId="2" borderId="13" applyNumberFormat="0" applyFont="1" applyFill="1" applyBorder="1" applyAlignment="1" applyProtection="0">
      <alignment horizontal="center" vertical="bottom"/>
    </xf>
    <xf numFmtId="0" fontId="4" fillId="2" borderId="14" applyNumberFormat="0" applyFont="1" applyFill="1" applyBorder="1" applyAlignment="1" applyProtection="0">
      <alignment horizontal="center" vertical="bottom"/>
    </xf>
    <xf numFmtId="0" fontId="4" fillId="2" borderId="15" applyNumberFormat="0" applyFont="1" applyFill="1" applyBorder="1" applyAlignment="1" applyProtection="0">
      <alignment horizontal="center" vertical="bottom"/>
    </xf>
    <xf numFmtId="0" fontId="4" fillId="2" borderId="13" applyNumberFormat="0" applyFont="1" applyFill="1" applyBorder="1" applyAlignment="1" applyProtection="0">
      <alignment horizontal="center" vertical="center"/>
    </xf>
    <xf numFmtId="0" fontId="4" fillId="2" borderId="14" applyNumberFormat="0" applyFont="1" applyFill="1" applyBorder="1" applyAlignment="1" applyProtection="0">
      <alignment horizontal="center" vertical="center"/>
    </xf>
    <xf numFmtId="0" fontId="4" fillId="2" borderId="15" applyNumberFormat="0" applyFont="1" applyFill="1" applyBorder="1" applyAlignment="1" applyProtection="0">
      <alignment horizontal="center" vertical="center"/>
    </xf>
    <xf numFmtId="0" fontId="0" fillId="2" borderId="16" applyNumberFormat="0" applyFont="1" applyFill="1" applyBorder="1" applyAlignment="1" applyProtection="0">
      <alignment vertical="center"/>
    </xf>
    <xf numFmtId="49" fontId="7" fillId="2" borderId="13" applyNumberFormat="1" applyFont="1" applyFill="1" applyBorder="1" applyAlignment="1" applyProtection="0">
      <alignment horizontal="center" vertical="center"/>
    </xf>
    <xf numFmtId="59" fontId="7" fillId="2" borderId="14" applyNumberFormat="1" applyFont="1" applyFill="1" applyBorder="1" applyAlignment="1" applyProtection="0">
      <alignment horizontal="center" vertical="center"/>
    </xf>
    <xf numFmtId="59" fontId="7" fillId="2" borderId="15" applyNumberFormat="1" applyFont="1" applyFill="1" applyBorder="1" applyAlignment="1" applyProtection="0">
      <alignment horizontal="center" vertical="center"/>
    </xf>
    <xf numFmtId="49" fontId="0" fillId="2" borderId="1" applyNumberFormat="1" applyFont="1" applyFill="1" applyBorder="1" applyAlignment="1" applyProtection="0">
      <alignment vertical="center"/>
    </xf>
    <xf numFmtId="9" fontId="7" fillId="2" borderId="1" applyNumberFormat="1" applyFont="1" applyFill="1" applyBorder="1" applyAlignment="1" applyProtection="0">
      <alignment horizontal="center" vertical="center"/>
    </xf>
    <xf numFmtId="9" fontId="0" fillId="2" borderId="1" applyNumberFormat="1" applyFont="1" applyFill="1" applyBorder="1" applyAlignment="1" applyProtection="0">
      <alignment vertical="center"/>
    </xf>
    <xf numFmtId="49" fontId="4" fillId="2" borderId="17" applyNumberFormat="1" applyFont="1" applyFill="1" applyBorder="1" applyAlignment="1" applyProtection="0">
      <alignment vertical="bottom" wrapText="1"/>
    </xf>
    <xf numFmtId="49" fontId="8" fillId="2" borderId="18" applyNumberFormat="1" applyFont="1" applyFill="1" applyBorder="1" applyAlignment="1" applyProtection="0">
      <alignment horizontal="center" vertical="center" wrapText="1"/>
    </xf>
    <xf numFmtId="0" fontId="8" fillId="2" borderId="19" applyNumberFormat="0" applyFont="1" applyFill="1" applyBorder="1" applyAlignment="1" applyProtection="0">
      <alignment horizontal="center" vertical="center" wrapText="1"/>
    </xf>
    <xf numFmtId="0" fontId="8" fillId="2" borderId="20" applyNumberFormat="0" applyFont="1" applyFill="1" applyBorder="1" applyAlignment="1" applyProtection="0">
      <alignment horizontal="center" vertical="center" wrapText="1"/>
    </xf>
    <xf numFmtId="49" fontId="8" fillId="2" borderId="18" applyNumberFormat="1" applyFont="1" applyFill="1" applyBorder="1" applyAlignment="1" applyProtection="0">
      <alignment horizontal="center" vertical="center"/>
    </xf>
    <xf numFmtId="0" fontId="8" fillId="2" borderId="19" applyNumberFormat="0" applyFont="1" applyFill="1" applyBorder="1" applyAlignment="1" applyProtection="0">
      <alignment horizontal="center" vertical="center"/>
    </xf>
    <xf numFmtId="0" fontId="8" fillId="2" borderId="20" applyNumberFormat="0" applyFont="1" applyFill="1" applyBorder="1" applyAlignment="1" applyProtection="0">
      <alignment horizontal="center" vertical="center"/>
    </xf>
    <xf numFmtId="49" fontId="8" fillId="2" borderId="21" applyNumberFormat="1" applyFont="1" applyFill="1" applyBorder="1" applyAlignment="1" applyProtection="0">
      <alignment horizontal="center" vertical="center"/>
    </xf>
    <xf numFmtId="0" fontId="0" fillId="2" borderId="22" applyNumberFormat="0" applyFont="1" applyFill="1" applyBorder="1" applyAlignment="1" applyProtection="0">
      <alignment horizontal="center" vertical="center"/>
    </xf>
    <xf numFmtId="0" fontId="0" fillId="2" borderId="19" applyNumberFormat="0" applyFont="1" applyFill="1" applyBorder="1" applyAlignment="1" applyProtection="0">
      <alignment horizontal="center" vertical="center"/>
    </xf>
    <xf numFmtId="0" fontId="0" fillId="2" borderId="23" applyNumberFormat="0" applyFont="1" applyFill="1" applyBorder="1" applyAlignment="1" applyProtection="0">
      <alignment horizontal="center" vertical="center"/>
    </xf>
    <xf numFmtId="0" fontId="0" fillId="2" borderId="24" applyNumberFormat="0" applyFont="1" applyFill="1" applyBorder="1" applyAlignment="1" applyProtection="0">
      <alignment horizontal="center" vertical="center"/>
    </xf>
    <xf numFmtId="0" fontId="0" fillId="2" borderId="20" applyNumberFormat="0" applyFont="1" applyFill="1" applyBorder="1" applyAlignment="1" applyProtection="0">
      <alignment horizontal="center" vertical="center"/>
    </xf>
    <xf numFmtId="49" fontId="8" fillId="2" borderId="25" applyNumberFormat="1" applyFont="1" applyFill="1" applyBorder="1" applyAlignment="1" applyProtection="0">
      <alignment horizontal="center" vertical="center"/>
    </xf>
    <xf numFmtId="0" fontId="8" fillId="2" borderId="26" applyNumberFormat="0" applyFont="1" applyFill="1" applyBorder="1" applyAlignment="1" applyProtection="0">
      <alignment horizontal="center" vertical="center"/>
    </xf>
    <xf numFmtId="0" fontId="8" fillId="2" borderId="27" applyNumberFormat="0" applyFont="1" applyFill="1" applyBorder="1" applyAlignment="1" applyProtection="0">
      <alignment horizontal="center" vertical="center"/>
    </xf>
    <xf numFmtId="49" fontId="4" fillId="3" borderId="28" applyNumberFormat="1" applyFont="1" applyFill="1" applyBorder="1" applyAlignment="1" applyProtection="0">
      <alignment horizontal="center" vertical="center"/>
    </xf>
    <xf numFmtId="49" fontId="9" fillId="2" borderId="29" applyNumberFormat="1" applyFont="1" applyFill="1" applyBorder="1" applyAlignment="1" applyProtection="0">
      <alignment horizontal="center" vertical="center"/>
    </xf>
    <xf numFmtId="49" fontId="8" fillId="2" borderId="17" applyNumberFormat="1" applyFont="1" applyFill="1" applyBorder="1" applyAlignment="1" applyProtection="0">
      <alignment horizontal="center" vertical="center" wrapText="1"/>
    </xf>
    <xf numFmtId="49" fontId="8" fillId="2" borderId="28" applyNumberFormat="1" applyFont="1" applyFill="1" applyBorder="1" applyAlignment="1" applyProtection="0">
      <alignment horizontal="center" vertical="center"/>
    </xf>
    <xf numFmtId="49" fontId="4" fillId="2" borderId="17" applyNumberFormat="1" applyFont="1" applyFill="1" applyBorder="1" applyAlignment="1" applyProtection="0">
      <alignment horizontal="center" vertical="center" wrapText="1"/>
    </xf>
    <xf numFmtId="59" fontId="4" fillId="2" borderId="30" applyNumberFormat="1" applyFont="1" applyFill="1" applyBorder="1" applyAlignment="1" applyProtection="0">
      <alignment horizontal="center" vertical="center"/>
    </xf>
    <xf numFmtId="49" fontId="4" fillId="2" borderId="31" applyNumberFormat="1" applyFont="1" applyFill="1" applyBorder="1" applyAlignment="1" applyProtection="0">
      <alignment horizontal="center" vertical="center"/>
    </xf>
    <xf numFmtId="0" fontId="0" fillId="2" borderId="30" applyNumberFormat="0" applyFont="1" applyFill="1" applyBorder="1" applyAlignment="1" applyProtection="0">
      <alignment horizontal="center" vertical="center"/>
    </xf>
    <xf numFmtId="59" fontId="4" fillId="2" borderId="32" applyNumberFormat="1" applyFont="1" applyFill="1" applyBorder="1" applyAlignment="1" applyProtection="0">
      <alignment horizontal="center" vertical="center"/>
    </xf>
    <xf numFmtId="59" fontId="4" fillId="2" borderId="33" applyNumberFormat="1" applyFont="1" applyFill="1" applyBorder="1" applyAlignment="1" applyProtection="0">
      <alignment horizontal="center" vertical="center"/>
    </xf>
    <xf numFmtId="0" fontId="0" fillId="2" borderId="1" applyNumberFormat="1" applyFont="1" applyFill="1" applyBorder="1" applyAlignment="1" applyProtection="0">
      <alignment vertical="center"/>
    </xf>
    <xf numFmtId="49" fontId="4" fillId="2" borderId="17" applyNumberFormat="1" applyFont="1" applyFill="1" applyBorder="1" applyAlignment="1" applyProtection="0">
      <alignment horizontal="center" vertical="center"/>
    </xf>
    <xf numFmtId="49" fontId="4" fillId="2" borderId="16" applyNumberFormat="1" applyFont="1" applyFill="1" applyBorder="1" applyAlignment="1" applyProtection="0">
      <alignment vertical="center" wrapText="1"/>
    </xf>
    <xf numFmtId="49" fontId="4" fillId="2" borderId="34" applyNumberFormat="1" applyFont="1" applyFill="1" applyBorder="1" applyAlignment="1" applyProtection="0">
      <alignment horizontal="center" vertical="center"/>
    </xf>
    <xf numFmtId="49" fontId="4" fillId="3" borderId="35" applyNumberFormat="1" applyFont="1" applyFill="1" applyBorder="1" applyAlignment="1" applyProtection="0">
      <alignment horizontal="center" vertical="center"/>
    </xf>
    <xf numFmtId="49" fontId="4" fillId="2" borderId="36" applyNumberFormat="1" applyFont="1" applyFill="1" applyBorder="1" applyAlignment="1" applyProtection="0">
      <alignment horizontal="center" vertical="center"/>
    </xf>
    <xf numFmtId="49" fontId="4" fillId="4" borderId="37" applyNumberFormat="1" applyFont="1" applyFill="1" applyBorder="1" applyAlignment="1" applyProtection="0">
      <alignment horizontal="center" vertical="center"/>
    </xf>
    <xf numFmtId="49" fontId="4" fillId="3" borderId="38" applyNumberFormat="1" applyFont="1" applyFill="1" applyBorder="1" applyAlignment="1" applyProtection="0">
      <alignment horizontal="center" vertical="center"/>
    </xf>
    <xf numFmtId="49" fontId="9" fillId="3" borderId="38" applyNumberFormat="1" applyFont="1" applyFill="1" applyBorder="1" applyAlignment="1" applyProtection="0">
      <alignment horizontal="center" vertical="center"/>
    </xf>
    <xf numFmtId="49" fontId="4" fillId="4" borderId="39" applyNumberFormat="1" applyFont="1" applyFill="1" applyBorder="1" applyAlignment="1" applyProtection="0">
      <alignment horizontal="center" vertical="center"/>
    </xf>
    <xf numFmtId="0" fontId="4" fillId="4" borderId="39" applyNumberFormat="0" applyFont="1" applyFill="1" applyBorder="1" applyAlignment="1" applyProtection="0">
      <alignment horizontal="center" vertical="center"/>
    </xf>
    <xf numFmtId="49" fontId="4" fillId="2" borderId="39" applyNumberFormat="1" applyFont="1" applyFill="1" applyBorder="1" applyAlignment="1" applyProtection="0">
      <alignment horizontal="center" vertical="center"/>
    </xf>
    <xf numFmtId="49" fontId="9" fillId="3" borderId="35" applyNumberFormat="1" applyFont="1" applyFill="1" applyBorder="1" applyAlignment="1" applyProtection="0">
      <alignment horizontal="center" vertical="center"/>
    </xf>
    <xf numFmtId="49" fontId="4" fillId="5" borderId="39" applyNumberFormat="1" applyFont="1" applyFill="1" applyBorder="1" applyAlignment="1" applyProtection="0">
      <alignment horizontal="center" vertical="center"/>
    </xf>
    <xf numFmtId="0" fontId="4" fillId="5" borderId="39" applyNumberFormat="0" applyFont="1" applyFill="1" applyBorder="1" applyAlignment="1" applyProtection="0">
      <alignment horizontal="center" vertical="center"/>
    </xf>
    <xf numFmtId="0" fontId="4" fillId="5" borderId="40" applyNumberFormat="0" applyFont="1" applyFill="1" applyBorder="1" applyAlignment="1" applyProtection="0">
      <alignment horizontal="center" vertical="center"/>
    </xf>
    <xf numFmtId="49" fontId="4" fillId="3" borderId="34" applyNumberFormat="1" applyFont="1" applyFill="1" applyBorder="1" applyAlignment="1" applyProtection="0">
      <alignment horizontal="center" vertical="center"/>
    </xf>
    <xf numFmtId="49" fontId="4" fillId="4" borderId="40" applyNumberFormat="1" applyFont="1" applyFill="1" applyBorder="1" applyAlignment="1" applyProtection="0">
      <alignment horizontal="center" vertical="center"/>
    </xf>
    <xf numFmtId="0" fontId="4" fillId="3" borderId="41" applyNumberFormat="0" applyFont="1" applyFill="1" applyBorder="1" applyAlignment="1" applyProtection="0">
      <alignment horizontal="center" vertical="center"/>
    </xf>
    <xf numFmtId="0" fontId="9" fillId="2" borderId="42" applyNumberFormat="0" applyFont="1" applyFill="1" applyBorder="1" applyAlignment="1" applyProtection="0">
      <alignment horizontal="center" vertical="center"/>
    </xf>
    <xf numFmtId="0" fontId="8" fillId="2" borderId="16" applyNumberFormat="0" applyFont="1" applyFill="1" applyBorder="1" applyAlignment="1" applyProtection="0">
      <alignment horizontal="center" vertical="center" wrapText="1"/>
    </xf>
    <xf numFmtId="0" fontId="4" fillId="4" borderId="34" applyNumberFormat="1" applyFont="1" applyFill="1" applyBorder="1" applyAlignment="1" applyProtection="0">
      <alignment horizontal="center" vertical="center"/>
    </xf>
    <xf numFmtId="0" fontId="4" fillId="4" borderId="39" applyNumberFormat="1" applyFont="1" applyFill="1" applyBorder="1" applyAlignment="1" applyProtection="0">
      <alignment horizontal="center" vertical="center"/>
    </xf>
    <xf numFmtId="0" fontId="4" fillId="4" borderId="40" applyNumberFormat="0" applyFont="1" applyFill="1" applyBorder="1" applyAlignment="1" applyProtection="0">
      <alignment horizontal="center" vertical="center"/>
    </xf>
    <xf numFmtId="0" fontId="8" fillId="2" borderId="41" applyNumberFormat="0" applyFont="1" applyFill="1" applyBorder="1" applyAlignment="1" applyProtection="0">
      <alignment horizontal="center" vertical="center"/>
    </xf>
    <xf numFmtId="0" fontId="4" fillId="2" borderId="16" applyNumberFormat="0" applyFont="1" applyFill="1" applyBorder="1" applyAlignment="1" applyProtection="0">
      <alignment horizontal="center" vertical="center"/>
    </xf>
    <xf numFmtId="59" fontId="4" fillId="2" borderId="5" applyNumberFormat="1" applyFont="1" applyFill="1" applyBorder="1" applyAlignment="1" applyProtection="0">
      <alignment horizontal="center" vertical="center"/>
    </xf>
    <xf numFmtId="0" fontId="0" fillId="2" borderId="16" applyNumberFormat="0" applyFont="1" applyFill="1" applyBorder="1" applyAlignment="1" applyProtection="0">
      <alignment horizontal="center" vertical="center"/>
    </xf>
    <xf numFmtId="0" fontId="0" fillId="2" borderId="43" applyNumberFormat="0" applyFont="1" applyFill="1" applyBorder="1" applyAlignment="1" applyProtection="0">
      <alignment horizontal="center" vertical="center"/>
    </xf>
    <xf numFmtId="0" fontId="0" fillId="2" borderId="12" applyNumberFormat="0" applyFont="1" applyFill="1" applyBorder="1" applyAlignment="1" applyProtection="0">
      <alignment horizontal="center" vertical="center"/>
    </xf>
    <xf numFmtId="59" fontId="4" fillId="5" borderId="44" applyNumberFormat="1" applyFont="1" applyFill="1" applyBorder="1" applyAlignment="1" applyProtection="0">
      <alignment horizontal="center" vertical="center"/>
    </xf>
    <xf numFmtId="59" fontId="4" fillId="5" borderId="45" applyNumberFormat="1" applyFont="1" applyFill="1" applyBorder="1" applyAlignment="1" applyProtection="0">
      <alignment horizontal="center" vertical="center"/>
    </xf>
    <xf numFmtId="0" fontId="0" fillId="2" borderId="46" applyNumberFormat="0" applyFont="1" applyFill="1" applyBorder="1" applyAlignment="1" applyProtection="0">
      <alignment vertical="center"/>
    </xf>
    <xf numFmtId="0" fontId="4" fillId="2" borderId="16" applyNumberFormat="0" applyFont="1" applyFill="1" applyBorder="1" applyAlignment="1" applyProtection="0">
      <alignment horizontal="center" vertical="center" wrapText="1"/>
    </xf>
    <xf numFmtId="0" fontId="4" fillId="2" borderId="34" applyNumberFormat="0" applyFont="1" applyFill="1" applyBorder="1" applyAlignment="1" applyProtection="0">
      <alignment horizontal="center" vertical="center"/>
    </xf>
    <xf numFmtId="0" fontId="4" fillId="3" borderId="47" applyNumberFormat="0" applyFont="1" applyFill="1" applyBorder="1" applyAlignment="1" applyProtection="0">
      <alignment horizontal="center" vertical="center"/>
    </xf>
    <xf numFmtId="0" fontId="4" fillId="2" borderId="48" applyNumberFormat="0" applyFont="1" applyFill="1" applyBorder="1" applyAlignment="1" applyProtection="0">
      <alignment horizontal="center" vertical="center"/>
    </xf>
    <xf numFmtId="0" fontId="4" fillId="4" borderId="49" applyNumberFormat="0" applyFont="1" applyFill="1" applyBorder="1" applyAlignment="1" applyProtection="0">
      <alignment horizontal="center" vertical="center"/>
    </xf>
    <xf numFmtId="0" fontId="4" fillId="3" borderId="50" applyNumberFormat="0" applyFont="1" applyFill="1" applyBorder="1" applyAlignment="1" applyProtection="0">
      <alignment horizontal="center" vertical="center"/>
    </xf>
    <xf numFmtId="0" fontId="9" fillId="3" borderId="50" applyNumberFormat="0" applyFont="1" applyFill="1" applyBorder="1" applyAlignment="1" applyProtection="0">
      <alignment horizontal="center" vertical="center"/>
    </xf>
    <xf numFmtId="49" fontId="4" fillId="4" borderId="35" applyNumberFormat="1" applyFont="1" applyFill="1" applyBorder="1" applyAlignment="1" applyProtection="0">
      <alignment horizontal="center" vertical="center"/>
    </xf>
    <xf numFmtId="0" fontId="4" fillId="2" borderId="39" applyNumberFormat="0" applyFont="1" applyFill="1" applyBorder="1" applyAlignment="1" applyProtection="0">
      <alignment horizontal="center" vertical="center"/>
    </xf>
    <xf numFmtId="0" fontId="9" fillId="3" borderId="47" applyNumberFormat="0" applyFont="1" applyFill="1" applyBorder="1" applyAlignment="1" applyProtection="0">
      <alignment horizontal="center" vertical="center"/>
    </xf>
    <xf numFmtId="49" fontId="4" fillId="5" borderId="35" applyNumberFormat="1" applyFont="1" applyFill="1" applyBorder="1" applyAlignment="1" applyProtection="0">
      <alignment horizontal="center" vertical="center"/>
    </xf>
    <xf numFmtId="49" fontId="4" fillId="5" borderId="37" applyNumberFormat="1" applyFont="1" applyFill="1" applyBorder="1" applyAlignment="1" applyProtection="0">
      <alignment horizontal="center" vertical="center"/>
    </xf>
    <xf numFmtId="0" fontId="4" fillId="3" borderId="34" applyNumberFormat="0" applyFont="1" applyFill="1" applyBorder="1" applyAlignment="1" applyProtection="0">
      <alignment horizontal="center" vertical="center"/>
    </xf>
    <xf numFmtId="49" fontId="4" fillId="4" borderId="38" applyNumberFormat="1" applyFont="1" applyFill="1" applyBorder="1" applyAlignment="1" applyProtection="0">
      <alignment horizontal="center" vertical="center"/>
    </xf>
    <xf numFmtId="49" fontId="4" fillId="5" borderId="29" applyNumberFormat="1" applyFont="1" applyFill="1" applyBorder="1" applyAlignment="1" applyProtection="0">
      <alignment horizontal="center" vertical="center"/>
    </xf>
    <xf numFmtId="0" fontId="4" fillId="4" borderId="47" applyNumberFormat="0" applyFont="1" applyFill="1" applyBorder="1" applyAlignment="1" applyProtection="0">
      <alignment horizontal="center" vertical="center"/>
    </xf>
    <xf numFmtId="0" fontId="4" fillId="5" borderId="47" applyNumberFormat="0" applyFont="1" applyFill="1" applyBorder="1" applyAlignment="1" applyProtection="0">
      <alignment horizontal="center" vertical="center"/>
    </xf>
    <xf numFmtId="0" fontId="4" fillId="5" borderId="49" applyNumberFormat="0" applyFont="1" applyFill="1" applyBorder="1" applyAlignment="1" applyProtection="0">
      <alignment horizontal="center" vertical="center"/>
    </xf>
    <xf numFmtId="0" fontId="9" fillId="2" borderId="51" applyNumberFormat="0" applyFont="1" applyFill="1" applyBorder="1" applyAlignment="1" applyProtection="0">
      <alignment horizontal="center" vertical="center"/>
    </xf>
    <xf numFmtId="0" fontId="8" fillId="2" borderId="52" applyNumberFormat="0" applyFont="1" applyFill="1" applyBorder="1" applyAlignment="1" applyProtection="0">
      <alignment horizontal="center" vertical="center" wrapText="1"/>
    </xf>
    <xf numFmtId="0" fontId="4" fillId="4" borderId="50" applyNumberFormat="0" applyFont="1" applyFill="1" applyBorder="1" applyAlignment="1" applyProtection="0">
      <alignment horizontal="center" vertical="center"/>
    </xf>
    <xf numFmtId="0" fontId="0" fillId="2" borderId="53" applyNumberFormat="0" applyFont="1" applyFill="1" applyBorder="1" applyAlignment="1" applyProtection="0">
      <alignment horizontal="center" vertical="center"/>
    </xf>
    <xf numFmtId="60" fontId="9" fillId="6" borderId="28" applyNumberFormat="1" applyFont="1" applyFill="1" applyBorder="1" applyAlignment="1" applyProtection="0">
      <alignment horizontal="center" vertical="center"/>
    </xf>
    <xf numFmtId="61" fontId="8" fillId="2" borderId="28" applyNumberFormat="1" applyFont="1" applyFill="1" applyBorder="1" applyAlignment="1" applyProtection="0">
      <alignment horizontal="center" vertical="center"/>
    </xf>
    <xf numFmtId="49" fontId="4" fillId="2" borderId="52" applyNumberFormat="1" applyFont="1" applyFill="1" applyBorder="1" applyAlignment="1" applyProtection="0">
      <alignment vertical="top"/>
    </xf>
    <xf numFmtId="60" fontId="9" fillId="7" borderId="41" applyNumberFormat="1" applyFont="1" applyFill="1" applyBorder="1" applyAlignment="1" applyProtection="0">
      <alignment horizontal="center" vertical="center"/>
    </xf>
    <xf numFmtId="61" fontId="8" fillId="2" borderId="41" applyNumberFormat="1" applyFont="1" applyFill="1" applyBorder="1" applyAlignment="1" applyProtection="0">
      <alignment horizontal="center" vertical="center"/>
    </xf>
    <xf numFmtId="0" fontId="4" fillId="2" borderId="52" applyNumberFormat="0" applyFont="1" applyFill="1" applyBorder="1" applyAlignment="1" applyProtection="0">
      <alignment horizontal="center" vertical="center"/>
    </xf>
    <xf numFmtId="0" fontId="4" fillId="2" borderId="52" applyNumberFormat="0" applyFont="1" applyFill="1" applyBorder="1" applyAlignment="1" applyProtection="0">
      <alignment horizontal="center" vertical="center" wrapText="1"/>
    </xf>
    <xf numFmtId="0" fontId="4" fillId="2" borderId="54" applyNumberFormat="0" applyFont="1" applyFill="1" applyBorder="1" applyAlignment="1" applyProtection="0">
      <alignment horizontal="center" vertical="center"/>
    </xf>
    <xf numFmtId="0" fontId="4" fillId="3" borderId="55" applyNumberFormat="0" applyFont="1" applyFill="1" applyBorder="1" applyAlignment="1" applyProtection="0">
      <alignment horizontal="center" vertical="center"/>
    </xf>
    <xf numFmtId="0" fontId="4" fillId="2" borderId="56" applyNumberFormat="0" applyFont="1" applyFill="1" applyBorder="1" applyAlignment="1" applyProtection="0">
      <alignment horizontal="center" vertical="center"/>
    </xf>
    <xf numFmtId="0" fontId="4" fillId="4" borderId="57" applyNumberFormat="0" applyFont="1" applyFill="1" applyBorder="1" applyAlignment="1" applyProtection="0">
      <alignment horizontal="center" vertical="center"/>
    </xf>
    <xf numFmtId="0" fontId="4" fillId="3" borderId="58" applyNumberFormat="0" applyFont="1" applyFill="1" applyBorder="1" applyAlignment="1" applyProtection="0">
      <alignment horizontal="center" vertical="center"/>
    </xf>
    <xf numFmtId="0" fontId="9" fillId="3" borderId="58" applyNumberFormat="0" applyFont="1" applyFill="1" applyBorder="1" applyAlignment="1" applyProtection="0">
      <alignment horizontal="center" vertical="center"/>
    </xf>
    <xf numFmtId="0" fontId="4" fillId="4" borderId="55" applyNumberFormat="0" applyFont="1" applyFill="1" applyBorder="1" applyAlignment="1" applyProtection="0">
      <alignment horizontal="center" vertical="center"/>
    </xf>
    <xf numFmtId="0" fontId="4" fillId="2" borderId="59" applyNumberFormat="0" applyFont="1" applyFill="1" applyBorder="1" applyAlignment="1" applyProtection="0">
      <alignment horizontal="center" vertical="center"/>
    </xf>
    <xf numFmtId="0" fontId="9" fillId="3" borderId="55" applyNumberFormat="0" applyFont="1" applyFill="1" applyBorder="1" applyAlignment="1" applyProtection="0">
      <alignment horizontal="center" vertical="center"/>
    </xf>
    <xf numFmtId="0" fontId="4" fillId="5" borderId="55" applyNumberFormat="0" applyFont="1" applyFill="1" applyBorder="1" applyAlignment="1" applyProtection="0">
      <alignment horizontal="center" vertical="center"/>
    </xf>
    <xf numFmtId="0" fontId="4" fillId="5" borderId="57" applyNumberFormat="0" applyFont="1" applyFill="1" applyBorder="1" applyAlignment="1" applyProtection="0">
      <alignment horizontal="center" vertical="center"/>
    </xf>
    <xf numFmtId="0" fontId="4" fillId="3" borderId="54" applyNumberFormat="0" applyFont="1" applyFill="1" applyBorder="1" applyAlignment="1" applyProtection="0">
      <alignment horizontal="center" vertical="center"/>
    </xf>
    <xf numFmtId="0" fontId="4" fillId="4" borderId="60" applyNumberFormat="0" applyFont="1" applyFill="1" applyBorder="1" applyAlignment="1" applyProtection="0">
      <alignment horizontal="center" vertical="center"/>
    </xf>
    <xf numFmtId="0" fontId="4" fillId="3" borderId="61" applyNumberFormat="0" applyFont="1" applyFill="1" applyBorder="1" applyAlignment="1" applyProtection="0">
      <alignment horizontal="center" vertical="center"/>
    </xf>
    <xf numFmtId="60" fontId="9" fillId="8" borderId="61" applyNumberFormat="1" applyFont="1" applyFill="1" applyBorder="1" applyAlignment="1" applyProtection="0">
      <alignment horizontal="center" vertical="center"/>
    </xf>
    <xf numFmtId="61" fontId="8" fillId="2" borderId="61" applyNumberFormat="1" applyFont="1" applyFill="1" applyBorder="1" applyAlignment="1" applyProtection="0">
      <alignment horizontal="center" vertical="center"/>
    </xf>
    <xf numFmtId="0" fontId="4" fillId="4" borderId="58" applyNumberFormat="0" applyFont="1" applyFill="1" applyBorder="1" applyAlignment="1" applyProtection="0">
      <alignment horizontal="center" vertical="center"/>
    </xf>
    <xf numFmtId="0" fontId="8" fillId="2" borderId="61" applyNumberFormat="0" applyFont="1" applyFill="1" applyBorder="1" applyAlignment="1" applyProtection="0">
      <alignment horizontal="center" vertical="center"/>
    </xf>
    <xf numFmtId="0" fontId="0" fillId="2" borderId="52" applyNumberFormat="0" applyFont="1" applyFill="1" applyBorder="1" applyAlignment="1" applyProtection="0">
      <alignment horizontal="center" vertical="center"/>
    </xf>
    <xf numFmtId="0" fontId="4" fillId="2" borderId="6" applyNumberFormat="0" applyFont="1" applyFill="1" applyBorder="1" applyAlignment="1" applyProtection="0">
      <alignment horizontal="center" vertical="center" wrapText="1"/>
    </xf>
    <xf numFmtId="0" fontId="4" fillId="2" borderId="62" applyNumberFormat="0" applyFont="1" applyFill="1" applyBorder="1" applyAlignment="1" applyProtection="0">
      <alignment horizontal="center" vertical="center"/>
    </xf>
    <xf numFmtId="0" fontId="4" fillId="2" borderId="63" applyNumberFormat="0" applyFont="1" applyFill="1" applyBorder="1" applyAlignment="1" applyProtection="0">
      <alignment horizontal="center" vertical="center"/>
    </xf>
    <xf numFmtId="0" fontId="4" fillId="2" borderId="64" applyNumberFormat="0" applyFont="1" applyFill="1" applyBorder="1" applyAlignment="1" applyProtection="0">
      <alignment horizontal="center" vertical="center"/>
    </xf>
    <xf numFmtId="0" fontId="8" fillId="2" borderId="62" applyNumberFormat="0" applyFont="1" applyFill="1" applyBorder="1" applyAlignment="1" applyProtection="0">
      <alignment horizontal="center" vertical="center"/>
    </xf>
    <xf numFmtId="0" fontId="8" fillId="2" borderId="63" applyNumberFormat="0" applyFont="1" applyFill="1" applyBorder="1" applyAlignment="1" applyProtection="0">
      <alignment horizontal="center" vertical="center"/>
    </xf>
    <xf numFmtId="0" fontId="4" fillId="2" borderId="65" applyNumberFormat="0" applyFont="1" applyFill="1" applyBorder="1" applyAlignment="1" applyProtection="0">
      <alignment horizontal="center" vertical="center"/>
    </xf>
    <xf numFmtId="0" fontId="4" fillId="2" borderId="66" applyNumberFormat="0" applyFont="1" applyFill="1" applyBorder="1" applyAlignment="1" applyProtection="0">
      <alignment horizontal="center" vertical="center"/>
    </xf>
    <xf numFmtId="0" fontId="9" fillId="2" borderId="6" applyNumberFormat="0" applyFont="1" applyFill="1" applyBorder="1" applyAlignment="1" applyProtection="0">
      <alignment horizontal="center" vertical="center"/>
    </xf>
    <xf numFmtId="61" fontId="8" fillId="2" borderId="6" applyNumberFormat="1" applyFont="1" applyFill="1" applyBorder="1" applyAlignment="1" applyProtection="0">
      <alignment horizontal="center" vertical="center"/>
    </xf>
    <xf numFmtId="0" fontId="8" fillId="2" borderId="6" applyNumberFormat="0" applyFont="1" applyFill="1" applyBorder="1" applyAlignment="1" applyProtection="0">
      <alignment horizontal="center" vertical="center"/>
    </xf>
    <xf numFmtId="59" fontId="4" fillId="2" borderId="1" applyNumberFormat="1" applyFont="1" applyFill="1" applyBorder="1" applyAlignment="1" applyProtection="0">
      <alignment horizontal="center" vertical="center"/>
    </xf>
    <xf numFmtId="59" fontId="4" fillId="2" borderId="67" applyNumberFormat="1" applyFont="1" applyFill="1" applyBorder="1" applyAlignment="1" applyProtection="0">
      <alignment horizontal="center" vertical="center"/>
    </xf>
    <xf numFmtId="59" fontId="4" fillId="2" borderId="68" applyNumberFormat="1" applyFont="1" applyFill="1" applyBorder="1" applyAlignment="1" applyProtection="0">
      <alignment horizontal="center" vertical="center"/>
    </xf>
    <xf numFmtId="0" fontId="7" fillId="2" borderId="6" applyNumberFormat="1" applyFont="1" applyFill="1" applyBorder="1" applyAlignment="1" applyProtection="0">
      <alignment horizontal="center" vertical="center"/>
    </xf>
    <xf numFmtId="49" fontId="11" fillId="2" borderId="6" applyNumberFormat="1" applyFont="1" applyFill="1" applyBorder="1" applyAlignment="1" applyProtection="0">
      <alignment horizontal="left" vertical="center"/>
    </xf>
    <xf numFmtId="0" fontId="12" fillId="2" borderId="6" applyNumberFormat="0" applyFont="1" applyFill="1" applyBorder="1" applyAlignment="1" applyProtection="0">
      <alignment horizontal="center" vertical="center"/>
    </xf>
    <xf numFmtId="62" fontId="12" fillId="2" borderId="62" applyNumberFormat="1" applyFont="1" applyFill="1" applyBorder="1" applyAlignment="1" applyProtection="0">
      <alignment horizontal="center" vertical="center"/>
    </xf>
    <xf numFmtId="0" fontId="12" fillId="2" borderId="63" applyNumberFormat="0" applyFont="1" applyFill="1" applyBorder="1" applyAlignment="1" applyProtection="0">
      <alignment horizontal="center" vertical="center"/>
    </xf>
    <xf numFmtId="59" fontId="12" fillId="2" borderId="64" applyNumberFormat="1" applyFont="1" applyFill="1" applyBorder="1" applyAlignment="1" applyProtection="0">
      <alignment horizontal="center" vertical="center"/>
    </xf>
    <xf numFmtId="59" fontId="12" fillId="2" borderId="63" applyNumberFormat="1" applyFont="1" applyFill="1" applyBorder="1" applyAlignment="1" applyProtection="0">
      <alignment horizontal="center" vertical="center"/>
    </xf>
    <xf numFmtId="62" fontId="12" fillId="2" borderId="63" applyNumberFormat="1" applyFont="1" applyFill="1" applyBorder="1" applyAlignment="1" applyProtection="0">
      <alignment horizontal="center" vertical="center"/>
    </xf>
    <xf numFmtId="59" fontId="12" fillId="2" borderId="62" applyNumberFormat="1" applyFont="1" applyFill="1" applyBorder="1" applyAlignment="1" applyProtection="0">
      <alignment horizontal="center" vertical="center"/>
    </xf>
    <xf numFmtId="0" fontId="13" fillId="2" borderId="6" applyNumberFormat="0" applyFont="1" applyFill="1" applyBorder="1" applyAlignment="1" applyProtection="0">
      <alignment horizontal="center" vertical="center" wrapText="1"/>
    </xf>
    <xf numFmtId="59" fontId="12" fillId="2" borderId="6" applyNumberFormat="1" applyFont="1" applyFill="1" applyBorder="1" applyAlignment="1" applyProtection="0">
      <alignment horizontal="center" vertical="center"/>
    </xf>
    <xf numFmtId="0" fontId="14" fillId="2" borderId="6" applyNumberFormat="0" applyFont="1" applyFill="1" applyBorder="1" applyAlignment="1" applyProtection="0">
      <alignment horizontal="center" vertical="center" wrapText="1"/>
    </xf>
    <xf numFmtId="49" fontId="8" fillId="2" borderId="6" applyNumberFormat="1" applyFont="1" applyFill="1" applyBorder="1" applyAlignment="1" applyProtection="0">
      <alignment horizontal="center" vertical="center"/>
    </xf>
    <xf numFmtId="49" fontId="13" fillId="2" borderId="6" applyNumberFormat="1" applyFont="1" applyFill="1" applyBorder="1" applyAlignment="1" applyProtection="0">
      <alignment horizontal="center" vertical="center" wrapText="1"/>
    </xf>
    <xf numFmtId="49" fontId="14" fillId="2" borderId="6" applyNumberFormat="1" applyFont="1" applyFill="1" applyBorder="1" applyAlignment="1" applyProtection="0">
      <alignment horizontal="center" vertical="center" wrapText="1"/>
    </xf>
    <xf numFmtId="0" fontId="11" fillId="2" borderId="6" applyNumberFormat="0" applyFont="1" applyFill="1" applyBorder="1" applyAlignment="1" applyProtection="0">
      <alignment horizontal="left" vertical="center"/>
    </xf>
    <xf numFmtId="0" fontId="0" applyNumberFormat="1" applyFont="1" applyFill="0" applyBorder="0" applyAlignment="1" applyProtection="0">
      <alignment vertical="center"/>
    </xf>
    <xf numFmtId="0" fontId="3" fillId="2" borderId="1" applyNumberFormat="0" applyFont="1" applyFill="1" applyBorder="1" applyAlignment="1" applyProtection="0">
      <alignment vertical="bottom"/>
    </xf>
    <xf numFmtId="49" fontId="8" fillId="2" borderId="28" applyNumberFormat="1" applyFont="1" applyFill="1" applyBorder="1" applyAlignment="1" applyProtection="0">
      <alignment horizontal="center" vertical="center" wrapText="1"/>
    </xf>
    <xf numFmtId="49" fontId="9" fillId="2" borderId="28" applyNumberFormat="1" applyFont="1" applyFill="1" applyBorder="1" applyAlignment="1" applyProtection="0">
      <alignment horizontal="center" vertical="center" wrapText="1"/>
    </xf>
    <xf numFmtId="0" fontId="8" fillId="2" borderId="22" applyNumberFormat="0" applyFont="1" applyFill="1" applyBorder="1" applyAlignment="1" applyProtection="0">
      <alignment horizontal="center" vertical="center"/>
    </xf>
    <xf numFmtId="0" fontId="8" fillId="2" borderId="23" applyNumberFormat="0" applyFont="1" applyFill="1" applyBorder="1" applyAlignment="1" applyProtection="0">
      <alignment horizontal="center" vertical="center"/>
    </xf>
    <xf numFmtId="0" fontId="8" fillId="2" borderId="24" applyNumberFormat="0" applyFont="1" applyFill="1" applyBorder="1" applyAlignment="1" applyProtection="0">
      <alignment horizontal="center" vertical="center"/>
    </xf>
    <xf numFmtId="49" fontId="8" fillId="2" borderId="29" applyNumberFormat="1" applyFont="1" applyFill="1" applyBorder="1" applyAlignment="1" applyProtection="0">
      <alignment horizontal="center" vertical="center"/>
    </xf>
    <xf numFmtId="59" fontId="4" fillId="2" borderId="69" applyNumberFormat="1" applyFont="1" applyFill="1" applyBorder="1" applyAlignment="1" applyProtection="0">
      <alignment horizontal="center" vertical="center"/>
    </xf>
    <xf numFmtId="49" fontId="4" fillId="4" borderId="70" applyNumberFormat="1" applyFont="1" applyFill="1" applyBorder="1" applyAlignment="1" applyProtection="0">
      <alignment horizontal="center" vertical="center"/>
    </xf>
    <xf numFmtId="49" fontId="9" fillId="2" borderId="41" applyNumberFormat="1" applyFont="1" applyFill="1" applyBorder="1" applyAlignment="1" applyProtection="0">
      <alignment horizontal="center" vertical="center" wrapText="1"/>
    </xf>
    <xf numFmtId="49" fontId="4" fillId="2" borderId="71" applyNumberFormat="1" applyFont="1" applyFill="1" applyBorder="1" applyAlignment="1" applyProtection="0">
      <alignment horizontal="center" vertical="center"/>
    </xf>
    <xf numFmtId="0" fontId="0" fillId="2" borderId="39" applyNumberFormat="0" applyFont="1" applyFill="1" applyBorder="1" applyAlignment="1" applyProtection="0">
      <alignment horizontal="center" vertical="center"/>
    </xf>
    <xf numFmtId="0" fontId="0" fillId="2" borderId="40" applyNumberFormat="0" applyFont="1" applyFill="1" applyBorder="1" applyAlignment="1" applyProtection="0">
      <alignment horizontal="center" vertical="center"/>
    </xf>
    <xf numFmtId="0" fontId="8" fillId="2" borderId="42" applyNumberFormat="0" applyFont="1" applyFill="1" applyBorder="1" applyAlignment="1" applyProtection="0">
      <alignment horizontal="center" vertical="center"/>
    </xf>
    <xf numFmtId="59" fontId="4" fillId="4" borderId="42" applyNumberFormat="1" applyFont="1" applyFill="1" applyBorder="1" applyAlignment="1" applyProtection="0">
      <alignment horizontal="center" vertical="center"/>
    </xf>
    <xf numFmtId="0" fontId="9" fillId="2" borderId="41" applyNumberFormat="0" applyFont="1" applyFill="1" applyBorder="1" applyAlignment="1" applyProtection="0">
      <alignment horizontal="center" vertical="center" wrapText="1"/>
    </xf>
    <xf numFmtId="0" fontId="4" fillId="2" borderId="72" applyNumberFormat="0" applyFont="1" applyFill="1" applyBorder="1" applyAlignment="1" applyProtection="0">
      <alignment horizontal="center" vertical="center"/>
    </xf>
    <xf numFmtId="0" fontId="8" fillId="2" borderId="51" applyNumberFormat="0" applyFont="1" applyFill="1" applyBorder="1" applyAlignment="1" applyProtection="0">
      <alignment horizontal="center" vertical="center"/>
    </xf>
    <xf numFmtId="59" fontId="4" fillId="4" borderId="51" applyNumberFormat="1" applyFont="1" applyFill="1" applyBorder="1" applyAlignment="1" applyProtection="0">
      <alignment horizontal="center" vertical="center"/>
    </xf>
    <xf numFmtId="0" fontId="9" fillId="2" borderId="61" applyNumberFormat="0" applyFont="1" applyFill="1" applyBorder="1" applyAlignment="1" applyProtection="0">
      <alignment horizontal="center" vertical="center" wrapText="1"/>
    </xf>
    <xf numFmtId="0" fontId="4" fillId="2" borderId="73" applyNumberFormat="0" applyFont="1" applyFill="1" applyBorder="1" applyAlignment="1" applyProtection="0">
      <alignment horizontal="center" vertical="center"/>
    </xf>
    <xf numFmtId="59" fontId="4" fillId="2" borderId="6" applyNumberFormat="1" applyFont="1" applyFill="1" applyBorder="1" applyAlignment="1" applyProtection="0">
      <alignment horizontal="center" vertical="center"/>
    </xf>
    <xf numFmtId="0" fontId="20" fillId="2" borderId="6" applyNumberFormat="0" applyFont="1" applyFill="1" applyBorder="1" applyAlignment="1" applyProtection="0">
      <alignment horizontal="center" vertical="center"/>
    </xf>
    <xf numFmtId="0" fontId="12" fillId="2" borderId="62" applyNumberFormat="0" applyFont="1" applyFill="1" applyBorder="1" applyAlignment="1" applyProtection="0">
      <alignment horizontal="center" vertical="center"/>
    </xf>
    <xf numFmtId="62" fontId="12" fillId="2" borderId="6" applyNumberFormat="1" applyFont="1" applyFill="1" applyBorder="1" applyAlignment="1" applyProtection="0">
      <alignment horizontal="center" vertical="center"/>
    </xf>
    <xf numFmtId="49" fontId="21" fillId="2" borderId="6" applyNumberFormat="1" applyFont="1" applyFill="1" applyBorder="1" applyAlignment="1" applyProtection="0">
      <alignment horizontal="left" vertical="center"/>
    </xf>
    <xf numFmtId="49" fontId="22" fillId="2" borderId="6" applyNumberFormat="1" applyFont="1" applyFill="1" applyBorder="1" applyAlignment="1" applyProtection="0">
      <alignment horizontal="center" vertical="center" wrapText="1"/>
    </xf>
    <xf numFmtId="49" fontId="11" fillId="9" borderId="6" applyNumberFormat="1" applyFont="1" applyFill="1" applyBorder="1" applyAlignment="1" applyProtection="0">
      <alignment horizontal="left" vertical="center"/>
    </xf>
    <xf numFmtId="0" fontId="22" fillId="2" borderId="6" applyNumberFormat="0" applyFont="1" applyFill="1" applyBorder="1" applyAlignment="1" applyProtection="0">
      <alignment horizontal="center" vertical="center" wrapText="1"/>
    </xf>
    <xf numFmtId="0" fontId="0" applyNumberFormat="1" applyFont="1" applyFill="0" applyBorder="0" applyAlignment="1" applyProtection="0">
      <alignment vertical="center"/>
    </xf>
    <xf numFmtId="0" fontId="8" fillId="2" borderId="31" applyNumberFormat="0" applyFont="1" applyFill="1" applyBorder="1" applyAlignment="1" applyProtection="0">
      <alignment horizontal="center" vertical="center"/>
    </xf>
    <xf numFmtId="0" fontId="3" fillId="2" borderId="67" applyNumberFormat="0" applyFont="1" applyFill="1" applyBorder="1" applyAlignment="1" applyProtection="0">
      <alignment horizontal="center" vertical="center" wrapText="1"/>
    </xf>
    <xf numFmtId="0" fontId="3" fillId="2" borderId="30" applyNumberFormat="0" applyFont="1" applyFill="1" applyBorder="1" applyAlignment="1" applyProtection="0">
      <alignment horizontal="center" vertical="center" wrapText="1"/>
    </xf>
    <xf numFmtId="60" fontId="9" fillId="6" borderId="6" applyNumberFormat="1" applyFont="1" applyFill="1" applyBorder="1" applyAlignment="1" applyProtection="0">
      <alignment horizontal="center" vertical="center"/>
    </xf>
    <xf numFmtId="49" fontId="9" fillId="2" borderId="13" applyNumberFormat="1" applyFont="1" applyFill="1" applyBorder="1" applyAlignment="1" applyProtection="0">
      <alignment horizontal="center" vertical="center"/>
    </xf>
    <xf numFmtId="0" fontId="9" fillId="2" borderId="14" applyNumberFormat="0" applyFont="1" applyFill="1" applyBorder="1" applyAlignment="1" applyProtection="0">
      <alignment horizontal="center" vertical="center"/>
    </xf>
    <xf numFmtId="0" fontId="9" fillId="2" borderId="15" applyNumberFormat="0" applyFont="1" applyFill="1" applyBorder="1" applyAlignment="1" applyProtection="0">
      <alignment horizontal="center" vertical="center"/>
    </xf>
    <xf numFmtId="0" fontId="9" fillId="2" borderId="7" applyNumberFormat="0" applyFont="1" applyFill="1" applyBorder="1" applyAlignment="1" applyProtection="0">
      <alignment horizontal="center" vertical="center"/>
    </xf>
    <xf numFmtId="0" fontId="9" fillId="2" borderId="1" applyNumberFormat="0" applyFont="1" applyFill="1" applyBorder="1" applyAlignment="1" applyProtection="0">
      <alignment horizontal="center" vertical="center"/>
    </xf>
    <xf numFmtId="0" fontId="8" fillId="2" borderId="7" applyNumberFormat="0" applyFont="1" applyFill="1" applyBorder="1" applyAlignment="1" applyProtection="0">
      <alignment horizontal="center" vertical="center"/>
    </xf>
    <xf numFmtId="0" fontId="3" fillId="2" borderId="1" applyNumberFormat="0" applyFont="1" applyFill="1" applyBorder="1" applyAlignment="1" applyProtection="0">
      <alignment horizontal="center" vertical="center" wrapText="1"/>
    </xf>
    <xf numFmtId="0" fontId="3" fillId="2" borderId="5" applyNumberFormat="0" applyFont="1" applyFill="1" applyBorder="1" applyAlignment="1" applyProtection="0">
      <alignment horizontal="center" vertical="center" wrapText="1"/>
    </xf>
    <xf numFmtId="60" fontId="9" fillId="7" borderId="6" applyNumberFormat="1" applyFont="1" applyFill="1" applyBorder="1" applyAlignment="1" applyProtection="0">
      <alignment horizontal="center" vertical="center"/>
    </xf>
    <xf numFmtId="61" fontId="8" fillId="2" borderId="31" applyNumberFormat="1" applyFont="1" applyFill="1" applyBorder="1" applyAlignment="1" applyProtection="0">
      <alignment horizontal="center" vertical="center"/>
    </xf>
    <xf numFmtId="61" fontId="8" fillId="2" borderId="67" applyNumberFormat="1" applyFont="1" applyFill="1" applyBorder="1" applyAlignment="1" applyProtection="0">
      <alignment horizontal="center" vertical="center"/>
    </xf>
    <xf numFmtId="61" fontId="8" fillId="2" borderId="30" applyNumberFormat="1" applyFont="1" applyFill="1" applyBorder="1" applyAlignment="1" applyProtection="0">
      <alignment horizontal="center" vertical="center"/>
    </xf>
    <xf numFmtId="0" fontId="9" fillId="2" borderId="31" applyNumberFormat="0" applyFont="1" applyFill="1" applyBorder="1" applyAlignment="1" applyProtection="0">
      <alignment horizontal="center" vertical="center"/>
    </xf>
    <xf numFmtId="0" fontId="9" fillId="2" borderId="67" applyNumberFormat="0" applyFont="1" applyFill="1" applyBorder="1" applyAlignment="1" applyProtection="0">
      <alignment horizontal="center" vertical="center"/>
    </xf>
    <xf numFmtId="0" fontId="9" fillId="2" borderId="30" applyNumberFormat="0" applyFont="1" applyFill="1" applyBorder="1" applyAlignment="1" applyProtection="0">
      <alignment horizontal="center" vertical="center"/>
    </xf>
    <xf numFmtId="49" fontId="9" fillId="2" borderId="1" applyNumberFormat="1" applyFont="1" applyFill="1" applyBorder="1" applyAlignment="1" applyProtection="0">
      <alignment horizontal="center" vertical="center"/>
    </xf>
    <xf numFmtId="0" fontId="8" fillId="2" borderId="43" applyNumberFormat="0" applyFont="1" applyFill="1" applyBorder="1" applyAlignment="1" applyProtection="0">
      <alignment horizontal="center" vertical="center"/>
    </xf>
    <xf numFmtId="0" fontId="3" fillId="2" borderId="8" applyNumberFormat="0" applyFont="1" applyFill="1" applyBorder="1" applyAlignment="1" applyProtection="0">
      <alignment horizontal="center" vertical="center" wrapText="1"/>
    </xf>
    <xf numFmtId="0" fontId="3" fillId="2" borderId="12" applyNumberFormat="0" applyFont="1" applyFill="1" applyBorder="1" applyAlignment="1" applyProtection="0">
      <alignment horizontal="center" vertical="center" wrapText="1"/>
    </xf>
    <xf numFmtId="60" fontId="9" fillId="8" borderId="6" applyNumberFormat="1" applyFont="1" applyFill="1" applyBorder="1" applyAlignment="1" applyProtection="0">
      <alignment horizontal="center" vertical="center"/>
    </xf>
    <xf numFmtId="61" fontId="8" fillId="2" borderId="43" applyNumberFormat="1" applyFont="1" applyFill="1" applyBorder="1" applyAlignment="1" applyProtection="0">
      <alignment horizontal="center" vertical="center"/>
    </xf>
    <xf numFmtId="61" fontId="8" fillId="2" borderId="8" applyNumberFormat="1" applyFont="1" applyFill="1" applyBorder="1" applyAlignment="1" applyProtection="0">
      <alignment horizontal="center" vertical="center"/>
    </xf>
    <xf numFmtId="61" fontId="8" fillId="2" borderId="12" applyNumberFormat="1" applyFont="1" applyFill="1" applyBorder="1" applyAlignment="1" applyProtection="0">
      <alignment horizontal="center" vertical="center"/>
    </xf>
    <xf numFmtId="0" fontId="9" fillId="2" borderId="43" applyNumberFormat="0" applyFont="1" applyFill="1" applyBorder="1" applyAlignment="1" applyProtection="0">
      <alignment horizontal="center" vertical="center"/>
    </xf>
    <xf numFmtId="0" fontId="9" fillId="2" borderId="8" applyNumberFormat="0" applyFont="1" applyFill="1" applyBorder="1" applyAlignment="1" applyProtection="0">
      <alignment horizontal="center" vertical="center"/>
    </xf>
    <xf numFmtId="0" fontId="9" fillId="2" borderId="12" applyNumberFormat="0" applyFont="1" applyFill="1" applyBorder="1" applyAlignment="1" applyProtection="0">
      <alignment horizontal="center" vertical="center"/>
    </xf>
    <xf numFmtId="49" fontId="7" fillId="2" borderId="1" applyNumberFormat="1" applyFont="1" applyFill="1" applyBorder="1" applyAlignment="1" applyProtection="0">
      <alignment horizontal="left" vertical="center"/>
    </xf>
    <xf numFmtId="49" fontId="9" fillId="2" borderId="17" applyNumberFormat="1" applyFont="1" applyFill="1" applyBorder="1" applyAlignment="1" applyProtection="0">
      <alignment horizontal="center" vertical="center" wrapText="1"/>
    </xf>
    <xf numFmtId="49" fontId="9" fillId="2" borderId="6" applyNumberFormat="1" applyFont="1" applyFill="1" applyBorder="1" applyAlignment="1" applyProtection="0">
      <alignment horizontal="center" vertical="center"/>
    </xf>
    <xf numFmtId="49" fontId="9" fillId="4" borderId="29" applyNumberFormat="1" applyFont="1" applyFill="1" applyBorder="1" applyAlignment="1" applyProtection="0">
      <alignment horizontal="center" vertical="center"/>
    </xf>
    <xf numFmtId="49" fontId="9" fillId="2" borderId="62" applyNumberFormat="1" applyFont="1" applyFill="1" applyBorder="1" applyAlignment="1" applyProtection="0">
      <alignment horizontal="center" vertical="center"/>
    </xf>
    <xf numFmtId="49" fontId="9" fillId="3" borderId="64" applyNumberFormat="1" applyFont="1" applyFill="1" applyBorder="1" applyAlignment="1" applyProtection="0">
      <alignment horizontal="center" vertical="center"/>
    </xf>
    <xf numFmtId="49" fontId="9" fillId="4" borderId="63" applyNumberFormat="1" applyFont="1" applyFill="1" applyBorder="1" applyAlignment="1" applyProtection="0">
      <alignment horizontal="center" vertical="center"/>
    </xf>
    <xf numFmtId="49" fontId="9" fillId="4" borderId="74" applyNumberFormat="1" applyFont="1" applyFill="1" applyBorder="1" applyAlignment="1" applyProtection="0">
      <alignment horizontal="center" vertical="center" wrapText="1"/>
    </xf>
    <xf numFmtId="0" fontId="9" fillId="4" borderId="75" applyNumberFormat="0" applyFont="1" applyFill="1" applyBorder="1" applyAlignment="1" applyProtection="0">
      <alignment horizontal="center" vertical="center" wrapText="1"/>
    </xf>
    <xf numFmtId="0" fontId="9" fillId="4" borderId="76" applyNumberFormat="0" applyFont="1" applyFill="1" applyBorder="1" applyAlignment="1" applyProtection="0">
      <alignment horizontal="center" vertical="center" wrapText="1"/>
    </xf>
    <xf numFmtId="49" fontId="9" fillId="3" borderId="62" applyNumberFormat="1" applyFont="1" applyFill="1" applyBorder="1" applyAlignment="1" applyProtection="0">
      <alignment horizontal="center" vertical="center"/>
    </xf>
    <xf numFmtId="49" fontId="9" fillId="5" borderId="74" applyNumberFormat="1" applyFont="1" applyFill="1" applyBorder="1" applyAlignment="1" applyProtection="0">
      <alignment horizontal="center" vertical="center" wrapText="1"/>
    </xf>
    <xf numFmtId="0" fontId="9" fillId="5" borderId="77" applyNumberFormat="0" applyFont="1" applyFill="1" applyBorder="1" applyAlignment="1" applyProtection="0">
      <alignment horizontal="center" vertical="center" wrapText="1"/>
    </xf>
    <xf numFmtId="49" fontId="9" fillId="5" borderId="78" applyNumberFormat="1" applyFont="1" applyFill="1" applyBorder="1" applyAlignment="1" applyProtection="0">
      <alignment horizontal="center" vertical="center" wrapText="1"/>
    </xf>
    <xf numFmtId="0" fontId="9" fillId="5" borderId="76" applyNumberFormat="0" applyFont="1" applyFill="1" applyBorder="1" applyAlignment="1" applyProtection="0">
      <alignment horizontal="center" vertical="center" wrapText="1"/>
    </xf>
    <xf numFmtId="49" fontId="9" fillId="4" borderId="64" applyNumberFormat="1" applyFont="1" applyFill="1" applyBorder="1" applyAlignment="1" applyProtection="0">
      <alignment horizontal="center" vertical="center"/>
    </xf>
    <xf numFmtId="49" fontId="9" fillId="3" borderId="6" applyNumberFormat="1" applyFont="1" applyFill="1" applyBorder="1" applyAlignment="1" applyProtection="0">
      <alignment horizontal="center" vertical="center"/>
    </xf>
    <xf numFmtId="49" fontId="13" fillId="2" borderId="6" applyNumberFormat="1" applyFont="1" applyFill="1" applyBorder="1" applyAlignment="1" applyProtection="0">
      <alignment horizontal="center" vertical="center"/>
    </xf>
    <xf numFmtId="0" fontId="13" fillId="2" borderId="7" applyNumberFormat="0" applyFont="1" applyFill="1" applyBorder="1" applyAlignment="1" applyProtection="0">
      <alignment horizontal="center" vertical="center"/>
    </xf>
    <xf numFmtId="0" fontId="13" fillId="2" borderId="5" applyNumberFormat="0" applyFont="1" applyFill="1" applyBorder="1" applyAlignment="1" applyProtection="0">
      <alignment horizontal="center" vertical="center"/>
    </xf>
    <xf numFmtId="49" fontId="9" fillId="2" borderId="6" applyNumberFormat="1" applyFont="1" applyFill="1" applyBorder="1" applyAlignment="1" applyProtection="0">
      <alignment horizontal="center" vertical="center" wrapText="1"/>
    </xf>
    <xf numFmtId="49" fontId="9" fillId="4" borderId="6" applyNumberFormat="1" applyFont="1" applyFill="1" applyBorder="1" applyAlignment="1" applyProtection="0">
      <alignment horizontal="center" vertical="center" wrapText="1"/>
    </xf>
    <xf numFmtId="0" fontId="13" fillId="2" borderId="7" applyNumberFormat="1" applyFont="1" applyFill="1" applyBorder="1" applyAlignment="1" applyProtection="0">
      <alignment horizontal="center" vertical="center"/>
    </xf>
    <xf numFmtId="0" fontId="9" fillId="2" borderId="16" applyNumberFormat="0" applyFont="1" applyFill="1" applyBorder="1" applyAlignment="1" applyProtection="0">
      <alignment horizontal="center" vertical="center" wrapText="1"/>
    </xf>
    <xf numFmtId="0" fontId="0" fillId="2" borderId="16" applyNumberFormat="0" applyFont="1" applyFill="1" applyBorder="1" applyAlignment="1" applyProtection="0">
      <alignment horizontal="center" vertical="center" wrapText="1"/>
    </xf>
    <xf numFmtId="0" fontId="9" fillId="4" borderId="42" applyNumberFormat="0" applyFont="1" applyFill="1" applyBorder="1" applyAlignment="1" applyProtection="0">
      <alignment horizontal="center" vertical="center"/>
    </xf>
    <xf numFmtId="0" fontId="9" fillId="2" borderId="62" applyNumberFormat="0" applyFont="1" applyFill="1" applyBorder="1" applyAlignment="1" applyProtection="0">
      <alignment horizontal="center" vertical="center"/>
    </xf>
    <xf numFmtId="0" fontId="9" fillId="3" borderId="64" applyNumberFormat="0" applyFont="1" applyFill="1" applyBorder="1" applyAlignment="1" applyProtection="0">
      <alignment horizontal="center" vertical="center"/>
    </xf>
    <xf numFmtId="0" fontId="9" fillId="4" borderId="63" applyNumberFormat="0" applyFont="1" applyFill="1" applyBorder="1" applyAlignment="1" applyProtection="0">
      <alignment horizontal="center" vertical="center"/>
    </xf>
    <xf numFmtId="49" fontId="9" fillId="4" borderId="28" applyNumberFormat="1" applyFont="1" applyFill="1" applyBorder="1" applyAlignment="1" applyProtection="0">
      <alignment horizontal="center" vertical="center" wrapText="1"/>
    </xf>
    <xf numFmtId="59" fontId="9" fillId="4" borderId="28" applyNumberFormat="1" applyFont="1" applyFill="1" applyBorder="1" applyAlignment="1" applyProtection="0">
      <alignment horizontal="center" vertical="center" wrapText="1"/>
    </xf>
    <xf numFmtId="0" fontId="9" fillId="4" borderId="28" applyNumberFormat="0" applyFont="1" applyFill="1" applyBorder="1" applyAlignment="1" applyProtection="0">
      <alignment horizontal="center" vertical="center" wrapText="1"/>
    </xf>
    <xf numFmtId="0" fontId="9" fillId="3" borderId="62" applyNumberFormat="0" applyFont="1" applyFill="1" applyBorder="1" applyAlignment="1" applyProtection="0">
      <alignment horizontal="center" vertical="center"/>
    </xf>
    <xf numFmtId="49" fontId="9" fillId="5" borderId="79" applyNumberFormat="1" applyFont="1" applyFill="1" applyBorder="1" applyAlignment="1" applyProtection="0">
      <alignment horizontal="center" vertical="center"/>
    </xf>
    <xf numFmtId="49" fontId="9" fillId="5" borderId="80" applyNumberFormat="1" applyFont="1" applyFill="1" applyBorder="1" applyAlignment="1" applyProtection="0">
      <alignment horizontal="center" vertical="center"/>
    </xf>
    <xf numFmtId="49" fontId="9" fillId="5" borderId="81" applyNumberFormat="1" applyFont="1" applyFill="1" applyBorder="1" applyAlignment="1" applyProtection="0">
      <alignment horizontal="center" vertical="center"/>
    </xf>
    <xf numFmtId="0" fontId="9" fillId="4" borderId="64" applyNumberFormat="0" applyFont="1" applyFill="1" applyBorder="1" applyAlignment="1" applyProtection="0">
      <alignment horizontal="center" vertical="center"/>
    </xf>
    <xf numFmtId="0" fontId="9" fillId="3" borderId="6" applyNumberFormat="0" applyFont="1" applyFill="1" applyBorder="1" applyAlignment="1" applyProtection="0">
      <alignment horizontal="center" vertical="center"/>
    </xf>
    <xf numFmtId="0" fontId="13" fillId="2" borderId="6" applyNumberFormat="0" applyFont="1" applyFill="1" applyBorder="1" applyAlignment="1" applyProtection="0">
      <alignment horizontal="center" vertical="center"/>
    </xf>
    <xf numFmtId="0" fontId="9" fillId="4" borderId="6" applyNumberFormat="0" applyFont="1" applyFill="1" applyBorder="1" applyAlignment="1" applyProtection="0">
      <alignment horizontal="center" vertical="center"/>
    </xf>
    <xf numFmtId="0" fontId="9" fillId="2" borderId="52" applyNumberFormat="0" applyFont="1" applyFill="1" applyBorder="1" applyAlignment="1" applyProtection="0">
      <alignment horizontal="center" vertical="center" wrapText="1"/>
    </xf>
    <xf numFmtId="0" fontId="0" fillId="2" borderId="52" applyNumberFormat="0" applyFont="1" applyFill="1" applyBorder="1" applyAlignment="1" applyProtection="0">
      <alignment horizontal="center" vertical="center" wrapText="1"/>
    </xf>
    <xf numFmtId="0" fontId="9" fillId="10" borderId="6" applyNumberFormat="0" applyFont="1" applyFill="1" applyBorder="1" applyAlignment="1" applyProtection="0">
      <alignment horizontal="center" vertical="center"/>
    </xf>
    <xf numFmtId="0" fontId="9" fillId="4" borderId="51" applyNumberFormat="0" applyFont="1" applyFill="1" applyBorder="1" applyAlignment="1" applyProtection="0">
      <alignment horizontal="center" vertical="center"/>
    </xf>
    <xf numFmtId="49" fontId="9" fillId="4" borderId="54" applyNumberFormat="1" applyFont="1" applyFill="1" applyBorder="1" applyAlignment="1" applyProtection="0">
      <alignment horizontal="center" vertical="center"/>
    </xf>
    <xf numFmtId="49" fontId="9" fillId="4" borderId="60" applyNumberFormat="1" applyFont="1" applyFill="1" applyBorder="1" applyAlignment="1" applyProtection="0">
      <alignment horizontal="center" vertical="center"/>
    </xf>
    <xf numFmtId="0" fontId="9" fillId="5" borderId="58" applyNumberFormat="0" applyFont="1" applyFill="1" applyBorder="1" applyAlignment="1" applyProtection="0">
      <alignment horizontal="center" vertical="center"/>
    </xf>
    <xf numFmtId="0" fontId="9" fillId="5" borderId="55" applyNumberFormat="0" applyFont="1" applyFill="1" applyBorder="1" applyAlignment="1" applyProtection="0">
      <alignment horizontal="center" vertical="center"/>
    </xf>
    <xf numFmtId="0" fontId="9" fillId="5" borderId="57" applyNumberFormat="0" applyFont="1" applyFill="1" applyBorder="1" applyAlignment="1" applyProtection="0">
      <alignment horizontal="center" vertical="center"/>
    </xf>
    <xf numFmtId="0" fontId="12" fillId="2" borderId="6" applyNumberFormat="1" applyFont="1" applyFill="1" applyBorder="1" applyAlignment="1" applyProtection="0">
      <alignment horizontal="center" vertical="bottom"/>
    </xf>
    <xf numFmtId="0" fontId="12" fillId="2" borderId="6" applyNumberFormat="0" applyFont="1" applyFill="1" applyBorder="1" applyAlignment="1" applyProtection="0">
      <alignment horizontal="center" vertical="bottom"/>
    </xf>
    <xf numFmtId="0" fontId="9" fillId="2" borderId="6" applyNumberFormat="0" applyFont="1" applyFill="1" applyBorder="1" applyAlignment="1" applyProtection="0">
      <alignment vertical="bottom"/>
    </xf>
    <xf numFmtId="59" fontId="13" fillId="2" borderId="6" applyNumberFormat="1" applyFont="1" applyFill="1" applyBorder="1" applyAlignment="1" applyProtection="0">
      <alignment horizontal="center" vertical="center"/>
    </xf>
    <xf numFmtId="0" fontId="13" fillId="2" borderId="62" applyNumberFormat="0" applyFont="1" applyFill="1" applyBorder="1" applyAlignment="1" applyProtection="0">
      <alignment horizontal="center" vertical="center"/>
    </xf>
    <xf numFmtId="0" fontId="13" fillId="2" borderId="64" applyNumberFormat="0" applyFont="1" applyFill="1" applyBorder="1" applyAlignment="1" applyProtection="0">
      <alignment horizontal="center" vertical="center"/>
    </xf>
    <xf numFmtId="59" fontId="13" fillId="2" borderId="63" applyNumberFormat="1" applyFont="1" applyFill="1" applyBorder="1" applyAlignment="1" applyProtection="0">
      <alignment horizontal="center" vertical="center"/>
    </xf>
    <xf numFmtId="59" fontId="13" fillId="2" borderId="62" applyNumberFormat="1" applyFont="1" applyFill="1" applyBorder="1" applyAlignment="1" applyProtection="0">
      <alignment horizontal="center" vertical="center"/>
    </xf>
    <xf numFmtId="59" fontId="13" fillId="2" borderId="64" applyNumberFormat="1" applyFont="1" applyFill="1" applyBorder="1" applyAlignment="1" applyProtection="0">
      <alignment horizontal="center" vertical="center"/>
    </xf>
    <xf numFmtId="0" fontId="13" fillId="2" borderId="63" applyNumberFormat="0" applyFont="1" applyFill="1" applyBorder="1" applyAlignment="1" applyProtection="0">
      <alignment horizontal="center" vertical="center"/>
    </xf>
    <xf numFmtId="0" fontId="13" fillId="2" borderId="6" applyNumberFormat="0" applyFont="1" applyFill="1" applyBorder="1" applyAlignment="1" applyProtection="0">
      <alignment vertical="center"/>
    </xf>
    <xf numFmtId="0" fontId="13" fillId="2" borderId="7" applyNumberFormat="0" applyFont="1" applyFill="1" applyBorder="1" applyAlignment="1" applyProtection="0">
      <alignment vertical="center"/>
    </xf>
    <xf numFmtId="0" fontId="13" fillId="2" borderId="1" applyNumberFormat="0" applyFont="1" applyFill="1" applyBorder="1" applyAlignment="1" applyProtection="0">
      <alignment vertical="center"/>
    </xf>
    <xf numFmtId="0" fontId="13" fillId="2" borderId="67" applyNumberFormat="0" applyFont="1" applyFill="1" applyBorder="1" applyAlignment="1" applyProtection="0">
      <alignment vertical="center"/>
    </xf>
    <xf numFmtId="0" fontId="0" fillId="2" borderId="69" applyNumberFormat="0" applyFont="1" applyFill="1" applyBorder="1" applyAlignment="1" applyProtection="0">
      <alignment vertical="center"/>
    </xf>
    <xf numFmtId="49" fontId="12" fillId="2" borderId="6" applyNumberFormat="1" applyFont="1" applyFill="1" applyBorder="1" applyAlignment="1" applyProtection="0">
      <alignment horizontal="center" vertical="bottom"/>
    </xf>
    <xf numFmtId="49" fontId="9" fillId="2" borderId="6" applyNumberFormat="1" applyFont="1" applyFill="1" applyBorder="1" applyAlignment="1" applyProtection="0">
      <alignment vertical="bottom"/>
    </xf>
    <xf numFmtId="0" fontId="13" fillId="2" borderId="64" applyNumberFormat="1" applyFont="1" applyFill="1" applyBorder="1" applyAlignment="1" applyProtection="0">
      <alignment horizontal="center" vertical="center"/>
    </xf>
    <xf numFmtId="59" fontId="23" fillId="2" borderId="62" applyNumberFormat="1" applyFont="1" applyFill="1" applyBorder="1" applyAlignment="1" applyProtection="0">
      <alignment horizontal="center" vertical="center"/>
    </xf>
    <xf numFmtId="59" fontId="23" fillId="2" borderId="64" applyNumberFormat="1" applyFont="1" applyFill="1" applyBorder="1" applyAlignment="1" applyProtection="0">
      <alignment horizontal="center" vertical="center"/>
    </xf>
    <xf numFmtId="0" fontId="13" fillId="2" borderId="63" applyNumberFormat="1" applyFont="1" applyFill="1" applyBorder="1" applyAlignment="1" applyProtection="0">
      <alignment horizontal="center" vertical="center"/>
    </xf>
    <xf numFmtId="0" fontId="13" fillId="2" borderId="6" applyNumberFormat="1" applyFont="1" applyFill="1" applyBorder="1" applyAlignment="1" applyProtection="0">
      <alignment horizontal="center" vertical="center"/>
    </xf>
    <xf numFmtId="49" fontId="13" fillId="2" borderId="6" applyNumberFormat="1" applyFont="1" applyFill="1" applyBorder="1" applyAlignment="1" applyProtection="0">
      <alignment vertical="center"/>
    </xf>
    <xf numFmtId="0" fontId="0" fillId="2" borderId="82" applyNumberFormat="0" applyFont="1" applyFill="1" applyBorder="1" applyAlignment="1" applyProtection="0">
      <alignment vertical="center"/>
    </xf>
    <xf numFmtId="0" fontId="0" fillId="2" borderId="83" applyNumberFormat="0" applyFont="1" applyFill="1" applyBorder="1" applyAlignment="1" applyProtection="0">
      <alignment vertical="center"/>
    </xf>
    <xf numFmtId="49" fontId="9" fillId="10" borderId="6" applyNumberFormat="1" applyFont="1" applyFill="1" applyBorder="1" applyAlignment="1" applyProtection="0">
      <alignment vertical="bottom"/>
    </xf>
    <xf numFmtId="0" fontId="0" fillId="2" borderId="68" applyNumberFormat="0" applyFont="1" applyFill="1" applyBorder="1" applyAlignment="1" applyProtection="0">
      <alignment vertical="center"/>
    </xf>
    <xf numFmtId="49" fontId="13" fillId="2" borderId="6" applyNumberFormat="1" applyFont="1" applyFill="1" applyBorder="1" applyAlignment="1" applyProtection="0">
      <alignment vertical="center" wrapText="1"/>
    </xf>
    <xf numFmtId="0" fontId="0" fillId="2" borderId="67" applyNumberFormat="0" applyFont="1" applyFill="1" applyBorder="1" applyAlignment="1" applyProtection="0">
      <alignment vertical="center"/>
    </xf>
  </cellXfs>
  <cellStyles count="1">
    <cellStyle name="Normal" xfId="0" builtinId="0"/>
  </cellStyles>
  <dxfs count="18">
    <dxf>
      <font>
        <color rgb="ffff0000"/>
      </font>
    </dxf>
    <dxf>
      <fill>
        <patternFill patternType="solid">
          <fgColor indexed="18"/>
          <bgColor indexed="12"/>
        </patternFill>
      </fill>
    </dxf>
    <dxf>
      <fill>
        <patternFill patternType="solid">
          <fgColor indexed="18"/>
          <bgColor indexed="13"/>
        </patternFill>
      </fill>
    </dxf>
    <dxf>
      <fill>
        <patternFill patternType="solid">
          <fgColor indexed="18"/>
          <bgColor indexed="14"/>
        </patternFill>
      </fill>
    </dxf>
    <dxf>
      <fill>
        <patternFill patternType="solid">
          <fgColor indexed="18"/>
          <bgColor indexed="13"/>
        </patternFill>
      </fill>
    </dxf>
    <dxf>
      <font>
        <color rgb="ffff0000"/>
      </font>
    </dxf>
    <dxf>
      <fill>
        <patternFill patternType="solid">
          <fgColor indexed="18"/>
          <bgColor indexed="12"/>
        </patternFill>
      </fill>
    </dxf>
    <dxf>
      <fill>
        <patternFill patternType="solid">
          <fgColor indexed="18"/>
          <bgColor indexed="12"/>
        </patternFill>
      </fill>
    </dxf>
    <dxf>
      <fill>
        <patternFill patternType="solid">
          <fgColor indexed="18"/>
          <bgColor indexed="13"/>
        </patternFill>
      </fill>
    </dxf>
    <dxf>
      <fill>
        <patternFill patternType="solid">
          <fgColor indexed="18"/>
          <bgColor indexed="13"/>
        </patternFill>
      </fill>
    </dxf>
    <dxf>
      <fill>
        <patternFill patternType="solid">
          <fgColor indexed="18"/>
          <bgColor indexed="14"/>
        </patternFill>
      </fill>
    </dxf>
    <dxf>
      <fill>
        <patternFill patternType="solid">
          <fgColor indexed="18"/>
          <bgColor indexed="14"/>
        </patternFill>
      </fill>
    </dxf>
    <dxf>
      <font>
        <color rgb="ffff0000"/>
      </font>
    </dxf>
    <dxf>
      <fill>
        <patternFill patternType="solid">
          <fgColor indexed="18"/>
          <bgColor indexed="12"/>
        </patternFill>
      </fill>
    </dxf>
    <dxf>
      <fill>
        <patternFill patternType="solid">
          <fgColor indexed="18"/>
          <bgColor indexed="14"/>
        </patternFill>
      </fill>
    </dxf>
    <dxf>
      <fill>
        <patternFill patternType="solid">
          <fgColor indexed="18"/>
          <bgColor indexed="13"/>
        </patternFill>
      </fill>
    </dxf>
    <dxf>
      <fill>
        <patternFill patternType="solid">
          <fgColor indexed="18"/>
          <bgColor indexed="12"/>
        </patternFill>
      </fill>
    </dxf>
    <dxf>
      <fill>
        <patternFill patternType="solid">
          <fgColor indexed="18"/>
          <bgColor indexed="14"/>
        </patternFill>
      </fill>
    </dxf>
  </dxfs>
  <tableStyles count="0"/>
  <colors>
    <indexedColors>
      <rgbColor rgb="ff000000"/>
      <rgbColor rgb="ffffffff"/>
      <rgbColor rgb="ffff0000"/>
      <rgbColor rgb="ff00ff00"/>
      <rgbColor rgb="ff0000ff"/>
      <rgbColor rgb="ffffff00"/>
      <rgbColor rgb="ffff00ff"/>
      <rgbColor rgb="ff00ffff"/>
      <rgbColor rgb="ff000000"/>
      <rgbColor rgb="ffff0000"/>
      <rgbColor rgb="ffffffff"/>
      <rgbColor rgb="ffaaaaaa"/>
      <rgbColor rgb="ffdaeef3"/>
      <rgbColor rgb="fff2f2f2"/>
      <rgbColor rgb="fff2dbdb"/>
      <rgbColor rgb="ffffff99"/>
      <rgbColor rgb="ff66ff66"/>
      <rgbColor rgb="ffb2a1c7"/>
      <rgbColor rgb="00000000"/>
      <rgbColor rgb="ffd8d8d8"/>
      <rgbColor rgb="ff595959"/>
      <rgbColor rgb="ff3f3f3f"/>
      <rgbColor rgb="ff00b050"/>
      <rgbColor rgb="ffbfbfbf"/>
      <rgbColor rgb="ff1f497d"/>
      <rgbColor rgb="ff7030a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1" i="0" strike="noStrike" sz="1000" u="none">
                <a:solidFill>
                  <a:srgbClr val="595959"/>
                </a:solidFill>
                <a:latin typeface="Calibri"/>
              </a:defRPr>
            </a:pPr>
            <a:r>
              <a:rPr b="1" i="0" strike="noStrike" sz="1000" u="none">
                <a:solidFill>
                  <a:srgbClr val="595959"/>
                </a:solidFill>
                <a:latin typeface="Calibri"/>
              </a:rPr>
              <a:t>施工図進捗グラフ</a:t>
            </a:r>
          </a:p>
        </c:rich>
      </c:tx>
      <c:layout>
        <c:manualLayout>
          <c:xMode val="edge"/>
          <c:yMode val="edge"/>
          <c:x val="0.371351"/>
          <c:y val="0"/>
          <c:w val="0.257297"/>
          <c:h val="0.234308"/>
        </c:manualLayout>
      </c:layout>
      <c:overlay val="1"/>
      <c:spPr>
        <a:noFill/>
        <a:effectLst/>
      </c:spPr>
    </c:title>
    <c:autoTitleDeleted val="1"/>
    <c:plotArea>
      <c:layout>
        <c:manualLayout>
          <c:layoutTarget val="inner"/>
          <c:xMode val="edge"/>
          <c:yMode val="edge"/>
          <c:x val="0.0987483"/>
          <c:y val="0.234308"/>
          <c:w val="0.834247"/>
          <c:h val="0.611308"/>
        </c:manualLayout>
      </c:layout>
      <c:barChart>
        <c:barDir val="bar"/>
        <c:grouping val="percentStacked"/>
        <c:varyColors val="0"/>
        <c:ser>
          <c:idx val="0"/>
          <c:order val="0"/>
          <c:tx>
            <c:v>Series1</c:v>
          </c:tx>
          <c:spPr>
            <a:solidFill>
              <a:schemeClr val="accent1"/>
            </a:solidFill>
            <a:ln w="12700" cap="flat">
              <a:noFill/>
              <a:miter lim="400000"/>
            </a:ln>
            <a:effectLst/>
          </c:spPr>
          <c:invertIfNegative val="0"/>
          <c:dLbls>
            <c:numFmt formatCode="0" sourceLinked="0"/>
            <c:txPr>
              <a:bodyPr/>
              <a:lstStyle/>
              <a:p>
                <a:pPr>
                  <a:defRPr b="0" i="0" strike="noStrike" sz="1000" u="none">
                    <a:solidFill>
                      <a:srgbClr val="000000"/>
                    </a:solidFill>
                    <a:latin typeface="Calibri"/>
                  </a:defRPr>
                </a:pPr>
              </a:p>
            </c:txPr>
            <c:dLblPos val="ctr"/>
            <c:showLegendKey val="0"/>
            <c:showVal val="0"/>
            <c:showCatName val="0"/>
            <c:showSerName val="0"/>
            <c:showPercent val="0"/>
            <c:showBubbleSize val="0"/>
            <c:showLeaderLines val="0"/>
          </c:dLbls>
          <c:cat>
            <c:strLit>
              <c:ptCount val="1"/>
              <c:pt idx="0">
                <c:v>1</c:v>
              </c:pt>
            </c:strLit>
          </c:cat>
          <c:val>
            <c:numRef>
              <c:f>'①施工図リスト'!$BI$2</c:f>
              <c:numCache>
                <c:ptCount val="1"/>
                <c:pt idx="0">
                  <c:v>0.138889</c:v>
                </c:pt>
              </c:numCache>
            </c:numRef>
          </c:val>
        </c:ser>
        <c:ser>
          <c:idx val="1"/>
          <c:order val="1"/>
          <c:tx>
            <c:v>Series2</c:v>
          </c:tx>
          <c:spPr>
            <a:solidFill>
              <a:schemeClr val="accent2"/>
            </a:solidFill>
            <a:ln w="12700" cap="flat">
              <a:noFill/>
              <a:miter lim="400000"/>
            </a:ln>
            <a:effectLst/>
          </c:spPr>
          <c:invertIfNegative val="0"/>
          <c:dLbls>
            <c:numFmt formatCode="0" sourceLinked="0"/>
            <c:txPr>
              <a:bodyPr/>
              <a:lstStyle/>
              <a:p>
                <a:pPr>
                  <a:defRPr b="0" i="0" strike="noStrike" sz="900" u="none">
                    <a:solidFill>
                      <a:srgbClr val="404040"/>
                    </a:solidFill>
                    <a:latin typeface="Calibri"/>
                  </a:defRPr>
                </a:pPr>
              </a:p>
            </c:txPr>
            <c:dLblPos val="inEnd"/>
            <c:showLegendKey val="0"/>
            <c:showVal val="1"/>
            <c:showCatName val="0"/>
            <c:showSerName val="0"/>
            <c:showPercent val="0"/>
            <c:showBubbleSize val="0"/>
            <c:showLeaderLines val="0"/>
          </c:dLbls>
          <c:cat>
            <c:strLit>
              <c:ptCount val="1"/>
              <c:pt idx="0">
                <c:v>1</c:v>
              </c:pt>
            </c:strLit>
          </c:cat>
          <c:val>
            <c:numRef>
              <c:f>'①施工図リスト'!$BI$3</c:f>
              <c:numCache>
                <c:ptCount val="1"/>
                <c:pt idx="0">
                  <c:v>0.861111</c:v>
                </c:pt>
              </c:numCache>
            </c:numRef>
          </c:val>
        </c:ser>
        <c:gapWidth val="150"/>
        <c:overlap val="100"/>
        <c:axId val="2094734552"/>
        <c:axId val="2094734553"/>
      </c:barChart>
      <c:catAx>
        <c:axId val="2094734552"/>
        <c:scaling>
          <c:orientation val="maxMin"/>
        </c:scaling>
        <c:delete val="0"/>
        <c:axPos val="l"/>
        <c:numFmt formatCode="General" sourceLinked="1"/>
        <c:majorTickMark val="none"/>
        <c:minorTickMark val="none"/>
        <c:tickLblPos val="nextTo"/>
        <c:spPr>
          <a:ln w="12700" cap="flat">
            <a:solidFill>
              <a:srgbClr val="D9D9D9"/>
            </a:solidFill>
            <a:prstDash val="solid"/>
            <a:round/>
          </a:ln>
        </c:spPr>
        <c:txPr>
          <a:bodyPr rot="0"/>
          <a:lstStyle/>
          <a:p>
            <a:pPr>
              <a:defRPr b="0" i="0" strike="noStrike" sz="900" u="none">
                <a:solidFill>
                  <a:srgbClr val="595959"/>
                </a:solidFill>
                <a:latin typeface="Calibri"/>
              </a:defRPr>
            </a:pPr>
          </a:p>
        </c:txPr>
        <c:crossAx val="2094734553"/>
        <c:crosses val="autoZero"/>
        <c:auto val="1"/>
        <c:lblAlgn val="ctr"/>
        <c:noMultiLvlLbl val="1"/>
      </c:catAx>
      <c:valAx>
        <c:axId val="2094734553"/>
        <c:scaling>
          <c:orientation val="minMax"/>
        </c:scaling>
        <c:delete val="0"/>
        <c:axPos val="b"/>
        <c:majorGridlines>
          <c:spPr>
            <a:ln w="12700" cap="flat">
              <a:solidFill>
                <a:srgbClr val="D9D9D9"/>
              </a:solidFill>
              <a:prstDash val="solid"/>
              <a:round/>
            </a:ln>
          </c:spPr>
        </c:majorGridlines>
        <c:numFmt formatCode="General" sourceLinked="1"/>
        <c:majorTickMark val="none"/>
        <c:minorTickMark val="none"/>
        <c:tickLblPos val="high"/>
        <c:spPr>
          <a:ln w="12700" cap="flat">
            <a:noFill/>
            <a:prstDash val="solid"/>
            <a:round/>
          </a:ln>
        </c:spPr>
        <c:txPr>
          <a:bodyPr rot="0"/>
          <a:lstStyle/>
          <a:p>
            <a:pPr>
              <a:defRPr b="0" i="0" strike="noStrike" sz="900" u="none">
                <a:solidFill>
                  <a:srgbClr val="595959"/>
                </a:solidFill>
                <a:latin typeface="Calibri"/>
              </a:defRPr>
            </a:pPr>
          </a:p>
        </c:txPr>
        <c:crossAx val="2094734552"/>
        <c:crosses val="autoZero"/>
        <c:crossBetween val="between"/>
        <c:majorUnit val="0.25"/>
        <c:minorUnit val="0.125"/>
      </c:valAx>
      <c:spPr>
        <a:noFill/>
        <a:ln w="12700" cap="flat">
          <a:noFill/>
          <a:miter lim="400000"/>
        </a:ln>
        <a:effectLst/>
      </c:spPr>
    </c:plotArea>
    <c:plotVisOnly val="1"/>
    <c:dispBlanksAs val="gap"/>
  </c:chart>
  <c:spPr>
    <a:solidFill>
      <a:srgbClr val="FFFFFF"/>
    </a:solidFill>
    <a:ln w="12700" cap="flat">
      <a:solidFill>
        <a:srgbClr val="D9D9D9"/>
      </a:solidFill>
      <a:prstDash val="solid"/>
      <a:round/>
    </a:ln>
    <a:effectLst/>
  </c:spPr>
</c:chartSpace>
</file>

<file path=xl/charts/chart2.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1" i="0" strike="noStrike" sz="1000" u="none">
                <a:solidFill>
                  <a:srgbClr val="595959"/>
                </a:solidFill>
                <a:latin typeface="Calibri"/>
              </a:defRPr>
            </a:pPr>
            <a:r>
              <a:rPr b="1" i="0" strike="noStrike" sz="1000" u="none">
                <a:solidFill>
                  <a:srgbClr val="595959"/>
                </a:solidFill>
                <a:latin typeface="Calibri"/>
              </a:rPr>
              <a:t>製作図進捗グラフ</a:t>
            </a:r>
          </a:p>
        </c:rich>
      </c:tx>
      <c:layout>
        <c:manualLayout>
          <c:xMode val="edge"/>
          <c:yMode val="edge"/>
          <c:x val="0.371351"/>
          <c:y val="0"/>
          <c:w val="0.257297"/>
          <c:h val="0.24156"/>
        </c:manualLayout>
      </c:layout>
      <c:overlay val="1"/>
      <c:spPr>
        <a:noFill/>
        <a:effectLst/>
      </c:spPr>
    </c:title>
    <c:autoTitleDeleted val="1"/>
    <c:plotArea>
      <c:layout>
        <c:manualLayout>
          <c:layoutTarget val="inner"/>
          <c:xMode val="edge"/>
          <c:yMode val="edge"/>
          <c:x val="0.0987483"/>
          <c:y val="0.24156"/>
          <c:w val="0.834247"/>
          <c:h val="0.599664"/>
        </c:manualLayout>
      </c:layout>
      <c:barChart>
        <c:barDir val="bar"/>
        <c:grouping val="percentStacked"/>
        <c:varyColors val="0"/>
        <c:ser>
          <c:idx val="0"/>
          <c:order val="0"/>
          <c:tx>
            <c:v>Series1</c:v>
          </c:tx>
          <c:spPr>
            <a:solidFill>
              <a:schemeClr val="accent1"/>
            </a:solidFill>
            <a:ln w="12700" cap="flat">
              <a:noFill/>
              <a:miter lim="400000"/>
            </a:ln>
            <a:effectLst/>
          </c:spPr>
          <c:invertIfNegative val="0"/>
          <c:dLbls>
            <c:numFmt formatCode="0" sourceLinked="0"/>
            <c:txPr>
              <a:bodyPr/>
              <a:lstStyle/>
              <a:p>
                <a:pPr>
                  <a:defRPr b="0" i="0" strike="noStrike" sz="1000" u="none">
                    <a:solidFill>
                      <a:srgbClr val="000000"/>
                    </a:solidFill>
                    <a:latin typeface="Calibri"/>
                  </a:defRPr>
                </a:pPr>
              </a:p>
            </c:txPr>
            <c:dLblPos val="ctr"/>
            <c:showLegendKey val="0"/>
            <c:showVal val="0"/>
            <c:showCatName val="0"/>
            <c:showSerName val="0"/>
            <c:showPercent val="0"/>
            <c:showBubbleSize val="0"/>
            <c:showLeaderLines val="0"/>
          </c:dLbls>
          <c:cat>
            <c:strLit>
              <c:ptCount val="1"/>
              <c:pt idx="0">
                <c:v>1</c:v>
              </c:pt>
            </c:strLit>
          </c:cat>
          <c:val>
            <c:numRef>
              <c:f>'②製作図リスト'!$BK$2</c:f>
              <c:numCache>
                <c:ptCount val="1"/>
                <c:pt idx="0">
                  <c:v>0.166667</c:v>
                </c:pt>
              </c:numCache>
            </c:numRef>
          </c:val>
        </c:ser>
        <c:ser>
          <c:idx val="1"/>
          <c:order val="1"/>
          <c:tx>
            <c:v>Series2</c:v>
          </c:tx>
          <c:spPr>
            <a:solidFill>
              <a:schemeClr val="accent2"/>
            </a:solidFill>
            <a:ln w="12700" cap="flat">
              <a:noFill/>
              <a:miter lim="400000"/>
            </a:ln>
            <a:effectLst/>
          </c:spPr>
          <c:invertIfNegative val="0"/>
          <c:dLbls>
            <c:numFmt formatCode="0" sourceLinked="0"/>
            <c:txPr>
              <a:bodyPr/>
              <a:lstStyle/>
              <a:p>
                <a:pPr>
                  <a:defRPr b="0" i="0" strike="noStrike" sz="900" u="none">
                    <a:solidFill>
                      <a:srgbClr val="404040"/>
                    </a:solidFill>
                    <a:latin typeface="Calibri"/>
                  </a:defRPr>
                </a:pPr>
              </a:p>
            </c:txPr>
            <c:dLblPos val="inEnd"/>
            <c:showLegendKey val="0"/>
            <c:showVal val="1"/>
            <c:showCatName val="0"/>
            <c:showSerName val="0"/>
            <c:showPercent val="0"/>
            <c:showBubbleSize val="0"/>
            <c:showLeaderLines val="0"/>
          </c:dLbls>
          <c:cat>
            <c:strLit>
              <c:ptCount val="1"/>
              <c:pt idx="0">
                <c:v>1</c:v>
              </c:pt>
            </c:strLit>
          </c:cat>
          <c:val>
            <c:numRef>
              <c:f>'②製作図リスト'!$BK$3</c:f>
              <c:numCache>
                <c:ptCount val="1"/>
                <c:pt idx="0">
                  <c:v>0.833333</c:v>
                </c:pt>
              </c:numCache>
            </c:numRef>
          </c:val>
        </c:ser>
        <c:gapWidth val="150"/>
        <c:overlap val="100"/>
        <c:axId val="2094734552"/>
        <c:axId val="2094734553"/>
      </c:barChart>
      <c:catAx>
        <c:axId val="2094734552"/>
        <c:scaling>
          <c:orientation val="maxMin"/>
        </c:scaling>
        <c:delete val="0"/>
        <c:axPos val="l"/>
        <c:numFmt formatCode="General" sourceLinked="1"/>
        <c:majorTickMark val="none"/>
        <c:minorTickMark val="none"/>
        <c:tickLblPos val="nextTo"/>
        <c:spPr>
          <a:ln w="12700" cap="flat">
            <a:solidFill>
              <a:srgbClr val="D9D9D9"/>
            </a:solidFill>
            <a:prstDash val="solid"/>
            <a:round/>
          </a:ln>
        </c:spPr>
        <c:txPr>
          <a:bodyPr rot="0"/>
          <a:lstStyle/>
          <a:p>
            <a:pPr>
              <a:defRPr b="0" i="0" strike="noStrike" sz="900" u="none">
                <a:solidFill>
                  <a:srgbClr val="595959"/>
                </a:solidFill>
                <a:latin typeface="Calibri"/>
              </a:defRPr>
            </a:pPr>
          </a:p>
        </c:txPr>
        <c:crossAx val="2094734553"/>
        <c:crosses val="autoZero"/>
        <c:auto val="1"/>
        <c:lblAlgn val="ctr"/>
        <c:noMultiLvlLbl val="1"/>
      </c:catAx>
      <c:valAx>
        <c:axId val="2094734553"/>
        <c:scaling>
          <c:orientation val="minMax"/>
        </c:scaling>
        <c:delete val="0"/>
        <c:axPos val="b"/>
        <c:majorGridlines>
          <c:spPr>
            <a:ln w="12700" cap="flat">
              <a:solidFill>
                <a:srgbClr val="D9D9D9"/>
              </a:solidFill>
              <a:prstDash val="solid"/>
              <a:round/>
            </a:ln>
          </c:spPr>
        </c:majorGridlines>
        <c:numFmt formatCode="General" sourceLinked="1"/>
        <c:majorTickMark val="none"/>
        <c:minorTickMark val="none"/>
        <c:tickLblPos val="high"/>
        <c:spPr>
          <a:ln w="12700" cap="flat">
            <a:noFill/>
            <a:prstDash val="solid"/>
            <a:round/>
          </a:ln>
        </c:spPr>
        <c:txPr>
          <a:bodyPr rot="0"/>
          <a:lstStyle/>
          <a:p>
            <a:pPr>
              <a:defRPr b="0" i="0" strike="noStrike" sz="900" u="none">
                <a:solidFill>
                  <a:srgbClr val="595959"/>
                </a:solidFill>
                <a:latin typeface="Calibri"/>
              </a:defRPr>
            </a:pPr>
          </a:p>
        </c:txPr>
        <c:crossAx val="2094734552"/>
        <c:crosses val="autoZero"/>
        <c:crossBetween val="between"/>
        <c:majorUnit val="0.25"/>
        <c:minorUnit val="0.125"/>
      </c:valAx>
      <c:spPr>
        <a:noFill/>
        <a:ln w="12700" cap="flat">
          <a:noFill/>
          <a:miter lim="400000"/>
        </a:ln>
        <a:effectLst/>
      </c:spPr>
    </c:plotArea>
    <c:plotVisOnly val="1"/>
    <c:dispBlanksAs val="gap"/>
  </c:chart>
  <c:spPr>
    <a:solidFill>
      <a:srgbClr val="FFFFFF"/>
    </a:solidFill>
    <a:ln w="12700" cap="flat">
      <a:solidFill>
        <a:srgbClr val="D9D9D9"/>
      </a:solidFill>
      <a:prstDash val="solid"/>
      <a:round/>
    </a:ln>
    <a:effectLst/>
  </c:spPr>
</c:chartSpace>
</file>

<file path=xl/charts/chart3.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1" i="0" strike="noStrike" sz="1000" u="none">
                <a:solidFill>
                  <a:srgbClr val="595959"/>
                </a:solidFill>
                <a:latin typeface="Calibri"/>
              </a:defRPr>
            </a:pPr>
            <a:r>
              <a:rPr b="1" i="0" strike="noStrike" sz="1000" u="none">
                <a:solidFill>
                  <a:srgbClr val="595959"/>
                </a:solidFill>
                <a:latin typeface="Calibri"/>
              </a:rPr>
              <a:t>製作図進捗グラフ</a:t>
            </a:r>
          </a:p>
        </c:rich>
      </c:tx>
      <c:layout>
        <c:manualLayout>
          <c:xMode val="edge"/>
          <c:yMode val="edge"/>
          <c:x val="0.334942"/>
          <c:y val="0"/>
          <c:w val="0.330117"/>
          <c:h val="0.294565"/>
        </c:manualLayout>
      </c:layout>
      <c:overlay val="1"/>
      <c:spPr>
        <a:noFill/>
        <a:effectLst/>
      </c:spPr>
    </c:title>
    <c:autoTitleDeleted val="1"/>
    <c:plotArea>
      <c:layout>
        <c:manualLayout>
          <c:layoutTarget val="inner"/>
          <c:xMode val="edge"/>
          <c:yMode val="edge"/>
          <c:x val="0.126696"/>
          <c:y val="0.294565"/>
          <c:w val="0.787336"/>
          <c:h val="0.514562"/>
        </c:manualLayout>
      </c:layout>
      <c:barChart>
        <c:barDir val="bar"/>
        <c:grouping val="percentStacked"/>
        <c:varyColors val="0"/>
        <c:ser>
          <c:idx val="0"/>
          <c:order val="0"/>
          <c:tx>
            <c:v>Series1</c:v>
          </c:tx>
          <c:spPr>
            <a:solidFill>
              <a:schemeClr val="accent1"/>
            </a:solidFill>
            <a:ln w="12700" cap="flat">
              <a:noFill/>
              <a:miter lim="400000"/>
            </a:ln>
            <a:effectLst/>
          </c:spPr>
          <c:invertIfNegative val="0"/>
          <c:dLbls>
            <c:numFmt formatCode="0" sourceLinked="0"/>
            <c:txPr>
              <a:bodyPr/>
              <a:lstStyle/>
              <a:p>
                <a:pPr>
                  <a:defRPr b="0" i="0" strike="noStrike" sz="1000" u="none">
                    <a:solidFill>
                      <a:srgbClr val="000000"/>
                    </a:solidFill>
                    <a:latin typeface="Calibri"/>
                  </a:defRPr>
                </a:pPr>
              </a:p>
            </c:txPr>
            <c:dLblPos val="ctr"/>
            <c:showLegendKey val="0"/>
            <c:showVal val="0"/>
            <c:showCatName val="0"/>
            <c:showSerName val="0"/>
            <c:showPercent val="0"/>
            <c:showBubbleSize val="0"/>
            <c:showLeaderLines val="0"/>
          </c:dLbls>
          <c:cat>
            <c:strLit>
              <c:ptCount val="1"/>
              <c:pt idx="0">
                <c:v>1</c:v>
              </c:pt>
            </c:strLit>
          </c:cat>
          <c:val>
            <c:numRef>
              <c:f>'③計画書要領書リスト'!$AR$3</c:f>
              <c:numCache>
                <c:ptCount val="1"/>
                <c:pt idx="0">
                  <c:v>0.000000</c:v>
                </c:pt>
              </c:numCache>
            </c:numRef>
          </c:val>
        </c:ser>
        <c:ser>
          <c:idx val="1"/>
          <c:order val="1"/>
          <c:tx>
            <c:v>Series2</c:v>
          </c:tx>
          <c:spPr>
            <a:solidFill>
              <a:schemeClr val="accent2"/>
            </a:solidFill>
            <a:ln w="12700" cap="flat">
              <a:noFill/>
              <a:miter lim="400000"/>
            </a:ln>
            <a:effectLst/>
          </c:spPr>
          <c:invertIfNegative val="0"/>
          <c:dLbls>
            <c:numFmt formatCode="0" sourceLinked="0"/>
            <c:txPr>
              <a:bodyPr/>
              <a:lstStyle/>
              <a:p>
                <a:pPr>
                  <a:defRPr b="0" i="0" strike="noStrike" sz="1000" u="none">
                    <a:solidFill>
                      <a:srgbClr val="000000"/>
                    </a:solidFill>
                    <a:latin typeface="Calibri"/>
                  </a:defRPr>
                </a:pPr>
              </a:p>
            </c:txPr>
            <c:dLblPos val="ctr"/>
            <c:showLegendKey val="0"/>
            <c:showVal val="0"/>
            <c:showCatName val="0"/>
            <c:showSerName val="0"/>
            <c:showPercent val="0"/>
            <c:showBubbleSize val="0"/>
            <c:showLeaderLines val="0"/>
          </c:dLbls>
          <c:cat>
            <c:strLit>
              <c:ptCount val="1"/>
              <c:pt idx="0">
                <c:v>1</c:v>
              </c:pt>
            </c:strLit>
          </c:cat>
          <c:val>
            <c:numRef>
              <c:f>'③計画書要領書リスト'!$AR$4</c:f>
              <c:numCache>
                <c:ptCount val="1"/>
                <c:pt idx="0">
                  <c:v>1.000000</c:v>
                </c:pt>
              </c:numCache>
            </c:numRef>
          </c:val>
        </c:ser>
        <c:gapWidth val="150"/>
        <c:overlap val="100"/>
        <c:axId val="2094734552"/>
        <c:axId val="2094734553"/>
      </c:barChart>
      <c:catAx>
        <c:axId val="2094734552"/>
        <c:scaling>
          <c:orientation val="maxMin"/>
        </c:scaling>
        <c:delete val="0"/>
        <c:axPos val="l"/>
        <c:numFmt formatCode="General" sourceLinked="1"/>
        <c:majorTickMark val="none"/>
        <c:minorTickMark val="none"/>
        <c:tickLblPos val="nextTo"/>
        <c:spPr>
          <a:ln w="12700" cap="flat">
            <a:solidFill>
              <a:srgbClr val="D9D9D9"/>
            </a:solidFill>
            <a:prstDash val="solid"/>
            <a:round/>
          </a:ln>
        </c:spPr>
        <c:txPr>
          <a:bodyPr rot="0"/>
          <a:lstStyle/>
          <a:p>
            <a:pPr>
              <a:defRPr b="0" i="0" strike="noStrike" sz="900" u="none">
                <a:solidFill>
                  <a:srgbClr val="595959"/>
                </a:solidFill>
                <a:latin typeface="Calibri"/>
              </a:defRPr>
            </a:pPr>
          </a:p>
        </c:txPr>
        <c:crossAx val="2094734553"/>
        <c:crosses val="autoZero"/>
        <c:auto val="1"/>
        <c:lblAlgn val="ctr"/>
        <c:noMultiLvlLbl val="1"/>
      </c:catAx>
      <c:valAx>
        <c:axId val="2094734553"/>
        <c:scaling>
          <c:orientation val="minMax"/>
        </c:scaling>
        <c:delete val="0"/>
        <c:axPos val="b"/>
        <c:majorGridlines>
          <c:spPr>
            <a:ln w="12700" cap="flat">
              <a:solidFill>
                <a:srgbClr val="D9D9D9"/>
              </a:solidFill>
              <a:prstDash val="solid"/>
              <a:round/>
            </a:ln>
          </c:spPr>
        </c:majorGridlines>
        <c:numFmt formatCode="General" sourceLinked="1"/>
        <c:majorTickMark val="none"/>
        <c:minorTickMark val="none"/>
        <c:tickLblPos val="high"/>
        <c:spPr>
          <a:ln w="12700" cap="flat">
            <a:noFill/>
            <a:prstDash val="solid"/>
            <a:round/>
          </a:ln>
        </c:spPr>
        <c:txPr>
          <a:bodyPr rot="0"/>
          <a:lstStyle/>
          <a:p>
            <a:pPr>
              <a:defRPr b="0" i="0" strike="noStrike" sz="900" u="none">
                <a:solidFill>
                  <a:srgbClr val="595959"/>
                </a:solidFill>
                <a:latin typeface="Calibri"/>
              </a:defRPr>
            </a:pPr>
          </a:p>
        </c:txPr>
        <c:crossAx val="2094734552"/>
        <c:crosses val="autoZero"/>
        <c:crossBetween val="between"/>
        <c:majorUnit val="0.25"/>
        <c:minorUnit val="0.125"/>
      </c:valAx>
      <c:spPr>
        <a:noFill/>
        <a:ln w="12700" cap="flat">
          <a:noFill/>
          <a:miter lim="400000"/>
        </a:ln>
        <a:effectLst/>
      </c:spPr>
    </c:plotArea>
    <c:plotVisOnly val="1"/>
    <c:dispBlanksAs val="gap"/>
  </c:chart>
  <c:spPr>
    <a:solidFill>
      <a:srgbClr val="FFFFFF"/>
    </a:solidFill>
    <a:ln w="12700" cap="flat">
      <a:solidFill>
        <a:srgbClr val="D9D9D9"/>
      </a:solidFill>
      <a:prstDash val="solid"/>
      <a:round/>
    </a:ln>
    <a:effectLst/>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s>

</file>

<file path=xl/drawings/_rels/drawing2.xml.rels><?xml version="1.0" encoding="UTF-8"?>
<Relationships xmlns="http://schemas.openxmlformats.org/package/2006/relationships"><Relationship Id="rId1" Type="http://schemas.openxmlformats.org/officeDocument/2006/relationships/chart" Target="../charts/chart2.xml"/></Relationships>

</file>

<file path=xl/drawings/_rels/drawing3.xml.rels><?xml version="1.0" encoding="UTF-8"?>
<Relationships xmlns="http://schemas.openxmlformats.org/package/2006/relationships"><Relationship Id="rId1" Type="http://schemas.openxmlformats.org/officeDocument/2006/relationships/chart" Target="../charts/chart3.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39</xdr:col>
      <xdr:colOff>174105</xdr:colOff>
      <xdr:row>2</xdr:row>
      <xdr:rowOff>200387</xdr:rowOff>
    </xdr:from>
    <xdr:to>
      <xdr:col>39</xdr:col>
      <xdr:colOff>2175470</xdr:colOff>
      <xdr:row>6</xdr:row>
      <xdr:rowOff>115910</xdr:rowOff>
    </xdr:to>
    <xdr:graphicFrame>
      <xdr:nvGraphicFramePr>
        <xdr:cNvPr id="12" name="グラフ 1"/>
        <xdr:cNvGraphicFramePr/>
      </xdr:nvGraphicFramePr>
      <xdr:xfrm>
        <a:off x="19681305" y="1234167"/>
        <a:ext cx="2001366" cy="1030584"/>
      </xdr:xfrm>
      <a:graphic xmlns:a="http://schemas.openxmlformats.org/drawingml/2006/main">
        <a:graphicData uri="http://schemas.openxmlformats.org/drawingml/2006/chart">
          <c:chart xmlns:c="http://schemas.openxmlformats.org/drawingml/2006/chart" r:id="rId1"/>
        </a:graphicData>
      </a:graphic>
    </xdr:graphicFrame>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39</xdr:col>
      <xdr:colOff>136348</xdr:colOff>
      <xdr:row>2</xdr:row>
      <xdr:rowOff>194963</xdr:rowOff>
    </xdr:from>
    <xdr:to>
      <xdr:col>39</xdr:col>
      <xdr:colOff>2137713</xdr:colOff>
      <xdr:row>7</xdr:row>
      <xdr:rowOff>51605</xdr:rowOff>
    </xdr:to>
    <xdr:graphicFrame>
      <xdr:nvGraphicFramePr>
        <xdr:cNvPr id="24" name="グラフ 4"/>
        <xdr:cNvGraphicFramePr/>
      </xdr:nvGraphicFramePr>
      <xdr:xfrm>
        <a:off x="19834048" y="1228743"/>
        <a:ext cx="2001365" cy="999643"/>
      </xdr:xfrm>
      <a:graphic xmlns:a="http://schemas.openxmlformats.org/drawingml/2006/main">
        <a:graphicData uri="http://schemas.openxmlformats.org/drawingml/2006/chart">
          <c:chart xmlns:c="http://schemas.openxmlformats.org/drawingml/2006/chart" r:id="rId1"/>
        </a:graphicData>
      </a:graphic>
    </xdr:graphicFrame>
    <xdr:clientData/>
  </xdr:twoCellAnchor>
</xdr:wsDr>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31</xdr:col>
      <xdr:colOff>199209</xdr:colOff>
      <xdr:row>6</xdr:row>
      <xdr:rowOff>19049</xdr:rowOff>
    </xdr:from>
    <xdr:to>
      <xdr:col>33</xdr:col>
      <xdr:colOff>149407</xdr:colOff>
      <xdr:row>49</xdr:row>
      <xdr:rowOff>285749</xdr:rowOff>
    </xdr:to>
    <xdr:sp>
      <xdr:nvSpPr>
        <xdr:cNvPr id="169" name="右中かっこ 2"/>
        <xdr:cNvSpPr/>
      </xdr:nvSpPr>
      <xdr:spPr>
        <a:xfrm>
          <a:off x="18893609" y="2002789"/>
          <a:ext cx="1601199" cy="12553951"/>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cubicBezTo>
                <a:pt x="5965" y="0"/>
                <a:pt x="10800" y="103"/>
                <a:pt x="10800" y="230"/>
              </a:cubicBezTo>
              <a:lnTo>
                <a:pt x="10800" y="10541"/>
              </a:lnTo>
              <a:cubicBezTo>
                <a:pt x="10800" y="10668"/>
                <a:pt x="15635" y="10770"/>
                <a:pt x="21600" y="10770"/>
              </a:cubicBezTo>
              <a:cubicBezTo>
                <a:pt x="15635" y="10770"/>
                <a:pt x="10800" y="10873"/>
                <a:pt x="10800" y="11000"/>
              </a:cubicBezTo>
              <a:lnTo>
                <a:pt x="10800" y="21370"/>
              </a:lnTo>
              <a:cubicBezTo>
                <a:pt x="10800" y="21497"/>
                <a:pt x="5965" y="21600"/>
                <a:pt x="0" y="21600"/>
              </a:cubicBezTo>
            </a:path>
          </a:pathLst>
        </a:custGeom>
        <a:noFill/>
        <a:ln w="57150" cap="flat">
          <a:solidFill>
            <a:srgbClr val="FF0000"/>
          </a:solidFill>
          <a:prstDash val="solid"/>
          <a:round/>
        </a:ln>
        <a:effectLst/>
      </xdr:spPr>
      <xdr:txBody>
        <a:bodyPr/>
        <a:lstStyle/>
        <a:p>
          <a:pPr/>
        </a:p>
      </xdr:txBody>
    </xdr:sp>
    <xdr:clientData/>
  </xdr:twoCellAnchor>
  <xdr:twoCellAnchor>
    <xdr:from>
      <xdr:col>33</xdr:col>
      <xdr:colOff>335280</xdr:colOff>
      <xdr:row>14</xdr:row>
      <xdr:rowOff>153543</xdr:rowOff>
    </xdr:from>
    <xdr:to>
      <xdr:col>34</xdr:col>
      <xdr:colOff>481421</xdr:colOff>
      <xdr:row>37</xdr:row>
      <xdr:rowOff>223647</xdr:rowOff>
    </xdr:to>
    <xdr:sp>
      <xdr:nvSpPr>
        <xdr:cNvPr id="170" name="テキスト ボックス 3"/>
        <xdr:cNvSpPr txBox="1"/>
      </xdr:nvSpPr>
      <xdr:spPr>
        <a:xfrm>
          <a:off x="20680680" y="4423283"/>
          <a:ext cx="971642" cy="6642355"/>
        </a:xfrm>
        <a:prstGeom prst="rect">
          <a:avLst/>
        </a:prstGeom>
        <a:solidFill>
          <a:srgbClr val="FFFFFF"/>
        </a:solidFill>
        <a:ln w="9525" cap="flat">
          <a:solidFill>
            <a:srgbClr val="BABABA"/>
          </a:solidFill>
          <a:prstDash val="solid"/>
          <a:round/>
        </a:ln>
        <a:effectLst/>
        <a:extLst>
          <a:ext uri="{C572A759-6A51-4108-AA02-DFA0A04FC94B}">
            <ma14:wrappingTextBoxFlag xmlns:ma14="http://schemas.microsoft.com/office/mac/drawingml/2011/main" val="1"/>
          </a:ext>
        </a:extLst>
      </xdr:spPr>
      <xdr:txBody>
        <a:bodyPr wrap="square" lIns="45719" tIns="45719" rIns="45719" bIns="45719" numCol="1" anchor="t">
          <a:noAutofit/>
        </a:bodyPr>
        <a:lstStyle/>
        <a:p>
          <a:pPr marL="0" marR="0" indent="0" algn="l" defTabSz="914400" latinLnBrk="0">
            <a:lnSpc>
              <a:spcPct val="100000"/>
            </a:lnSpc>
            <a:spcBef>
              <a:spcPts val="0"/>
            </a:spcBef>
            <a:spcAft>
              <a:spcPts val="0"/>
            </a:spcAft>
            <a:buClrTx/>
            <a:buSzTx/>
            <a:buFontTx/>
            <a:buNone/>
            <a:defRPr b="0" baseline="0" cap="none" i="0" spc="0" strike="noStrike" sz="4000" u="none">
              <a:solidFill>
                <a:srgbClr val="FF0000"/>
              </a:solidFill>
              <a:uFillTx/>
              <a:latin typeface="Calibri"/>
              <a:ea typeface="Calibri"/>
              <a:cs typeface="Calibri"/>
              <a:sym typeface="Calibri"/>
            </a:defRPr>
          </a:pPr>
          <a:r>
            <a:rPr b="0" baseline="0" cap="none" i="0" spc="0" strike="noStrike" sz="4000" u="none">
              <a:solidFill>
                <a:srgbClr val="FF0000"/>
              </a:solidFill>
              <a:uFillTx/>
              <a:latin typeface="Helvetica"/>
              <a:ea typeface="Helvetica"/>
              <a:cs typeface="Helvetica"/>
              <a:sym typeface="Helvetica"/>
            </a:rPr>
            <a:t>ベーシックパック</a:t>
          </a:r>
        </a:p>
      </xdr:txBody>
    </xdr:sp>
    <xdr:clientData/>
  </xdr:twoCellAnchor>
  <xdr:twoCellAnchor>
    <xdr:from>
      <xdr:col>31</xdr:col>
      <xdr:colOff>161109</xdr:colOff>
      <xdr:row>49</xdr:row>
      <xdr:rowOff>285749</xdr:rowOff>
    </xdr:from>
    <xdr:to>
      <xdr:col>33</xdr:col>
      <xdr:colOff>182879</xdr:colOff>
      <xdr:row>100</xdr:row>
      <xdr:rowOff>15238</xdr:rowOff>
    </xdr:to>
    <xdr:sp>
      <xdr:nvSpPr>
        <xdr:cNvPr id="171" name="右中かっこ 4"/>
        <xdr:cNvSpPr/>
      </xdr:nvSpPr>
      <xdr:spPr>
        <a:xfrm>
          <a:off x="18855509" y="14556739"/>
          <a:ext cx="1672771" cy="14302740"/>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cubicBezTo>
                <a:pt x="5965" y="0"/>
                <a:pt x="10800" y="94"/>
                <a:pt x="10800" y="211"/>
              </a:cubicBezTo>
              <a:lnTo>
                <a:pt x="10800" y="10589"/>
              </a:lnTo>
              <a:cubicBezTo>
                <a:pt x="10800" y="10706"/>
                <a:pt x="15635" y="10800"/>
                <a:pt x="21600" y="10800"/>
              </a:cubicBezTo>
              <a:cubicBezTo>
                <a:pt x="15635" y="10800"/>
                <a:pt x="10800" y="10894"/>
                <a:pt x="10800" y="11011"/>
              </a:cubicBezTo>
              <a:lnTo>
                <a:pt x="10800" y="21389"/>
              </a:lnTo>
              <a:cubicBezTo>
                <a:pt x="10800" y="21506"/>
                <a:pt x="5965" y="21600"/>
                <a:pt x="0" y="21600"/>
              </a:cubicBezTo>
            </a:path>
          </a:pathLst>
        </a:custGeom>
        <a:noFill/>
        <a:ln w="57150" cap="flat">
          <a:solidFill>
            <a:srgbClr val="FF0000"/>
          </a:solidFill>
          <a:prstDash val="solid"/>
          <a:round/>
        </a:ln>
        <a:effectLst/>
      </xdr:spPr>
      <xdr:txBody>
        <a:bodyPr/>
        <a:lstStyle/>
        <a:p>
          <a:pPr/>
        </a:p>
      </xdr:txBody>
    </xdr:sp>
    <xdr:clientData/>
  </xdr:twoCellAnchor>
  <xdr:twoCellAnchor>
    <xdr:from>
      <xdr:col>33</xdr:col>
      <xdr:colOff>201930</xdr:colOff>
      <xdr:row>57</xdr:row>
      <xdr:rowOff>156209</xdr:rowOff>
    </xdr:from>
    <xdr:to>
      <xdr:col>34</xdr:col>
      <xdr:colOff>197576</xdr:colOff>
      <xdr:row>80</xdr:row>
      <xdr:rowOff>243839</xdr:rowOff>
    </xdr:to>
    <xdr:sp>
      <xdr:nvSpPr>
        <xdr:cNvPr id="172" name="テキスト ボックス 5"/>
        <xdr:cNvSpPr txBox="1"/>
      </xdr:nvSpPr>
      <xdr:spPr>
        <a:xfrm>
          <a:off x="20547330" y="16713199"/>
          <a:ext cx="821147" cy="6659881"/>
        </a:xfrm>
        <a:prstGeom prst="rect">
          <a:avLst/>
        </a:prstGeom>
        <a:solidFill>
          <a:srgbClr val="FFFFFF"/>
        </a:solidFill>
        <a:ln w="9525" cap="flat">
          <a:solidFill>
            <a:srgbClr val="BABABA"/>
          </a:solidFill>
          <a:prstDash val="solid"/>
          <a:round/>
        </a:ln>
        <a:effectLst/>
        <a:extLst>
          <a:ext uri="{C572A759-6A51-4108-AA02-DFA0A04FC94B}">
            <ma14:wrappingTextBoxFlag xmlns:ma14="http://schemas.microsoft.com/office/mac/drawingml/2011/main" val="1"/>
          </a:ext>
        </a:extLst>
      </xdr:spPr>
      <xdr:txBody>
        <a:bodyPr wrap="square" lIns="45719" tIns="45719" rIns="45719" bIns="45719" numCol="1" anchor="t">
          <a:noAutofit/>
        </a:bodyPr>
        <a:lstStyle/>
        <a:p>
          <a:pPr marL="0" marR="0" indent="0" algn="l" defTabSz="914400" latinLnBrk="0">
            <a:lnSpc>
              <a:spcPct val="100000"/>
            </a:lnSpc>
            <a:spcBef>
              <a:spcPts val="0"/>
            </a:spcBef>
            <a:spcAft>
              <a:spcPts val="0"/>
            </a:spcAft>
            <a:buClrTx/>
            <a:buSzTx/>
            <a:buFontTx/>
            <a:buNone/>
            <a:defRPr b="0" baseline="0" cap="none" i="0" spc="0" strike="noStrike" sz="4000" u="none">
              <a:solidFill>
                <a:srgbClr val="FF0000"/>
              </a:solidFill>
              <a:uFillTx/>
              <a:latin typeface="Calibri"/>
              <a:ea typeface="Calibri"/>
              <a:cs typeface="Calibri"/>
              <a:sym typeface="Calibri"/>
            </a:defRPr>
          </a:pPr>
          <a:r>
            <a:rPr b="0" baseline="0" cap="none" i="0" spc="0" strike="noStrike" sz="4000" u="none">
              <a:solidFill>
                <a:srgbClr val="FF0000"/>
              </a:solidFill>
              <a:uFillTx/>
              <a:latin typeface="Helvetica"/>
              <a:ea typeface="Helvetica"/>
              <a:cs typeface="Helvetica"/>
              <a:sym typeface="Helvetica"/>
            </a:rPr>
            <a:t>オプションパック</a:t>
          </a:r>
        </a:p>
      </xdr:txBody>
    </xdr:sp>
    <xdr:clientData/>
  </xdr:twoCellAnchor>
  <xdr:twoCellAnchor>
    <xdr:from>
      <xdr:col>30</xdr:col>
      <xdr:colOff>74138</xdr:colOff>
      <xdr:row>3</xdr:row>
      <xdr:rowOff>77225</xdr:rowOff>
    </xdr:from>
    <xdr:to>
      <xdr:col>30</xdr:col>
      <xdr:colOff>1634025</xdr:colOff>
      <xdr:row>5</xdr:row>
      <xdr:rowOff>131814</xdr:rowOff>
    </xdr:to>
    <xdr:graphicFrame>
      <xdr:nvGraphicFramePr>
        <xdr:cNvPr id="173" name="グラフ 1"/>
        <xdr:cNvGraphicFramePr/>
      </xdr:nvGraphicFramePr>
      <xdr:xfrm>
        <a:off x="16660338" y="785885"/>
        <a:ext cx="1559888" cy="819765"/>
      </xdr:xfrm>
      <a:graphic xmlns:a="http://schemas.openxmlformats.org/drawingml/2006/main">
        <a:graphicData uri="http://schemas.openxmlformats.org/drawingml/2006/chart">
          <c:chart xmlns:c="http://schemas.openxmlformats.org/drawingml/2006/chart"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ヒラギノ角ゴ ProN W6"/>
        <a:ea typeface="ヒラギノ角ゴ ProN W6"/>
        <a:cs typeface="ヒラギノ角ゴ ProN W6"/>
      </a:majorFont>
      <a:minorFont>
        <a:latin typeface="ヒラギノ角ゴ ProN W3"/>
        <a:ea typeface="ヒラギノ角ゴ ProN W3"/>
        <a:cs typeface="ヒラギノ角ゴ ProN W3"/>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2.vml"/><Relationship Id="rId3" Type="http://schemas.openxmlformats.org/officeDocument/2006/relationships/comments" Target="../comments2.xml"/></Relationships>

</file>

<file path=xl/worksheets/_rels/sheet3.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vmlDrawing" Target="../drawings/vmlDrawing3.vml"/><Relationship Id="rId3" Type="http://schemas.openxmlformats.org/officeDocument/2006/relationships/comments" Target="../comments3.xml"/></Relationships>

</file>

<file path=xl/worksheets/sheet1.xml><?xml version="1.0" encoding="utf-8"?>
<worksheet xmlns:r="http://schemas.openxmlformats.org/officeDocument/2006/relationships" xmlns="http://schemas.openxmlformats.org/spreadsheetml/2006/main">
  <sheetPr>
    <tabColor rgb="ffff0000"/>
    <pageSetUpPr fitToPage="1"/>
  </sheetPr>
  <dimension ref="A1:BM159"/>
  <sheetViews>
    <sheetView workbookViewId="0" showGridLines="0" defaultGridColor="1"/>
  </sheetViews>
  <sheetFormatPr defaultColWidth="6.71429" defaultRowHeight="24" customHeight="1" outlineLevelRow="0" outlineLevelCol="0"/>
  <cols>
    <col min="1" max="1" width="4.73438" style="1" customWidth="1"/>
    <col min="2" max="2" width="9.28906" style="1" customWidth="1"/>
    <col min="3" max="3" width="38.7344" style="1" customWidth="1"/>
    <col min="4" max="5" width="4.73438" style="1" customWidth="1"/>
    <col min="6" max="6" width="4.28906" style="1" customWidth="1"/>
    <col min="7" max="7" width="4.73438" style="1" customWidth="1"/>
    <col min="8" max="8" width="4.28906" style="1" customWidth="1"/>
    <col min="9" max="11" width="4.73438" style="1" customWidth="1"/>
    <col min="12" max="15" width="4.28906" style="1" customWidth="1"/>
    <col min="16" max="18" width="4.73438" style="1" customWidth="1"/>
    <col min="19" max="28" width="4.28906" style="1" customWidth="1"/>
    <col min="29" max="33" width="4.73438" style="1" customWidth="1"/>
    <col min="34" max="34" width="10.7344" style="1" customWidth="1"/>
    <col min="35" max="39" width="4.28906" style="1" customWidth="1"/>
    <col min="40" max="40" width="31.2891" style="1" customWidth="1"/>
    <col min="41" max="41" width="1.15625" style="1" customWidth="1"/>
    <col min="42" max="56" width="5.73438" style="1" customWidth="1"/>
    <col min="57" max="57" width="16" style="1" customWidth="1"/>
    <col min="58" max="60" width="6.73438" style="1" customWidth="1"/>
    <col min="61" max="61" width="8.28906" style="1" customWidth="1"/>
    <col min="62" max="65" width="6.73438" style="1" customWidth="1"/>
    <col min="66" max="16384" width="6.73438" style="1" customWidth="1"/>
  </cols>
  <sheetData>
    <row r="1" ht="24.75" customHeight="1">
      <c r="A1" t="s" s="2">
        <v>0</v>
      </c>
      <c r="B1" s="3"/>
      <c r="C1" s="3"/>
      <c r="D1" s="3"/>
      <c r="E1" s="3"/>
      <c r="F1" s="3"/>
      <c r="G1" s="3"/>
      <c r="H1" s="3"/>
      <c r="I1" s="3"/>
      <c r="J1" s="3"/>
      <c r="K1" s="4"/>
      <c r="L1" s="5"/>
      <c r="M1" s="3"/>
      <c r="N1" s="3"/>
      <c r="O1" s="4"/>
      <c r="P1" s="6"/>
      <c r="Q1" s="6"/>
      <c r="R1" s="5"/>
      <c r="S1" s="3"/>
      <c r="T1" s="3"/>
      <c r="U1" s="3"/>
      <c r="V1" s="3"/>
      <c r="W1" s="3"/>
      <c r="X1" s="3"/>
      <c r="Y1" s="3"/>
      <c r="Z1" s="3"/>
      <c r="AA1" s="3"/>
      <c r="AB1" s="3"/>
      <c r="AC1" s="3"/>
      <c r="AD1" s="3"/>
      <c r="AE1" s="3"/>
      <c r="AF1" s="3"/>
      <c r="AG1" s="3"/>
      <c r="AH1" s="7"/>
      <c r="AI1" t="s" s="8">
        <v>1</v>
      </c>
      <c r="AJ1" s="9"/>
      <c r="AK1" s="9"/>
      <c r="AL1" t="s" s="8">
        <v>2</v>
      </c>
      <c r="AM1" s="9"/>
      <c r="AN1" s="9"/>
      <c r="AO1" s="10"/>
      <c r="AP1" s="11"/>
      <c r="AQ1" s="11"/>
      <c r="AR1" s="11"/>
      <c r="AS1" s="11"/>
      <c r="AT1" s="11"/>
      <c r="AU1" s="11"/>
      <c r="AV1" s="11"/>
      <c r="AW1" s="11"/>
      <c r="AX1" s="11"/>
      <c r="AY1" s="11"/>
      <c r="AZ1" s="11"/>
      <c r="BA1" s="11"/>
      <c r="BB1" s="11"/>
      <c r="BC1" s="11"/>
      <c r="BD1" s="11"/>
      <c r="BE1" s="12"/>
      <c r="BF1" s="12"/>
      <c r="BG1" s="12"/>
      <c r="BH1" s="12"/>
      <c r="BI1" s="12"/>
      <c r="BJ1" s="12"/>
      <c r="BK1" s="12"/>
      <c r="BL1" s="12"/>
      <c r="BM1" s="12"/>
    </row>
    <row r="2" ht="56.65" customHeight="1">
      <c r="A2" t="s" s="13">
        <v>3</v>
      </c>
      <c r="B2" s="14"/>
      <c r="C2" t="s" s="15">
        <v>4</v>
      </c>
      <c r="D2" s="16"/>
      <c r="E2" s="16"/>
      <c r="F2" s="16"/>
      <c r="G2" s="16"/>
      <c r="H2" s="16"/>
      <c r="I2" s="16"/>
      <c r="J2" s="16"/>
      <c r="K2" s="17"/>
      <c r="L2" s="18"/>
      <c r="M2" s="16"/>
      <c r="N2" s="16"/>
      <c r="O2" s="17"/>
      <c r="P2" s="19"/>
      <c r="Q2" s="19"/>
      <c r="R2" s="18"/>
      <c r="S2" s="16"/>
      <c r="T2" s="16"/>
      <c r="U2" s="16"/>
      <c r="V2" s="16"/>
      <c r="W2" s="16"/>
      <c r="X2" s="16"/>
      <c r="Y2" s="16"/>
      <c r="Z2" s="16"/>
      <c r="AA2" s="16"/>
      <c r="AB2" s="16"/>
      <c r="AC2" s="16"/>
      <c r="AD2" s="16"/>
      <c r="AE2" s="16"/>
      <c r="AF2" s="16"/>
      <c r="AG2" s="16"/>
      <c r="AH2" s="20"/>
      <c r="AI2" s="21"/>
      <c r="AJ2" s="22"/>
      <c r="AK2" s="23"/>
      <c r="AL2" s="24"/>
      <c r="AM2" s="25"/>
      <c r="AN2" s="26"/>
      <c r="AO2" s="27"/>
      <c r="AP2" t="s" s="28">
        <v>5</v>
      </c>
      <c r="AQ2" s="29"/>
      <c r="AR2" s="29"/>
      <c r="AS2" s="29"/>
      <c r="AT2" s="29"/>
      <c r="AU2" s="29"/>
      <c r="AV2" s="29"/>
      <c r="AW2" s="29"/>
      <c r="AX2" s="29"/>
      <c r="AY2" s="29"/>
      <c r="AZ2" s="29"/>
      <c r="BA2" s="29"/>
      <c r="BB2" s="29"/>
      <c r="BC2" s="29"/>
      <c r="BD2" s="30"/>
      <c r="BE2" s="10"/>
      <c r="BF2" s="12"/>
      <c r="BG2" s="12"/>
      <c r="BH2" t="s" s="31">
        <v>6</v>
      </c>
      <c r="BI2" s="32" cm="1">
        <f t="array" ref="BI2">BG3/BF3</f>
        <v>0.138888888888889</v>
      </c>
      <c r="BJ2" s="33"/>
      <c r="BK2" s="12"/>
      <c r="BL2" s="12"/>
      <c r="BM2" s="12"/>
    </row>
    <row r="3" ht="48" customHeight="1">
      <c r="A3" s="24"/>
      <c r="B3" s="26"/>
      <c r="C3" t="s" s="34">
        <v>7</v>
      </c>
      <c r="D3" t="s" s="35">
        <v>8</v>
      </c>
      <c r="E3" s="36"/>
      <c r="F3" s="36"/>
      <c r="G3" s="37"/>
      <c r="H3" t="s" s="38">
        <v>9</v>
      </c>
      <c r="I3" s="39"/>
      <c r="J3" s="40"/>
      <c r="K3" t="s" s="41">
        <v>10</v>
      </c>
      <c r="L3" s="42"/>
      <c r="M3" s="43"/>
      <c r="N3" s="43"/>
      <c r="O3" s="44"/>
      <c r="P3" s="45"/>
      <c r="Q3" s="45"/>
      <c r="R3" s="42"/>
      <c r="S3" s="43"/>
      <c r="T3" s="43"/>
      <c r="U3" s="43"/>
      <c r="V3" s="43"/>
      <c r="W3" s="43"/>
      <c r="X3" s="43"/>
      <c r="Y3" s="43"/>
      <c r="Z3" s="43"/>
      <c r="AA3" s="43"/>
      <c r="AB3" s="46"/>
      <c r="AC3" t="s" s="47">
        <v>11</v>
      </c>
      <c r="AD3" s="48"/>
      <c r="AE3" s="49"/>
      <c r="AF3" t="s" s="50">
        <v>12</v>
      </c>
      <c r="AG3" t="s" s="51">
        <v>13</v>
      </c>
      <c r="AH3" t="s" s="52">
        <v>14</v>
      </c>
      <c r="AI3" t="s" s="47">
        <v>15</v>
      </c>
      <c r="AJ3" s="48"/>
      <c r="AK3" s="48"/>
      <c r="AL3" s="49"/>
      <c r="AM3" t="s" s="53">
        <v>16</v>
      </c>
      <c r="AN3" t="s" s="54">
        <v>17</v>
      </c>
      <c r="AO3" s="10"/>
      <c r="AP3" s="55"/>
      <c r="AQ3" t="s" s="54">
        <v>18</v>
      </c>
      <c r="AR3" t="s" s="54">
        <v>19</v>
      </c>
      <c r="AS3" t="s" s="54">
        <v>20</v>
      </c>
      <c r="AT3" t="s" s="56">
        <v>21</v>
      </c>
      <c r="AU3" s="57"/>
      <c r="AV3" t="s" s="56">
        <v>22</v>
      </c>
      <c r="AW3" s="57"/>
      <c r="AX3" s="58"/>
      <c r="AY3" s="59"/>
      <c r="AZ3" s="59"/>
      <c r="BA3" s="59"/>
      <c r="BB3" s="59"/>
      <c r="BC3" s="59"/>
      <c r="BD3" s="59"/>
      <c r="BE3" s="12"/>
      <c r="BF3" s="60" cm="1">
        <f t="array" ref="BF3">COUNTA($AG$10:$AG$158)*6</f>
        <v>36</v>
      </c>
      <c r="BG3" s="60" cm="1">
        <f t="array" ref="BG3">COUNTA($G$10:$G$158)+COUNTA($J$10:$J$158)+COUNTA($L$10:$L$158)+COUNTA($M$10:$M$158)+COUNTA($S$10:$S$158)+COUNTA($T$10:$T$158)</f>
        <v>5</v>
      </c>
      <c r="BH3" t="s" s="31">
        <v>23</v>
      </c>
      <c r="BI3" s="33" cm="1">
        <f t="array" ref="BI3">1-BI2</f>
        <v>0.861111111111111</v>
      </c>
      <c r="BJ3" s="33"/>
      <c r="BK3" s="12"/>
      <c r="BL3" s="12"/>
      <c r="BM3" s="12"/>
    </row>
    <row r="4" ht="13.5" customHeight="1">
      <c r="A4" t="s" s="61">
        <v>24</v>
      </c>
      <c r="B4" t="s" s="54">
        <v>25</v>
      </c>
      <c r="C4" t="s" s="62">
        <v>26</v>
      </c>
      <c r="D4" t="s" s="63">
        <v>27</v>
      </c>
      <c r="E4" t="s" s="64">
        <v>28</v>
      </c>
      <c r="F4" t="s" s="65">
        <v>29</v>
      </c>
      <c r="G4" t="s" s="66">
        <v>30</v>
      </c>
      <c r="H4" t="s" s="67">
        <v>28</v>
      </c>
      <c r="I4" t="s" s="65">
        <v>31</v>
      </c>
      <c r="J4" t="s" s="66">
        <v>32</v>
      </c>
      <c r="K4" t="s" s="68">
        <v>33</v>
      </c>
      <c r="L4" t="s" s="69">
        <v>34</v>
      </c>
      <c r="M4" s="70"/>
      <c r="N4" t="s" s="69">
        <v>35</v>
      </c>
      <c r="O4" s="70"/>
      <c r="P4" t="s" s="71">
        <v>36</v>
      </c>
      <c r="Q4" t="s" s="72">
        <v>37</v>
      </c>
      <c r="R4" t="s" s="72">
        <v>33</v>
      </c>
      <c r="S4" t="s" s="73">
        <v>38</v>
      </c>
      <c r="T4" s="74"/>
      <c r="U4" t="s" s="73">
        <v>39</v>
      </c>
      <c r="V4" s="74"/>
      <c r="W4" t="s" s="73">
        <v>40</v>
      </c>
      <c r="X4" s="74"/>
      <c r="Y4" t="s" s="73">
        <v>41</v>
      </c>
      <c r="Z4" s="74"/>
      <c r="AA4" t="s" s="73">
        <v>42</v>
      </c>
      <c r="AB4" s="75"/>
      <c r="AC4" t="s" s="76">
        <v>43</v>
      </c>
      <c r="AD4" t="s" s="71">
        <v>44</v>
      </c>
      <c r="AE4" t="s" s="77">
        <v>45</v>
      </c>
      <c r="AF4" s="78"/>
      <c r="AG4" s="79"/>
      <c r="AH4" s="80"/>
      <c r="AI4" s="81">
        <v>1</v>
      </c>
      <c r="AJ4" s="70"/>
      <c r="AK4" s="82">
        <v>2</v>
      </c>
      <c r="AL4" s="83"/>
      <c r="AM4" s="84"/>
      <c r="AN4" s="85"/>
      <c r="AO4" s="10"/>
      <c r="AP4" s="86"/>
      <c r="AQ4" s="87"/>
      <c r="AR4" s="87"/>
      <c r="AS4" s="87"/>
      <c r="AT4" s="88"/>
      <c r="AU4" s="89"/>
      <c r="AV4" s="88"/>
      <c r="AW4" s="89"/>
      <c r="AX4" s="90"/>
      <c r="AY4" s="91"/>
      <c r="AZ4" s="91"/>
      <c r="BA4" s="91"/>
      <c r="BB4" s="91"/>
      <c r="BC4" s="91"/>
      <c r="BD4" s="91"/>
      <c r="BE4" s="92"/>
      <c r="BF4" s="12"/>
      <c r="BG4" s="12"/>
      <c r="BH4" t="s" s="31">
        <v>46</v>
      </c>
      <c r="BI4" s="60" cm="1">
        <f t="array" ref="BI4">_xlfn.COUNTIFS($F$10:$F$113,"&lt;="&amp;TODAY(),$F$10:$F$113,"&gt;"&amp;0,$G$10:$G$113,"="&amp;"")+_xlfn.COUNTIFS($I$10:$I$113,"&lt;="&amp;TODAY(),$I$10:$I$113,"&gt;"&amp;0,$J$10:$J$113,"="&amp;"")+_xlfn.COUNTIFS($P$10:$P$113,"&lt;="&amp;TODAY(),$P$10:$P$113,"&gt;"&amp;0,$L$10:$L$113,"="&amp;"")+_xlfn.COUNTIFS($P$10:$P$113,"&lt;="&amp;TODAY(),$P$10:$P$113,"&gt;"&amp;0,$M$10:$M$113,"="&amp;"")+_xlfn.COUNTIFS($AC$10:$AC$113,"&lt;="&amp;TODAY(),$AC$10:$AC$113,"&gt;"&amp;0,$S$10:$S$113,"="&amp;"")+_xlfn.COUNTIFS($AC$10:$AC$113,"&lt;="&amp;TODAY(),$AC$10:$AC$113,"&gt;"&amp;0,$T$10:$T$113,"="&amp;"")</f>
        <v>0</v>
      </c>
      <c r="BJ4" t="str" s="12" cm="1">
        <f t="array" ref="BJ4">BH4&amp;": "&amp;BI4&amp;"個"</f>
        <v>赤色: 0個</v>
      </c>
      <c r="BK4" s="12"/>
      <c r="BL4" s="12"/>
      <c r="BM4" s="12"/>
    </row>
    <row r="5" ht="13.15" customHeight="1">
      <c r="A5" s="85"/>
      <c r="B5" s="93"/>
      <c r="C5" t="s" s="62">
        <v>48</v>
      </c>
      <c r="D5" s="94"/>
      <c r="E5" s="95"/>
      <c r="F5" s="96"/>
      <c r="G5" s="97"/>
      <c r="H5" s="98"/>
      <c r="I5" s="96"/>
      <c r="J5" s="97"/>
      <c r="K5" s="99"/>
      <c r="L5" t="s" s="100">
        <v>49</v>
      </c>
      <c r="M5" t="s" s="100">
        <v>50</v>
      </c>
      <c r="N5" t="s" s="100">
        <v>49</v>
      </c>
      <c r="O5" t="s" s="100">
        <v>50</v>
      </c>
      <c r="P5" s="101"/>
      <c r="Q5" s="102"/>
      <c r="R5" s="102"/>
      <c r="S5" t="s" s="103">
        <v>49</v>
      </c>
      <c r="T5" t="s" s="103">
        <v>50</v>
      </c>
      <c r="U5" t="s" s="103">
        <v>49</v>
      </c>
      <c r="V5" t="s" s="103">
        <v>50</v>
      </c>
      <c r="W5" t="s" s="103">
        <v>49</v>
      </c>
      <c r="X5" t="s" s="103">
        <v>50</v>
      </c>
      <c r="Y5" t="s" s="103">
        <v>49</v>
      </c>
      <c r="Z5" t="s" s="103">
        <v>50</v>
      </c>
      <c r="AA5" t="s" s="103">
        <v>49</v>
      </c>
      <c r="AB5" t="s" s="104">
        <v>50</v>
      </c>
      <c r="AC5" s="105"/>
      <c r="AD5" s="101"/>
      <c r="AE5" s="83"/>
      <c r="AF5" s="78"/>
      <c r="AG5" s="79"/>
      <c r="AH5" s="80"/>
      <c r="AI5" t="s" s="106">
        <v>49</v>
      </c>
      <c r="AJ5" t="s" s="100">
        <v>50</v>
      </c>
      <c r="AK5" t="s" s="100">
        <v>49</v>
      </c>
      <c r="AL5" t="s" s="66">
        <v>50</v>
      </c>
      <c r="AM5" s="84"/>
      <c r="AN5" s="85"/>
      <c r="AO5" s="10"/>
      <c r="AP5" s="86"/>
      <c r="AQ5" s="87"/>
      <c r="AR5" s="87"/>
      <c r="AS5" s="87"/>
      <c r="AT5" t="s" s="107">
        <v>51</v>
      </c>
      <c r="AU5" t="s" s="107">
        <v>52</v>
      </c>
      <c r="AV5" t="s" s="107">
        <v>51</v>
      </c>
      <c r="AW5" t="s" s="107">
        <v>52</v>
      </c>
      <c r="AX5" s="90"/>
      <c r="AY5" s="91"/>
      <c r="AZ5" s="91"/>
      <c r="BA5" s="91"/>
      <c r="BB5" s="91"/>
      <c r="BC5" s="91"/>
      <c r="BD5" s="91"/>
      <c r="BE5" s="92"/>
      <c r="BF5" s="12"/>
      <c r="BG5" s="12"/>
      <c r="BH5" t="s" s="31">
        <v>53</v>
      </c>
      <c r="BI5" s="60" cm="1">
        <f t="array" ref="BI5">_xlfn.COUNTIFS($F$10:$F$113,"&lt;="&amp;TODAY()+7,$F$10:$F$113,"&gt;"&amp;0,$G$10:$G$113,"="&amp;"")+_xlfn.COUNTIFS($I$10:$I$113,"&lt;="&amp;TODAY()+7,$I$10:$I$113,"&gt;"&amp;0,$J$10:$J$113,"="&amp;"")+_xlfn.COUNTIFS($P$10:$P$113,"&lt;="&amp;TODAY()+7,$P$10:$P$113,"&gt;"&amp;0,$L$10:$L$113,"="&amp;"")+_xlfn.COUNTIFS($P$10:$P$113,"&lt;="&amp;TODAY()+7,$P$10:$P$113,"&gt;"&amp;0,$M$10:$M$113,"="&amp;"")+_xlfn.COUNTIFS($AC$10:$AC$113,"&lt;="&amp;TODAY()+7,$AC$10:$AC$113,"&gt;"&amp;0,$S$10:$S$113,"="&amp;"")+_xlfn.COUNTIFS($AC$10:$AC$113,"&lt;="&amp;TODAY()+7,$AC$10:$AC$113,"&gt;"&amp;0,$T$10:$T$113,"="&amp;"")-BI4</f>
        <v>0</v>
      </c>
      <c r="BJ5" t="str" s="12" cm="1">
        <f t="array" ref="BJ5">BH5&amp;": "&amp;BI5&amp;"個"</f>
        <v>黄色: 0個</v>
      </c>
      <c r="BK5" s="12"/>
      <c r="BL5" s="12"/>
      <c r="BM5" s="12"/>
    </row>
    <row r="6" ht="13.15" customHeight="1">
      <c r="A6" s="85"/>
      <c r="B6" s="93"/>
      <c r="C6" t="s" s="62">
        <v>55</v>
      </c>
      <c r="D6" s="94"/>
      <c r="E6" s="95"/>
      <c r="F6" s="96"/>
      <c r="G6" s="97"/>
      <c r="H6" s="98"/>
      <c r="I6" s="96"/>
      <c r="J6" s="97"/>
      <c r="K6" s="99"/>
      <c r="L6" s="108"/>
      <c r="M6" s="108"/>
      <c r="N6" s="108"/>
      <c r="O6" s="108"/>
      <c r="P6" s="101"/>
      <c r="Q6" s="102"/>
      <c r="R6" s="102"/>
      <c r="S6" s="109"/>
      <c r="T6" s="109"/>
      <c r="U6" s="109"/>
      <c r="V6" s="109"/>
      <c r="W6" s="109"/>
      <c r="X6" s="109"/>
      <c r="Y6" s="109"/>
      <c r="Z6" s="109"/>
      <c r="AA6" s="109"/>
      <c r="AB6" s="110"/>
      <c r="AC6" s="105"/>
      <c r="AD6" s="101"/>
      <c r="AE6" s="83"/>
      <c r="AF6" s="78"/>
      <c r="AG6" s="111"/>
      <c r="AH6" s="112"/>
      <c r="AI6" s="113"/>
      <c r="AJ6" s="108"/>
      <c r="AK6" s="108"/>
      <c r="AL6" s="97"/>
      <c r="AM6" s="84"/>
      <c r="AN6" s="85"/>
      <c r="AO6" s="10"/>
      <c r="AP6" s="86"/>
      <c r="AQ6" s="87"/>
      <c r="AR6" s="87"/>
      <c r="AS6" s="87"/>
      <c r="AT6" s="114"/>
      <c r="AU6" s="114"/>
      <c r="AV6" s="114"/>
      <c r="AW6" s="114"/>
      <c r="AX6" s="90"/>
      <c r="AY6" s="91"/>
      <c r="AZ6" s="91"/>
      <c r="BA6" s="91"/>
      <c r="BB6" s="91"/>
      <c r="BC6" s="91"/>
      <c r="BD6" s="91"/>
      <c r="BE6" s="92"/>
      <c r="BF6" s="12"/>
      <c r="BG6" s="12"/>
      <c r="BH6" s="12"/>
      <c r="BI6" s="12"/>
      <c r="BJ6" s="12"/>
      <c r="BK6" s="12"/>
      <c r="BL6" s="12"/>
      <c r="BM6" s="12"/>
    </row>
    <row r="7" ht="13.5" customHeight="1">
      <c r="A7" s="85"/>
      <c r="B7" s="93"/>
      <c r="C7" t="s" s="62">
        <v>56</v>
      </c>
      <c r="D7" s="94"/>
      <c r="E7" s="95"/>
      <c r="F7" s="96"/>
      <c r="G7" s="97"/>
      <c r="H7" s="98"/>
      <c r="I7" s="96"/>
      <c r="J7" s="97"/>
      <c r="K7" s="99"/>
      <c r="L7" s="108"/>
      <c r="M7" s="108"/>
      <c r="N7" s="108"/>
      <c r="O7" s="108"/>
      <c r="P7" s="101"/>
      <c r="Q7" s="102"/>
      <c r="R7" s="102"/>
      <c r="S7" s="109"/>
      <c r="T7" s="109"/>
      <c r="U7" s="109"/>
      <c r="V7" s="109"/>
      <c r="W7" s="109"/>
      <c r="X7" s="109"/>
      <c r="Y7" s="109"/>
      <c r="Z7" s="109"/>
      <c r="AA7" s="109"/>
      <c r="AB7" s="110"/>
      <c r="AC7" s="105"/>
      <c r="AD7" s="101"/>
      <c r="AE7" s="83"/>
      <c r="AF7" s="78"/>
      <c r="AG7" s="115" cm="1">
        <f t="array" ref="AG7">AH7-2018</f>
        <v>7</v>
      </c>
      <c r="AH7" s="116">
        <v>2025</v>
      </c>
      <c r="AI7" s="113"/>
      <c r="AJ7" s="108"/>
      <c r="AK7" s="108"/>
      <c r="AL7" s="97"/>
      <c r="AM7" s="84"/>
      <c r="AN7" s="85"/>
      <c r="AO7" s="10"/>
      <c r="AP7" s="86"/>
      <c r="AQ7" s="87"/>
      <c r="AR7" s="87"/>
      <c r="AS7" s="87"/>
      <c r="AT7" s="87"/>
      <c r="AU7" s="87"/>
      <c r="AV7" s="87"/>
      <c r="AW7" s="87"/>
      <c r="AX7" s="90"/>
      <c r="AY7" s="91"/>
      <c r="AZ7" s="91"/>
      <c r="BA7" s="91"/>
      <c r="BB7" s="91"/>
      <c r="BC7" s="91"/>
      <c r="BD7" s="91"/>
      <c r="BE7" s="92"/>
      <c r="BF7" s="12"/>
      <c r="BG7" s="12"/>
      <c r="BH7" s="12"/>
      <c r="BI7" s="12"/>
      <c r="BJ7" s="12"/>
      <c r="BK7" s="12"/>
      <c r="BL7" s="12"/>
      <c r="BM7" s="60" cm="1">
        <f t="array" ref="BM7">_xlfn.COUNTIFS($AC$10:$AC$113,"&lt;"&amp;TODAY()+7,$AC$10:$AC$113,"&gt;"&amp;0,$S$10:$S$113,"="&amp;"")</f>
        <v>0</v>
      </c>
    </row>
    <row r="8" ht="13.5" customHeight="1">
      <c r="A8" s="85"/>
      <c r="B8" s="93"/>
      <c r="C8" t="s" s="117">
        <v>57</v>
      </c>
      <c r="D8" s="94"/>
      <c r="E8" s="95"/>
      <c r="F8" s="96"/>
      <c r="G8" s="97"/>
      <c r="H8" s="98"/>
      <c r="I8" s="96"/>
      <c r="J8" s="97"/>
      <c r="K8" s="99"/>
      <c r="L8" s="108"/>
      <c r="M8" s="108"/>
      <c r="N8" s="108"/>
      <c r="O8" s="108"/>
      <c r="P8" s="101"/>
      <c r="Q8" s="102"/>
      <c r="R8" s="102"/>
      <c r="S8" s="109"/>
      <c r="T8" s="109"/>
      <c r="U8" s="109"/>
      <c r="V8" s="109"/>
      <c r="W8" s="109"/>
      <c r="X8" s="109"/>
      <c r="Y8" s="109"/>
      <c r="Z8" s="109"/>
      <c r="AA8" s="109"/>
      <c r="AB8" s="110"/>
      <c r="AC8" s="105"/>
      <c r="AD8" s="101"/>
      <c r="AE8" s="83"/>
      <c r="AF8" s="78"/>
      <c r="AG8" s="118" cm="1">
        <f t="array" ref="AG8">AH8-2018</f>
        <v>8</v>
      </c>
      <c r="AH8" s="119" cm="1">
        <f t="array" ref="AH8">AH7+1</f>
        <v>2026</v>
      </c>
      <c r="AI8" s="113"/>
      <c r="AJ8" s="108"/>
      <c r="AK8" s="108"/>
      <c r="AL8" s="97"/>
      <c r="AM8" s="84"/>
      <c r="AN8" s="85"/>
      <c r="AO8" s="10"/>
      <c r="AP8" s="86"/>
      <c r="AQ8" s="87"/>
      <c r="AR8" s="87"/>
      <c r="AS8" s="87"/>
      <c r="AT8" s="87"/>
      <c r="AU8" s="87"/>
      <c r="AV8" s="87"/>
      <c r="AW8" s="87"/>
      <c r="AX8" s="90"/>
      <c r="AY8" s="91"/>
      <c r="AZ8" s="91"/>
      <c r="BA8" s="91"/>
      <c r="BB8" s="91"/>
      <c r="BC8" s="91"/>
      <c r="BD8" s="91"/>
      <c r="BE8" s="92"/>
      <c r="BF8" s="12"/>
      <c r="BG8" s="12"/>
      <c r="BH8" s="12"/>
      <c r="BI8" s="12"/>
      <c r="BJ8" s="12"/>
      <c r="BK8" s="12"/>
      <c r="BL8" s="12"/>
      <c r="BM8" s="12"/>
    </row>
    <row r="9" ht="13.5" customHeight="1">
      <c r="A9" s="120"/>
      <c r="B9" s="121"/>
      <c r="C9" t="s" s="8">
        <v>58</v>
      </c>
      <c r="D9" s="122"/>
      <c r="E9" s="123"/>
      <c r="F9" s="124"/>
      <c r="G9" s="125"/>
      <c r="H9" s="126"/>
      <c r="I9" s="124"/>
      <c r="J9" s="125"/>
      <c r="K9" s="127"/>
      <c r="L9" s="128"/>
      <c r="M9" s="128"/>
      <c r="N9" s="128"/>
      <c r="O9" s="128"/>
      <c r="P9" s="129"/>
      <c r="Q9" s="130"/>
      <c r="R9" s="130"/>
      <c r="S9" s="131"/>
      <c r="T9" s="131"/>
      <c r="U9" s="131"/>
      <c r="V9" s="131"/>
      <c r="W9" s="131"/>
      <c r="X9" s="131"/>
      <c r="Y9" s="131"/>
      <c r="Z9" s="131"/>
      <c r="AA9" s="131"/>
      <c r="AB9" s="132"/>
      <c r="AC9" s="133"/>
      <c r="AD9" s="129"/>
      <c r="AE9" s="134"/>
      <c r="AF9" s="135"/>
      <c r="AG9" s="136" cm="1">
        <f t="array" ref="AG9">AH9-2018</f>
        <v>9</v>
      </c>
      <c r="AH9" s="137" cm="1">
        <f t="array" ref="AH9">AH8+1</f>
        <v>2027</v>
      </c>
      <c r="AI9" s="138"/>
      <c r="AJ9" s="128"/>
      <c r="AK9" s="128"/>
      <c r="AL9" s="125"/>
      <c r="AM9" s="139"/>
      <c r="AN9" s="120"/>
      <c r="AO9" s="10"/>
      <c r="AP9" s="86"/>
      <c r="AQ9" s="140"/>
      <c r="AR9" s="140"/>
      <c r="AS9" s="140"/>
      <c r="AT9" s="140"/>
      <c r="AU9" s="140"/>
      <c r="AV9" s="140"/>
      <c r="AW9" s="140"/>
      <c r="AX9" s="90"/>
      <c r="AY9" s="91"/>
      <c r="AZ9" s="91"/>
      <c r="BA9" s="91"/>
      <c r="BB9" s="91"/>
      <c r="BC9" s="91"/>
      <c r="BD9" s="91"/>
      <c r="BE9" s="92"/>
      <c r="BF9" s="12"/>
      <c r="BG9" s="12"/>
      <c r="BH9" s="12"/>
      <c r="BI9" s="12"/>
      <c r="BJ9" s="12"/>
      <c r="BK9" s="12"/>
      <c r="BL9" s="12"/>
      <c r="BM9" s="12"/>
    </row>
    <row r="10" ht="18" customHeight="1">
      <c r="A10" s="9"/>
      <c r="B10" s="141"/>
      <c r="C10" s="9"/>
      <c r="D10" s="142"/>
      <c r="E10" s="143"/>
      <c r="F10" s="143"/>
      <c r="G10" s="144"/>
      <c r="H10" s="142"/>
      <c r="I10" s="143"/>
      <c r="J10" s="144"/>
      <c r="K10" s="145"/>
      <c r="L10" s="143"/>
      <c r="M10" s="143"/>
      <c r="N10" s="143"/>
      <c r="O10" s="143"/>
      <c r="P10" s="143"/>
      <c r="Q10" s="146"/>
      <c r="R10" s="146"/>
      <c r="S10" s="143"/>
      <c r="T10" s="143"/>
      <c r="U10" s="147"/>
      <c r="V10" s="148"/>
      <c r="W10" s="143"/>
      <c r="X10" s="143"/>
      <c r="Y10" s="143"/>
      <c r="Z10" s="143"/>
      <c r="AA10" s="143"/>
      <c r="AB10" s="144"/>
      <c r="AC10" s="142"/>
      <c r="AD10" s="143"/>
      <c r="AE10" s="144"/>
      <c r="AF10" s="9"/>
      <c r="AG10" s="149"/>
      <c r="AH10" s="150"/>
      <c r="AI10" s="142"/>
      <c r="AJ10" s="143"/>
      <c r="AK10" s="143"/>
      <c r="AL10" s="144"/>
      <c r="AM10" s="151"/>
      <c r="AN10" s="9"/>
      <c r="AO10" s="10"/>
      <c r="AP10" s="152"/>
      <c r="AQ10" s="153"/>
      <c r="AR10" s="153"/>
      <c r="AS10" s="153"/>
      <c r="AT10" s="153"/>
      <c r="AU10" s="153"/>
      <c r="AV10" s="153"/>
      <c r="AW10" s="153"/>
      <c r="AX10" s="154"/>
      <c r="AY10" s="154"/>
      <c r="AZ10" s="154"/>
      <c r="BA10" s="154"/>
      <c r="BB10" s="154"/>
      <c r="BC10" s="154"/>
      <c r="BD10" s="154"/>
      <c r="BE10" s="12"/>
      <c r="BF10" s="12"/>
      <c r="BG10" s="12"/>
      <c r="BH10" s="12"/>
      <c r="BI10" s="12"/>
      <c r="BJ10" s="12"/>
      <c r="BK10" s="12"/>
      <c r="BL10" s="12"/>
      <c r="BM10" s="12"/>
    </row>
    <row r="11" ht="25.5" customHeight="1">
      <c r="A11" s="155">
        <v>0</v>
      </c>
      <c r="B11" s="151"/>
      <c r="C11" t="s" s="156">
        <v>59</v>
      </c>
      <c r="D11" t="str" s="157" cm="1">
        <f t="array" ref="D11">IF(F11="","",F11-E11)</f>
      </c>
      <c r="E11" s="158"/>
      <c r="F11" t="str" s="159" cm="1">
        <f t="array" ref="F11">IF(I11="","",I11-H11)</f>
      </c>
      <c r="G11" s="160"/>
      <c r="H11" s="158"/>
      <c r="I11" t="str" s="159" cm="1">
        <f t="array" ref="I11">IF(P11="","",P11-K11)</f>
      </c>
      <c r="J11" s="160"/>
      <c r="K11" s="158"/>
      <c r="L11" s="161"/>
      <c r="M11" s="161"/>
      <c r="N11" s="161"/>
      <c r="O11" s="161"/>
      <c r="P11" t="str" s="159" cm="1">
        <f t="array" ref="P11">IF(AD11="","",AD11-R11-Q11)</f>
      </c>
      <c r="Q11" s="162"/>
      <c r="R11" s="162"/>
      <c r="S11" s="161"/>
      <c r="T11" s="161"/>
      <c r="U11" s="161"/>
      <c r="V11" s="161"/>
      <c r="W11" s="161"/>
      <c r="X11" s="161"/>
      <c r="Y11" s="161"/>
      <c r="Z11" s="161"/>
      <c r="AA11" s="161"/>
      <c r="AB11" s="160"/>
      <c r="AC11" s="163"/>
      <c r="AD11" t="str" s="159" cm="1">
        <f t="array" ref="AD11">IF(AG11="","",AG11-AF11)</f>
      </c>
      <c r="AE11" s="160"/>
      <c r="AF11" s="158"/>
      <c r="AG11" s="160"/>
      <c r="AH11" s="164"/>
      <c r="AI11" s="163"/>
      <c r="AJ11" s="161"/>
      <c r="AK11" s="161"/>
      <c r="AL11" s="160"/>
      <c r="AM11" s="165"/>
      <c r="AN11" s="166"/>
      <c r="AO11" s="10"/>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row>
    <row r="12" ht="25.5" customHeight="1">
      <c r="A12" s="155" cm="1">
        <f t="array" ref="A12">A11+1</f>
        <v>1</v>
      </c>
      <c r="B12" t="s" s="167">
        <v>60</v>
      </c>
      <c r="C12" t="s" s="156">
        <v>61</v>
      </c>
      <c r="D12" s="165" cm="1">
        <f t="array" ref="D12">IF(F12="","",F12-E12)</f>
        <v>46304</v>
      </c>
      <c r="E12" s="158">
        <v>7</v>
      </c>
      <c r="F12" s="161" cm="1">
        <f t="array" ref="F12">IF(I12="","",I12-H12)</f>
        <v>46311</v>
      </c>
      <c r="G12" s="160">
        <v>46301</v>
      </c>
      <c r="H12" s="158">
        <v>7</v>
      </c>
      <c r="I12" s="161" cm="1">
        <f t="array" ref="I12">IF(P12="","",P12-K12)</f>
        <v>46318</v>
      </c>
      <c r="J12" s="160">
        <v>46301</v>
      </c>
      <c r="K12" s="158">
        <v>7</v>
      </c>
      <c r="L12" s="161">
        <v>46302</v>
      </c>
      <c r="M12" s="161"/>
      <c r="N12" s="161"/>
      <c r="O12" s="161"/>
      <c r="P12" s="161" cm="1">
        <f t="array" ref="P12">IF(AG12="","",AC12-R12-Q12)</f>
        <v>46325</v>
      </c>
      <c r="Q12" s="162">
        <v>7</v>
      </c>
      <c r="R12" s="162">
        <v>14</v>
      </c>
      <c r="S12" s="161"/>
      <c r="T12" s="161"/>
      <c r="U12" s="161"/>
      <c r="V12" s="161"/>
      <c r="W12" s="161"/>
      <c r="X12" s="161"/>
      <c r="Y12" s="161"/>
      <c r="Z12" s="161"/>
      <c r="AA12" s="161"/>
      <c r="AB12" s="160"/>
      <c r="AC12" s="163">
        <v>46346</v>
      </c>
      <c r="AD12" s="161" cm="1">
        <f t="array" ref="AD12">IF(AG12="","",AG12-AF12)</f>
        <v>46349</v>
      </c>
      <c r="AE12" s="160"/>
      <c r="AF12" s="158">
        <v>14</v>
      </c>
      <c r="AG12" s="160">
        <v>46363</v>
      </c>
      <c r="AH12" t="s" s="168">
        <v>62</v>
      </c>
      <c r="AI12" s="163"/>
      <c r="AJ12" s="161"/>
      <c r="AK12" s="161"/>
      <c r="AL12" s="160"/>
      <c r="AM12" s="165"/>
      <c r="AN12" t="s" s="169">
        <v>63</v>
      </c>
      <c r="AO12" s="10"/>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row>
    <row r="13" ht="25.5" customHeight="1">
      <c r="A13" s="155" cm="1">
        <f t="array" ref="A13">A12+1</f>
        <v>2</v>
      </c>
      <c r="B13" s="151"/>
      <c r="C13" s="170"/>
      <c r="D13" t="str" s="157" cm="1">
        <f t="array" ref="D13">IF(F13="","",F13-E13)</f>
      </c>
      <c r="E13" s="158"/>
      <c r="F13" t="str" s="159" cm="1">
        <f t="array" ref="F13">IF(I13="","",I13-H13)</f>
      </c>
      <c r="G13" s="160"/>
      <c r="H13" s="158"/>
      <c r="I13" t="str" s="159" cm="1">
        <f t="array" ref="I13">IF(P13="","",P13-K13)</f>
      </c>
      <c r="J13" s="160"/>
      <c r="K13" s="158"/>
      <c r="L13" s="161"/>
      <c r="M13" s="161"/>
      <c r="N13" s="161"/>
      <c r="O13" s="161"/>
      <c r="P13" t="str" s="159" cm="1">
        <f t="array" ref="P13">IF(AG13="","",AC13-R13-Q13)</f>
      </c>
      <c r="Q13" s="162"/>
      <c r="R13" s="162"/>
      <c r="S13" s="161"/>
      <c r="T13" s="161"/>
      <c r="U13" s="161"/>
      <c r="V13" s="161"/>
      <c r="W13" s="161"/>
      <c r="X13" s="161"/>
      <c r="Y13" s="161"/>
      <c r="Z13" s="161"/>
      <c r="AA13" s="161"/>
      <c r="AB13" s="160"/>
      <c r="AC13" s="163"/>
      <c r="AD13" t="str" s="159" cm="1">
        <f t="array" ref="AD13">IF(AG13="","",AG13-AF13)</f>
      </c>
      <c r="AE13" s="160"/>
      <c r="AF13" s="158"/>
      <c r="AG13" s="160"/>
      <c r="AH13" s="164"/>
      <c r="AI13" s="163"/>
      <c r="AJ13" s="161"/>
      <c r="AK13" s="161"/>
      <c r="AL13" s="160"/>
      <c r="AM13" s="165"/>
      <c r="AN13" s="166"/>
      <c r="AO13" s="10"/>
      <c r="AP13" s="12"/>
      <c r="AQ13" s="12"/>
      <c r="AR13" s="12"/>
      <c r="AS13" s="12"/>
      <c r="AT13" s="12"/>
      <c r="AU13" s="12"/>
      <c r="AV13" s="12"/>
      <c r="AW13" s="12"/>
      <c r="AX13" s="12"/>
      <c r="AY13" s="12"/>
      <c r="AZ13" s="12"/>
      <c r="BA13" s="12"/>
      <c r="BB13" s="12"/>
      <c r="BC13" s="12"/>
      <c r="BD13" s="12"/>
      <c r="BE13" s="60">
        <v>0.142857142857143</v>
      </c>
      <c r="BF13" s="60">
        <v>0.857142857142857</v>
      </c>
      <c r="BG13" s="12"/>
      <c r="BH13" s="12"/>
      <c r="BI13" s="12"/>
      <c r="BJ13" s="12"/>
      <c r="BK13" s="12"/>
      <c r="BL13" s="12"/>
      <c r="BM13" s="12"/>
    </row>
    <row r="14" ht="25.5" customHeight="1">
      <c r="A14" s="155" cm="1">
        <f t="array" ref="A14">A13+1</f>
        <v>3</v>
      </c>
      <c r="B14" s="151"/>
      <c r="C14" s="170"/>
      <c r="D14" t="str" s="157" cm="1">
        <f t="array" ref="D14">IF(F14="","",F14-E14)</f>
      </c>
      <c r="E14" s="158"/>
      <c r="F14" t="str" s="159" cm="1">
        <f t="array" ref="F14">IF(I14="","",I14-H14)</f>
      </c>
      <c r="G14" s="160"/>
      <c r="H14" s="158"/>
      <c r="I14" t="str" s="159" cm="1">
        <f t="array" ref="I14">IF(P14="","",P14-K14)</f>
      </c>
      <c r="J14" s="160"/>
      <c r="K14" s="158"/>
      <c r="L14" s="161"/>
      <c r="M14" s="161"/>
      <c r="N14" s="161"/>
      <c r="O14" s="161"/>
      <c r="P14" t="str" s="159" cm="1">
        <f t="array" ref="P14">IF(AG14="","",AC14-R14-Q14)</f>
      </c>
      <c r="Q14" s="162"/>
      <c r="R14" s="162"/>
      <c r="S14" s="161"/>
      <c r="T14" s="161"/>
      <c r="U14" s="161"/>
      <c r="V14" s="161"/>
      <c r="W14" s="161"/>
      <c r="X14" s="161"/>
      <c r="Y14" s="161"/>
      <c r="Z14" s="161"/>
      <c r="AA14" s="161"/>
      <c r="AB14" s="160"/>
      <c r="AC14" s="163"/>
      <c r="AD14" t="str" s="159" cm="1">
        <f t="array" ref="AD14">IF(AG14="","",AG14-AF14)</f>
      </c>
      <c r="AE14" s="160"/>
      <c r="AF14" s="158"/>
      <c r="AG14" s="160"/>
      <c r="AH14" s="164"/>
      <c r="AI14" s="163"/>
      <c r="AJ14" s="161"/>
      <c r="AK14" s="161"/>
      <c r="AL14" s="160"/>
      <c r="AM14" s="165"/>
      <c r="AN14" s="166"/>
      <c r="AO14" s="10"/>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row>
    <row r="15" ht="25.5" customHeight="1">
      <c r="A15" s="155" cm="1">
        <f t="array" ref="A15">A14+1</f>
        <v>4</v>
      </c>
      <c r="B15" s="151"/>
      <c r="C15" t="s" s="156">
        <v>64</v>
      </c>
      <c r="D15" t="str" s="157" cm="1">
        <f t="array" ref="D15">IF(F15="","",F15-E15)</f>
      </c>
      <c r="E15" s="158"/>
      <c r="F15" t="str" s="159" cm="1">
        <f t="array" ref="F15">IF(I15="","",I15-H15)</f>
      </c>
      <c r="G15" s="160"/>
      <c r="H15" s="158"/>
      <c r="I15" t="str" s="159" cm="1">
        <f t="array" ref="I15">IF(P15="","",P15-K15)</f>
      </c>
      <c r="J15" s="160"/>
      <c r="K15" s="158"/>
      <c r="L15" s="161"/>
      <c r="M15" s="161"/>
      <c r="N15" s="161"/>
      <c r="O15" s="161"/>
      <c r="P15" t="str" s="159" cm="1">
        <f t="array" ref="P15">IF(AG15="","",AC15-R15-Q15)</f>
      </c>
      <c r="Q15" s="162"/>
      <c r="R15" s="162"/>
      <c r="S15" s="161"/>
      <c r="T15" s="161"/>
      <c r="U15" s="161"/>
      <c r="V15" s="161"/>
      <c r="W15" s="161"/>
      <c r="X15" s="161"/>
      <c r="Y15" s="161"/>
      <c r="Z15" s="161"/>
      <c r="AA15" s="161"/>
      <c r="AB15" s="160"/>
      <c r="AC15" s="163"/>
      <c r="AD15" t="str" s="159" cm="1">
        <f t="array" ref="AD15">IF(AG15="","",AG15-AF15)</f>
      </c>
      <c r="AE15" s="160"/>
      <c r="AF15" s="158"/>
      <c r="AG15" s="160"/>
      <c r="AH15" s="164"/>
      <c r="AI15" s="163"/>
      <c r="AJ15" s="161"/>
      <c r="AK15" s="161"/>
      <c r="AL15" s="160"/>
      <c r="AM15" s="165"/>
      <c r="AN15" s="166"/>
      <c r="AO15" s="10"/>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row>
    <row r="16" ht="25.5" customHeight="1">
      <c r="A16" s="155" cm="1">
        <f t="array" ref="A16">A15+1</f>
        <v>5</v>
      </c>
      <c r="B16" t="s" s="167">
        <v>65</v>
      </c>
      <c r="C16" t="s" s="156">
        <v>66</v>
      </c>
      <c r="D16" s="165" cm="1">
        <f t="array" ref="D16">IF(F16="","",F16-E16)</f>
        <v>46279</v>
      </c>
      <c r="E16" s="158">
        <v>7</v>
      </c>
      <c r="F16" s="161" cm="1">
        <f t="array" ref="F16">IF(I16="","",I16-H16)</f>
        <v>46286</v>
      </c>
      <c r="G16" s="160">
        <v>46281</v>
      </c>
      <c r="H16" s="158">
        <v>7</v>
      </c>
      <c r="I16" s="161" cm="1">
        <f t="array" ref="I16">IF(P16="","",P16-K16)</f>
        <v>46293</v>
      </c>
      <c r="J16" s="160">
        <v>46282</v>
      </c>
      <c r="K16" s="158">
        <v>7</v>
      </c>
      <c r="L16" s="161">
        <v>46293</v>
      </c>
      <c r="M16" s="161"/>
      <c r="N16" s="161"/>
      <c r="O16" s="161"/>
      <c r="P16" s="161" cm="1">
        <f t="array" ref="P16">IF(AG16="","",AC16-R16-Q16)</f>
        <v>46300</v>
      </c>
      <c r="Q16" s="162">
        <v>7</v>
      </c>
      <c r="R16" s="162">
        <v>14</v>
      </c>
      <c r="S16" s="161"/>
      <c r="T16" s="161"/>
      <c r="U16" s="161"/>
      <c r="V16" s="161"/>
      <c r="W16" s="161"/>
      <c r="X16" s="161"/>
      <c r="Y16" s="161"/>
      <c r="Z16" s="161"/>
      <c r="AA16" s="161"/>
      <c r="AB16" s="160"/>
      <c r="AC16" s="163">
        <v>46321</v>
      </c>
      <c r="AD16" s="161" cm="1">
        <f t="array" ref="AD16">IF(AG16="","",AG16-AF16)</f>
        <v>46321</v>
      </c>
      <c r="AE16" s="160"/>
      <c r="AF16" s="158">
        <v>14</v>
      </c>
      <c r="AG16" s="160">
        <v>46335</v>
      </c>
      <c r="AH16" t="s" s="168">
        <v>67</v>
      </c>
      <c r="AI16" s="163"/>
      <c r="AJ16" s="161"/>
      <c r="AK16" s="161"/>
      <c r="AL16" s="160"/>
      <c r="AM16" s="165"/>
      <c r="AN16" s="166"/>
      <c r="AO16" s="10"/>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row>
    <row r="17" ht="25.5" customHeight="1">
      <c r="A17" s="155" cm="1">
        <f t="array" ref="A17">A16+1</f>
        <v>6</v>
      </c>
      <c r="B17" t="s" s="167">
        <v>68</v>
      </c>
      <c r="C17" t="s" s="156">
        <v>69</v>
      </c>
      <c r="D17" s="165" cm="1">
        <f t="array" ref="D17">IF(F17="","",F17-E17)</f>
        <v>46301</v>
      </c>
      <c r="E17" s="158">
        <v>7</v>
      </c>
      <c r="F17" s="161" cm="1">
        <f t="array" ref="F17">IF(I17="","",I17-H17)</f>
        <v>46308</v>
      </c>
      <c r="G17" s="160"/>
      <c r="H17" s="158">
        <v>7</v>
      </c>
      <c r="I17" s="161" cm="1">
        <f t="array" ref="I17">IF(P17="","",P17-K17)</f>
        <v>46315</v>
      </c>
      <c r="J17" s="160"/>
      <c r="K17" s="158">
        <v>7</v>
      </c>
      <c r="L17" s="161"/>
      <c r="M17" s="161"/>
      <c r="N17" s="161"/>
      <c r="O17" s="161"/>
      <c r="P17" s="161" cm="1">
        <f t="array" ref="P17">IF(AG17="","",AC17-R17-Q17)</f>
        <v>46322</v>
      </c>
      <c r="Q17" s="162">
        <v>7</v>
      </c>
      <c r="R17" s="162">
        <v>14</v>
      </c>
      <c r="S17" s="161"/>
      <c r="T17" s="161"/>
      <c r="U17" s="161"/>
      <c r="V17" s="161"/>
      <c r="W17" s="161"/>
      <c r="X17" s="161"/>
      <c r="Y17" s="161"/>
      <c r="Z17" s="161"/>
      <c r="AA17" s="161"/>
      <c r="AB17" s="160"/>
      <c r="AC17" s="163">
        <v>46343</v>
      </c>
      <c r="AD17" s="161" cm="1">
        <f t="array" ref="AD17">IF(AG17="","",AG17-AF17)</f>
        <v>46343</v>
      </c>
      <c r="AE17" s="160"/>
      <c r="AF17" s="158">
        <v>7</v>
      </c>
      <c r="AG17" s="160">
        <v>46350</v>
      </c>
      <c r="AH17" t="s" s="168">
        <v>67</v>
      </c>
      <c r="AI17" s="163"/>
      <c r="AJ17" s="161"/>
      <c r="AK17" s="161"/>
      <c r="AL17" s="160"/>
      <c r="AM17" s="165"/>
      <c r="AN17" s="166"/>
      <c r="AO17" s="10"/>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row>
    <row r="18" ht="25.5" customHeight="1">
      <c r="A18" s="155" cm="1">
        <f t="array" ref="A18">A17+1</f>
        <v>7</v>
      </c>
      <c r="B18" t="s" s="167">
        <v>70</v>
      </c>
      <c r="C18" t="s" s="156">
        <v>71</v>
      </c>
      <c r="D18" s="165" cm="1">
        <f t="array" ref="D18">IF(F18="","",F18-E18)</f>
        <v>46314</v>
      </c>
      <c r="E18" s="158">
        <v>7</v>
      </c>
      <c r="F18" s="161" cm="1">
        <f t="array" ref="F18">IF(I18="","",I18-H18)</f>
        <v>46321</v>
      </c>
      <c r="G18" s="160"/>
      <c r="H18" s="158">
        <v>7</v>
      </c>
      <c r="I18" s="161" cm="1">
        <f t="array" ref="I18">IF(P18="","",P18-K18)</f>
        <v>46328</v>
      </c>
      <c r="J18" s="160"/>
      <c r="K18" s="158">
        <v>7</v>
      </c>
      <c r="L18" s="161"/>
      <c r="M18" s="161"/>
      <c r="N18" s="161"/>
      <c r="O18" s="161"/>
      <c r="P18" s="161" cm="1">
        <f t="array" ref="P18">IF(AG18="","",AC18-R18-Q18)</f>
        <v>46335</v>
      </c>
      <c r="Q18" s="162">
        <v>7</v>
      </c>
      <c r="R18" s="162">
        <v>14</v>
      </c>
      <c r="S18" s="161"/>
      <c r="T18" s="161"/>
      <c r="U18" s="161"/>
      <c r="V18" s="161"/>
      <c r="W18" s="161"/>
      <c r="X18" s="161"/>
      <c r="Y18" s="161"/>
      <c r="Z18" s="161"/>
      <c r="AA18" s="161"/>
      <c r="AB18" s="160"/>
      <c r="AC18" s="163">
        <v>46356</v>
      </c>
      <c r="AD18" s="161" cm="1">
        <f t="array" ref="AD18">IF(AG18="","",AG18-AF18)</f>
        <v>46356</v>
      </c>
      <c r="AE18" s="160"/>
      <c r="AF18" s="158">
        <v>7</v>
      </c>
      <c r="AG18" s="160">
        <v>46363</v>
      </c>
      <c r="AH18" t="s" s="168">
        <v>67</v>
      </c>
      <c r="AI18" s="163"/>
      <c r="AJ18" s="161"/>
      <c r="AK18" s="161"/>
      <c r="AL18" s="160"/>
      <c r="AM18" s="165"/>
      <c r="AN18" s="166"/>
      <c r="AO18" s="10"/>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row>
    <row r="19" ht="25.5" customHeight="1">
      <c r="A19" s="155" cm="1">
        <f t="array" ref="A19">A18+1</f>
        <v>8</v>
      </c>
      <c r="B19" t="s" s="167">
        <v>72</v>
      </c>
      <c r="C19" t="s" s="156">
        <v>73</v>
      </c>
      <c r="D19" s="165" cm="1">
        <f t="array" ref="D19">IF(F19="","",F19-E19)</f>
        <v>46293</v>
      </c>
      <c r="E19" s="158">
        <v>7</v>
      </c>
      <c r="F19" s="161" cm="1">
        <f t="array" ref="F19">IF(I19="","",I19-H19)</f>
        <v>46300</v>
      </c>
      <c r="G19" s="160"/>
      <c r="H19" s="158">
        <v>7</v>
      </c>
      <c r="I19" s="161" cm="1">
        <f t="array" ref="I19">IF(P19="","",P19-K19)</f>
        <v>46307</v>
      </c>
      <c r="J19" s="160"/>
      <c r="K19" s="158">
        <v>7</v>
      </c>
      <c r="L19" s="161"/>
      <c r="M19" s="161"/>
      <c r="N19" s="161"/>
      <c r="O19" s="161"/>
      <c r="P19" s="161" cm="1">
        <f t="array" ref="P19">IF(AG19="","",AC19-R19-Q19)</f>
        <v>46314</v>
      </c>
      <c r="Q19" s="162">
        <v>7</v>
      </c>
      <c r="R19" s="162">
        <v>7</v>
      </c>
      <c r="S19" s="161"/>
      <c r="T19" s="161"/>
      <c r="U19" s="161"/>
      <c r="V19" s="161"/>
      <c r="W19" s="161"/>
      <c r="X19" s="161"/>
      <c r="Y19" s="161"/>
      <c r="Z19" s="161"/>
      <c r="AA19" s="161"/>
      <c r="AB19" s="160"/>
      <c r="AC19" s="163">
        <v>46328</v>
      </c>
      <c r="AD19" s="161" cm="1">
        <f t="array" ref="AD19">IF(AG19="","",AG19-AF19)</f>
        <v>46328</v>
      </c>
      <c r="AE19" s="160"/>
      <c r="AF19" s="158">
        <v>7</v>
      </c>
      <c r="AG19" s="160">
        <v>46335</v>
      </c>
      <c r="AH19" t="s" s="168">
        <v>67</v>
      </c>
      <c r="AI19" s="163"/>
      <c r="AJ19" s="161"/>
      <c r="AK19" s="161"/>
      <c r="AL19" s="160"/>
      <c r="AM19" s="165"/>
      <c r="AN19" t="s" s="169">
        <v>74</v>
      </c>
      <c r="AO19" s="10"/>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row>
    <row r="20" ht="25.5" customHeight="1">
      <c r="A20" s="155" cm="1">
        <f t="array" ref="A20">A19+1</f>
        <v>9</v>
      </c>
      <c r="B20" t="s" s="167">
        <v>75</v>
      </c>
      <c r="C20" t="s" s="156">
        <v>76</v>
      </c>
      <c r="D20" s="165" cm="1">
        <f t="array" ref="D20">IF(F20="","",F20-E20)</f>
        <v>46318</v>
      </c>
      <c r="E20" s="158">
        <v>7</v>
      </c>
      <c r="F20" s="161" cm="1">
        <f t="array" ref="F20">IF(I20="","",I20-H20)</f>
        <v>46325</v>
      </c>
      <c r="G20" s="160"/>
      <c r="H20" s="158">
        <v>7</v>
      </c>
      <c r="I20" s="161" cm="1">
        <f t="array" ref="I20">IF(P20="","",P20-K20)</f>
        <v>46332</v>
      </c>
      <c r="J20" s="160"/>
      <c r="K20" s="158">
        <v>7</v>
      </c>
      <c r="L20" s="161"/>
      <c r="M20" s="161"/>
      <c r="N20" s="161"/>
      <c r="O20" s="161"/>
      <c r="P20" s="161" cm="1">
        <f t="array" ref="P20">IF(AG20="","",AC20-R20-Q20)</f>
        <v>46339</v>
      </c>
      <c r="Q20" s="162">
        <v>7</v>
      </c>
      <c r="R20" s="162">
        <v>14</v>
      </c>
      <c r="S20" s="161"/>
      <c r="T20" s="161"/>
      <c r="U20" s="161"/>
      <c r="V20" s="161"/>
      <c r="W20" s="161"/>
      <c r="X20" s="161"/>
      <c r="Y20" s="161"/>
      <c r="Z20" s="161"/>
      <c r="AA20" s="161"/>
      <c r="AB20" s="160"/>
      <c r="AC20" s="163">
        <v>46360</v>
      </c>
      <c r="AD20" s="161" cm="1">
        <f t="array" ref="AD20">IF(AG20="","",AG20-AF20)</f>
        <v>46360</v>
      </c>
      <c r="AE20" s="160"/>
      <c r="AF20" s="158">
        <v>60</v>
      </c>
      <c r="AG20" s="160">
        <v>46420</v>
      </c>
      <c r="AH20" t="s" s="168">
        <v>67</v>
      </c>
      <c r="AI20" s="163"/>
      <c r="AJ20" s="161"/>
      <c r="AK20" s="161"/>
      <c r="AL20" s="160"/>
      <c r="AM20" s="165"/>
      <c r="AN20" t="s" s="169">
        <v>77</v>
      </c>
      <c r="AO20" s="10"/>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row>
    <row r="21" ht="25.5" customHeight="1">
      <c r="A21" s="155" cm="1">
        <f t="array" ref="A21">A20+1</f>
        <v>10</v>
      </c>
      <c r="B21" s="151"/>
      <c r="C21" s="170"/>
      <c r="D21" t="str" s="157" cm="1">
        <f t="array" ref="D21">IF(F21="","",F21-E21)</f>
      </c>
      <c r="E21" s="158"/>
      <c r="F21" t="str" s="159" cm="1">
        <f t="array" ref="F21">IF(I21="","",I21-H21)</f>
      </c>
      <c r="G21" s="160"/>
      <c r="H21" s="158"/>
      <c r="I21" t="str" s="159" cm="1">
        <f t="array" ref="I21">IF(P21="","",P21-K21)</f>
      </c>
      <c r="J21" s="160"/>
      <c r="K21" s="158"/>
      <c r="L21" s="161"/>
      <c r="M21" s="161"/>
      <c r="N21" s="161"/>
      <c r="O21" s="161"/>
      <c r="P21" t="str" s="159" cm="1">
        <f t="array" ref="P21">IF(AG21="","",AC21-R21-Q21)</f>
      </c>
      <c r="Q21" s="162"/>
      <c r="R21" s="162"/>
      <c r="S21" s="161"/>
      <c r="T21" s="161"/>
      <c r="U21" s="161"/>
      <c r="V21" s="161"/>
      <c r="W21" s="161"/>
      <c r="X21" s="161"/>
      <c r="Y21" s="161"/>
      <c r="Z21" s="161"/>
      <c r="AA21" s="161"/>
      <c r="AB21" s="160"/>
      <c r="AC21" s="163"/>
      <c r="AD21" t="str" s="159" cm="1">
        <f t="array" ref="AD21">IF(AG21="","",AG21-AF21)</f>
      </c>
      <c r="AE21" s="160"/>
      <c r="AF21" s="158"/>
      <c r="AG21" s="160"/>
      <c r="AH21" s="164"/>
      <c r="AI21" s="163"/>
      <c r="AJ21" s="161"/>
      <c r="AK21" s="161"/>
      <c r="AL21" s="160"/>
      <c r="AM21" s="165"/>
      <c r="AN21" s="166"/>
      <c r="AO21" s="10"/>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row>
    <row r="22" ht="25.5" customHeight="1">
      <c r="A22" s="155" cm="1">
        <f t="array" ref="A22">A21+1</f>
        <v>11</v>
      </c>
      <c r="B22" s="151"/>
      <c r="C22" s="170"/>
      <c r="D22" t="str" s="157" cm="1">
        <f t="array" ref="D22">IF(F22="","",F22-E22)</f>
      </c>
      <c r="E22" s="158"/>
      <c r="F22" t="str" s="159" cm="1">
        <f t="array" ref="F22">IF(I22="","",I22-H22)</f>
      </c>
      <c r="G22" s="160"/>
      <c r="H22" s="158"/>
      <c r="I22" t="str" s="159" cm="1">
        <f t="array" ref="I22">IF(P22="","",P22-K22)</f>
      </c>
      <c r="J22" s="160"/>
      <c r="K22" s="158"/>
      <c r="L22" s="161"/>
      <c r="M22" s="161"/>
      <c r="N22" s="161"/>
      <c r="O22" s="161"/>
      <c r="P22" t="str" s="159" cm="1">
        <f t="array" ref="P22">IF(AG22="","",AC22-R22-Q22)</f>
      </c>
      <c r="Q22" s="162"/>
      <c r="R22" s="162"/>
      <c r="S22" s="161"/>
      <c r="T22" s="161"/>
      <c r="U22" s="161"/>
      <c r="V22" s="161"/>
      <c r="W22" s="161"/>
      <c r="X22" s="161"/>
      <c r="Y22" s="161"/>
      <c r="Z22" s="161"/>
      <c r="AA22" s="161"/>
      <c r="AB22" s="160"/>
      <c r="AC22" s="163"/>
      <c r="AD22" t="str" s="159" cm="1">
        <f t="array" ref="AD22">IF(AG22="","",AG22-AF22)</f>
      </c>
      <c r="AE22" s="160"/>
      <c r="AF22" s="158"/>
      <c r="AG22" s="160"/>
      <c r="AH22" s="164"/>
      <c r="AI22" s="163"/>
      <c r="AJ22" s="161"/>
      <c r="AK22" s="161"/>
      <c r="AL22" s="160"/>
      <c r="AM22" s="165"/>
      <c r="AN22" s="166"/>
      <c r="AO22" s="10"/>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row>
    <row r="23" ht="25.5" customHeight="1">
      <c r="A23" s="155" cm="1">
        <f t="array" ref="A23">A21+1</f>
        <v>11</v>
      </c>
      <c r="B23" s="151"/>
      <c r="C23" s="170"/>
      <c r="D23" t="str" s="157" cm="1">
        <f t="array" ref="D23">IF(F23="","",F23-E23)</f>
      </c>
      <c r="E23" s="158"/>
      <c r="F23" t="str" s="159" cm="1">
        <f t="array" ref="F23">IF(I23="","",I23-H23)</f>
      </c>
      <c r="G23" s="160"/>
      <c r="H23" s="158"/>
      <c r="I23" t="str" s="159" cm="1">
        <f t="array" ref="I23">IF(P23="","",P23-K23)</f>
      </c>
      <c r="J23" s="160"/>
      <c r="K23" s="158"/>
      <c r="L23" s="161"/>
      <c r="M23" s="161"/>
      <c r="N23" s="161"/>
      <c r="O23" s="161"/>
      <c r="P23" t="str" s="159" cm="1">
        <f t="array" ref="P23">IF(AG23="","",AC23-R23-Q23)</f>
      </c>
      <c r="Q23" s="162"/>
      <c r="R23" s="162"/>
      <c r="S23" s="161"/>
      <c r="T23" s="161"/>
      <c r="U23" s="161"/>
      <c r="V23" s="161"/>
      <c r="W23" s="161"/>
      <c r="X23" s="161"/>
      <c r="Y23" s="161"/>
      <c r="Z23" s="161"/>
      <c r="AA23" s="161"/>
      <c r="AB23" s="160"/>
      <c r="AC23" s="163"/>
      <c r="AD23" t="str" s="159" cm="1">
        <f t="array" ref="AD23">IF(AG23="","",AG23-AF23)</f>
      </c>
      <c r="AE23" s="160"/>
      <c r="AF23" s="158"/>
      <c r="AG23" s="160"/>
      <c r="AH23" s="164"/>
      <c r="AI23" s="163"/>
      <c r="AJ23" s="161"/>
      <c r="AK23" s="161"/>
      <c r="AL23" s="160"/>
      <c r="AM23" s="165"/>
      <c r="AN23" s="166"/>
      <c r="AO23" s="10"/>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row>
    <row r="24" ht="25.5" customHeight="1">
      <c r="A24" s="155" cm="1">
        <f t="array" ref="A24">A23+1</f>
        <v>12</v>
      </c>
      <c r="B24" s="151"/>
      <c r="C24" s="170"/>
      <c r="D24" t="str" s="157" cm="1">
        <f t="array" ref="D24">IF(F24="","",F24-E24)</f>
      </c>
      <c r="E24" s="158"/>
      <c r="F24" t="str" s="159" cm="1">
        <f t="array" ref="F24">IF(I24="","",I24-H24)</f>
      </c>
      <c r="G24" s="160"/>
      <c r="H24" s="158"/>
      <c r="I24" t="str" s="159" cm="1">
        <f t="array" ref="I24">IF(P24="","",P24-K24)</f>
      </c>
      <c r="J24" s="160"/>
      <c r="K24" s="158"/>
      <c r="L24" s="161"/>
      <c r="M24" s="161"/>
      <c r="N24" s="161"/>
      <c r="O24" s="161"/>
      <c r="P24" t="str" s="159" cm="1">
        <f t="array" ref="P24">IF(AG24="","",AC24-R24-Q24)</f>
      </c>
      <c r="Q24" s="162"/>
      <c r="R24" s="162"/>
      <c r="S24" s="161"/>
      <c r="T24" s="161"/>
      <c r="U24" s="161"/>
      <c r="V24" s="161"/>
      <c r="W24" s="161"/>
      <c r="X24" s="161"/>
      <c r="Y24" s="161"/>
      <c r="Z24" s="161"/>
      <c r="AA24" s="161"/>
      <c r="AB24" s="160"/>
      <c r="AC24" s="163"/>
      <c r="AD24" t="str" s="159" cm="1">
        <f t="array" ref="AD24">IF(AG24="","",AG24-AF24)</f>
      </c>
      <c r="AE24" s="160"/>
      <c r="AF24" s="158"/>
      <c r="AG24" s="160"/>
      <c r="AH24" s="164"/>
      <c r="AI24" s="163"/>
      <c r="AJ24" s="161"/>
      <c r="AK24" s="161"/>
      <c r="AL24" s="160"/>
      <c r="AM24" s="165"/>
      <c r="AN24" s="166"/>
      <c r="AO24" s="10"/>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row>
    <row r="25" ht="25.5" customHeight="1">
      <c r="A25" s="155" cm="1">
        <f t="array" ref="A25">A24+1</f>
        <v>13</v>
      </c>
      <c r="B25" s="151"/>
      <c r="C25" s="170"/>
      <c r="D25" t="str" s="157" cm="1">
        <f t="array" ref="D25">IF(F25="","",F25-E25)</f>
      </c>
      <c r="E25" s="158"/>
      <c r="F25" t="str" s="159" cm="1">
        <f t="array" ref="F25">IF(I25="","",I25-H25)</f>
      </c>
      <c r="G25" s="160"/>
      <c r="H25" s="158"/>
      <c r="I25" t="str" s="159" cm="1">
        <f t="array" ref="I25">IF(P25="","",P25-K25)</f>
      </c>
      <c r="J25" s="160"/>
      <c r="K25" s="158"/>
      <c r="L25" s="161"/>
      <c r="M25" s="161"/>
      <c r="N25" s="161"/>
      <c r="O25" s="161"/>
      <c r="P25" t="str" s="159" cm="1">
        <f t="array" ref="P25">IF(AG25="","",AC25-R25-Q25)</f>
      </c>
      <c r="Q25" s="162"/>
      <c r="R25" s="162"/>
      <c r="S25" s="161"/>
      <c r="T25" s="161"/>
      <c r="U25" s="161"/>
      <c r="V25" s="161"/>
      <c r="W25" s="161"/>
      <c r="X25" s="161"/>
      <c r="Y25" s="161"/>
      <c r="Z25" s="161"/>
      <c r="AA25" s="161"/>
      <c r="AB25" s="160"/>
      <c r="AC25" s="163"/>
      <c r="AD25" t="str" s="159" cm="1">
        <f t="array" ref="AD25">IF(AG25="","",AG25-AF25)</f>
      </c>
      <c r="AE25" s="160"/>
      <c r="AF25" s="158"/>
      <c r="AG25" s="160"/>
      <c r="AH25" s="164"/>
      <c r="AI25" s="163"/>
      <c r="AJ25" s="161"/>
      <c r="AK25" s="161"/>
      <c r="AL25" s="160"/>
      <c r="AM25" s="165"/>
      <c r="AN25" s="166"/>
      <c r="AO25" s="10"/>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row>
    <row r="26" ht="25.5" customHeight="1">
      <c r="A26" s="155" cm="1">
        <f t="array" ref="A26">A25+1</f>
        <v>14</v>
      </c>
      <c r="B26" s="151"/>
      <c r="C26" s="170"/>
      <c r="D26" t="str" s="157" cm="1">
        <f t="array" ref="D26">IF(F26="","",F26-E26)</f>
      </c>
      <c r="E26" s="158"/>
      <c r="F26" t="str" s="159" cm="1">
        <f t="array" ref="F26">IF(I26="","",I26-H26)</f>
      </c>
      <c r="G26" s="160"/>
      <c r="H26" s="158"/>
      <c r="I26" t="str" s="159" cm="1">
        <f t="array" ref="I26">IF(P26="","",P26-K26)</f>
      </c>
      <c r="J26" s="160"/>
      <c r="K26" s="158"/>
      <c r="L26" s="161"/>
      <c r="M26" s="161"/>
      <c r="N26" s="161"/>
      <c r="O26" s="161"/>
      <c r="P26" t="str" s="159" cm="1">
        <f t="array" ref="P26">IF(AG26="","",AC26-R26-Q26)</f>
      </c>
      <c r="Q26" s="162"/>
      <c r="R26" s="162"/>
      <c r="S26" s="161"/>
      <c r="T26" s="161"/>
      <c r="U26" s="161"/>
      <c r="V26" s="161"/>
      <c r="W26" s="161"/>
      <c r="X26" s="161"/>
      <c r="Y26" s="161"/>
      <c r="Z26" s="161"/>
      <c r="AA26" s="161"/>
      <c r="AB26" s="160"/>
      <c r="AC26" s="163"/>
      <c r="AD26" t="str" s="159" cm="1">
        <f t="array" ref="AD26">IF(AG26="","",AG26-AF26)</f>
      </c>
      <c r="AE26" s="160"/>
      <c r="AF26" s="158"/>
      <c r="AG26" s="160"/>
      <c r="AH26" s="164"/>
      <c r="AI26" s="163"/>
      <c r="AJ26" s="161"/>
      <c r="AK26" s="161"/>
      <c r="AL26" s="160"/>
      <c r="AM26" s="165"/>
      <c r="AN26" s="166"/>
      <c r="AO26" s="10"/>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row>
    <row r="27" ht="25.5" customHeight="1">
      <c r="A27" s="155" cm="1">
        <f t="array" ref="A27">A26+1</f>
        <v>15</v>
      </c>
      <c r="B27" s="151"/>
      <c r="C27" s="170"/>
      <c r="D27" t="str" s="157" cm="1">
        <f t="array" ref="D27">IF(F27="","",F27-E27)</f>
      </c>
      <c r="E27" s="158"/>
      <c r="F27" t="str" s="159" cm="1">
        <f t="array" ref="F27">IF(I27="","",I27-H27)</f>
      </c>
      <c r="G27" s="160"/>
      <c r="H27" s="158"/>
      <c r="I27" t="str" s="159" cm="1">
        <f t="array" ref="I27">IF(P27="","",P27-K27)</f>
      </c>
      <c r="J27" s="160"/>
      <c r="K27" s="158"/>
      <c r="L27" s="161"/>
      <c r="M27" s="161"/>
      <c r="N27" s="161"/>
      <c r="O27" s="161"/>
      <c r="P27" t="str" s="159" cm="1">
        <f t="array" ref="P27">IF(AG27="","",AC27-R27-Q27)</f>
      </c>
      <c r="Q27" s="162"/>
      <c r="R27" s="162"/>
      <c r="S27" s="161"/>
      <c r="T27" s="161"/>
      <c r="U27" s="161"/>
      <c r="V27" s="161"/>
      <c r="W27" s="161"/>
      <c r="X27" s="161"/>
      <c r="Y27" s="161"/>
      <c r="Z27" s="161"/>
      <c r="AA27" s="161"/>
      <c r="AB27" s="160"/>
      <c r="AC27" s="163"/>
      <c r="AD27" t="str" s="159" cm="1">
        <f t="array" ref="AD27">IF(AG27="","",AG27-AF27)</f>
      </c>
      <c r="AE27" s="160"/>
      <c r="AF27" s="158"/>
      <c r="AG27" s="160"/>
      <c r="AH27" s="164"/>
      <c r="AI27" s="163"/>
      <c r="AJ27" s="161"/>
      <c r="AK27" s="161"/>
      <c r="AL27" s="160"/>
      <c r="AM27" s="165"/>
      <c r="AN27" s="166"/>
      <c r="AO27" s="10"/>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row>
    <row r="28" ht="25.5" customHeight="1">
      <c r="A28" s="155" cm="1">
        <f t="array" ref="A28">A27+1</f>
        <v>16</v>
      </c>
      <c r="B28" s="151"/>
      <c r="C28" s="170"/>
      <c r="D28" t="str" s="157" cm="1">
        <f t="array" ref="D28">IF(F28="","",F28-E28)</f>
      </c>
      <c r="E28" s="158"/>
      <c r="F28" t="str" s="159" cm="1">
        <f t="array" ref="F28">IF(I28="","",I28-H28)</f>
      </c>
      <c r="G28" s="160"/>
      <c r="H28" s="158"/>
      <c r="I28" t="str" s="159" cm="1">
        <f t="array" ref="I28">IF(P28="","",P28-K28)</f>
      </c>
      <c r="J28" s="160"/>
      <c r="K28" s="158"/>
      <c r="L28" s="161"/>
      <c r="M28" s="161"/>
      <c r="N28" s="161"/>
      <c r="O28" s="161"/>
      <c r="P28" t="str" s="159" cm="1">
        <f t="array" ref="P28">IF(AG28="","",AC28-R28-Q28)</f>
      </c>
      <c r="Q28" s="162"/>
      <c r="R28" s="162"/>
      <c r="S28" s="161"/>
      <c r="T28" s="161"/>
      <c r="U28" s="161"/>
      <c r="V28" s="161"/>
      <c r="W28" s="161"/>
      <c r="X28" s="161"/>
      <c r="Y28" s="161"/>
      <c r="Z28" s="161"/>
      <c r="AA28" s="161"/>
      <c r="AB28" s="160"/>
      <c r="AC28" s="163"/>
      <c r="AD28" t="str" s="159" cm="1">
        <f t="array" ref="AD28">IF(AG28="","",AG28-AF28)</f>
      </c>
      <c r="AE28" s="160"/>
      <c r="AF28" s="158"/>
      <c r="AG28" s="160"/>
      <c r="AH28" s="164"/>
      <c r="AI28" s="163"/>
      <c r="AJ28" s="161"/>
      <c r="AK28" s="161"/>
      <c r="AL28" s="160"/>
      <c r="AM28" s="165"/>
      <c r="AN28" s="166"/>
      <c r="AO28" s="10"/>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row>
    <row r="29" ht="25.5" customHeight="1">
      <c r="A29" s="155" cm="1">
        <f t="array" ref="A29">A28+1</f>
        <v>17</v>
      </c>
      <c r="B29" s="151"/>
      <c r="C29" s="170"/>
      <c r="D29" t="str" s="157" cm="1">
        <f t="array" ref="D29">IF(F29="","",F29-E29)</f>
      </c>
      <c r="E29" s="158"/>
      <c r="F29" t="str" s="159" cm="1">
        <f t="array" ref="F29">IF(I29="","",I29-H29)</f>
      </c>
      <c r="G29" s="160"/>
      <c r="H29" s="158"/>
      <c r="I29" t="str" s="159" cm="1">
        <f t="array" ref="I29">IF(P29="","",P29-K29)</f>
      </c>
      <c r="J29" s="160"/>
      <c r="K29" s="158"/>
      <c r="L29" s="161"/>
      <c r="M29" s="161"/>
      <c r="N29" s="161"/>
      <c r="O29" s="161"/>
      <c r="P29" t="str" s="159" cm="1">
        <f t="array" ref="P29">IF(AG29="","",AC29-R29-Q29)</f>
      </c>
      <c r="Q29" s="162"/>
      <c r="R29" s="162"/>
      <c r="S29" s="161"/>
      <c r="T29" s="161"/>
      <c r="U29" s="161"/>
      <c r="V29" s="161"/>
      <c r="W29" s="161"/>
      <c r="X29" s="161"/>
      <c r="Y29" s="161"/>
      <c r="Z29" s="161"/>
      <c r="AA29" s="161"/>
      <c r="AB29" s="160"/>
      <c r="AC29" s="163"/>
      <c r="AD29" t="str" s="159" cm="1">
        <f t="array" ref="AD29">IF(AG29="","",AG29-AF29)</f>
      </c>
      <c r="AE29" s="160"/>
      <c r="AF29" s="158"/>
      <c r="AG29" s="160"/>
      <c r="AH29" s="164"/>
      <c r="AI29" s="163"/>
      <c r="AJ29" s="161"/>
      <c r="AK29" s="161"/>
      <c r="AL29" s="160"/>
      <c r="AM29" s="165"/>
      <c r="AN29" s="166"/>
      <c r="AO29" s="10"/>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row>
    <row r="30" ht="25.5" customHeight="1">
      <c r="A30" s="155" cm="1">
        <f t="array" ref="A30">A29+1</f>
        <v>18</v>
      </c>
      <c r="B30" s="151"/>
      <c r="C30" s="170"/>
      <c r="D30" t="str" s="157" cm="1">
        <f t="array" ref="D30">IF(F30="","",F30-E30)</f>
      </c>
      <c r="E30" s="158"/>
      <c r="F30" t="str" s="159" cm="1">
        <f t="array" ref="F30">IF(I30="","",I30-H30)</f>
      </c>
      <c r="G30" s="160"/>
      <c r="H30" s="158"/>
      <c r="I30" t="str" s="159" cm="1">
        <f t="array" ref="I30">IF(P30="","",P30-K30)</f>
      </c>
      <c r="J30" s="160"/>
      <c r="K30" s="158"/>
      <c r="L30" s="161"/>
      <c r="M30" s="161"/>
      <c r="N30" s="161"/>
      <c r="O30" s="161"/>
      <c r="P30" t="str" s="159" cm="1">
        <f t="array" ref="P30">IF(AG30="","",AC30-R30-Q30)</f>
      </c>
      <c r="Q30" s="162"/>
      <c r="R30" s="162"/>
      <c r="S30" s="161"/>
      <c r="T30" s="161"/>
      <c r="U30" s="161"/>
      <c r="V30" s="161"/>
      <c r="W30" s="161"/>
      <c r="X30" s="161"/>
      <c r="Y30" s="161"/>
      <c r="Z30" s="161"/>
      <c r="AA30" s="161"/>
      <c r="AB30" s="160"/>
      <c r="AC30" s="163"/>
      <c r="AD30" t="str" s="159" cm="1">
        <f t="array" ref="AD30">IF(AG30="","",AG30-AF30)</f>
      </c>
      <c r="AE30" s="160"/>
      <c r="AF30" s="158"/>
      <c r="AG30" s="160"/>
      <c r="AH30" s="164"/>
      <c r="AI30" s="163"/>
      <c r="AJ30" s="161"/>
      <c r="AK30" s="161"/>
      <c r="AL30" s="160"/>
      <c r="AM30" s="165"/>
      <c r="AN30" s="166"/>
      <c r="AO30" s="10"/>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row>
    <row r="31" ht="25.5" customHeight="1">
      <c r="A31" s="155" cm="1">
        <f t="array" ref="A31">A30+1</f>
        <v>19</v>
      </c>
      <c r="B31" s="151"/>
      <c r="C31" s="170"/>
      <c r="D31" t="str" s="157" cm="1">
        <f t="array" ref="D31">IF(F31="","",F31-E31)</f>
      </c>
      <c r="E31" s="158"/>
      <c r="F31" t="str" s="159" cm="1">
        <f t="array" ref="F31">IF(I31="","",I31-H31)</f>
      </c>
      <c r="G31" s="160"/>
      <c r="H31" s="158"/>
      <c r="I31" t="str" s="159" cm="1">
        <f t="array" ref="I31">IF(P31="","",P31-K31)</f>
      </c>
      <c r="J31" s="160"/>
      <c r="K31" s="158"/>
      <c r="L31" s="161"/>
      <c r="M31" s="161"/>
      <c r="N31" s="161"/>
      <c r="O31" s="161"/>
      <c r="P31" t="str" s="159" cm="1">
        <f t="array" ref="P31">IF(AG31="","",AC31-R31-Q31)</f>
      </c>
      <c r="Q31" s="162"/>
      <c r="R31" s="162"/>
      <c r="S31" s="161"/>
      <c r="T31" s="161"/>
      <c r="U31" s="161"/>
      <c r="V31" s="161"/>
      <c r="W31" s="161"/>
      <c r="X31" s="161"/>
      <c r="Y31" s="161"/>
      <c r="Z31" s="161"/>
      <c r="AA31" s="161"/>
      <c r="AB31" s="160"/>
      <c r="AC31" s="163"/>
      <c r="AD31" t="str" s="159" cm="1">
        <f t="array" ref="AD31">IF(AG31="","",AG31-AF31)</f>
      </c>
      <c r="AE31" s="160"/>
      <c r="AF31" s="158"/>
      <c r="AG31" s="160"/>
      <c r="AH31" s="164"/>
      <c r="AI31" s="163"/>
      <c r="AJ31" s="161"/>
      <c r="AK31" s="161"/>
      <c r="AL31" s="160"/>
      <c r="AM31" s="165"/>
      <c r="AN31" s="166"/>
      <c r="AO31" s="10"/>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row>
    <row r="32" ht="25.5" customHeight="1">
      <c r="A32" s="155" cm="1">
        <f t="array" ref="A32">A31+1</f>
        <v>20</v>
      </c>
      <c r="B32" s="151"/>
      <c r="C32" s="170"/>
      <c r="D32" t="str" s="157" cm="1">
        <f t="array" ref="D32">IF(F32="","",F32-E32)</f>
      </c>
      <c r="E32" s="158"/>
      <c r="F32" t="str" s="159" cm="1">
        <f t="array" ref="F32">IF(I32="","",I32-H32)</f>
      </c>
      <c r="G32" s="160"/>
      <c r="H32" s="158"/>
      <c r="I32" t="str" s="159" cm="1">
        <f t="array" ref="I32">IF(P32="","",P32-K32)</f>
      </c>
      <c r="J32" s="160"/>
      <c r="K32" s="158"/>
      <c r="L32" s="161"/>
      <c r="M32" s="161"/>
      <c r="N32" s="161"/>
      <c r="O32" s="161"/>
      <c r="P32" t="str" s="159" cm="1">
        <f t="array" ref="P32">IF(AG32="","",AC32-R32-Q32)</f>
      </c>
      <c r="Q32" s="162"/>
      <c r="R32" s="162"/>
      <c r="S32" s="161"/>
      <c r="T32" s="161"/>
      <c r="U32" s="161"/>
      <c r="V32" s="161"/>
      <c r="W32" s="161"/>
      <c r="X32" s="161"/>
      <c r="Y32" s="161"/>
      <c r="Z32" s="161"/>
      <c r="AA32" s="161"/>
      <c r="AB32" s="160"/>
      <c r="AC32" s="163"/>
      <c r="AD32" t="str" s="159" cm="1">
        <f t="array" ref="AD32">IF(AG32="","",AG32-AF32)</f>
      </c>
      <c r="AE32" s="160"/>
      <c r="AF32" s="158"/>
      <c r="AG32" s="160"/>
      <c r="AH32" s="164"/>
      <c r="AI32" s="163"/>
      <c r="AJ32" s="161"/>
      <c r="AK32" s="161"/>
      <c r="AL32" s="160"/>
      <c r="AM32" s="165"/>
      <c r="AN32" s="166"/>
      <c r="AO32" s="10"/>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row>
    <row r="33" ht="25.5" customHeight="1">
      <c r="A33" s="155" cm="1">
        <f t="array" ref="A33">A32+1</f>
        <v>21</v>
      </c>
      <c r="B33" s="151"/>
      <c r="C33" s="170"/>
      <c r="D33" t="str" s="157" cm="1">
        <f t="array" ref="D33">IF(F33="","",F33-E33)</f>
      </c>
      <c r="E33" s="158"/>
      <c r="F33" t="str" s="159" cm="1">
        <f t="array" ref="F33">IF(I33="","",I33-H33)</f>
      </c>
      <c r="G33" s="160"/>
      <c r="H33" s="158"/>
      <c r="I33" t="str" s="159" cm="1">
        <f t="array" ref="I33">IF(P33="","",P33-K33)</f>
      </c>
      <c r="J33" s="160"/>
      <c r="K33" s="158"/>
      <c r="L33" s="161"/>
      <c r="M33" s="161"/>
      <c r="N33" s="161"/>
      <c r="O33" s="161"/>
      <c r="P33" t="str" s="159" cm="1">
        <f t="array" ref="P33">IF(AG33="","",AC33-R33-Q33)</f>
      </c>
      <c r="Q33" s="162"/>
      <c r="R33" s="162"/>
      <c r="S33" s="161"/>
      <c r="T33" s="161"/>
      <c r="U33" s="161"/>
      <c r="V33" s="161"/>
      <c r="W33" s="161"/>
      <c r="X33" s="161"/>
      <c r="Y33" s="161"/>
      <c r="Z33" s="161"/>
      <c r="AA33" s="161"/>
      <c r="AB33" s="160"/>
      <c r="AC33" s="163"/>
      <c r="AD33" t="str" s="159" cm="1">
        <f t="array" ref="AD33">IF(AG33="","",AG33-AF33)</f>
      </c>
      <c r="AE33" s="160"/>
      <c r="AF33" s="158"/>
      <c r="AG33" s="160"/>
      <c r="AH33" s="164"/>
      <c r="AI33" s="163"/>
      <c r="AJ33" s="161"/>
      <c r="AK33" s="161"/>
      <c r="AL33" s="160"/>
      <c r="AM33" s="165"/>
      <c r="AN33" s="166"/>
      <c r="AO33" s="10"/>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row>
    <row r="34" ht="25.5" customHeight="1">
      <c r="A34" s="155" cm="1">
        <f t="array" ref="A34">A33+1</f>
        <v>22</v>
      </c>
      <c r="B34" s="151"/>
      <c r="C34" s="170"/>
      <c r="D34" t="str" s="157" cm="1">
        <f t="array" ref="D34">IF(F34="","",F34-E34)</f>
      </c>
      <c r="E34" s="158"/>
      <c r="F34" t="str" s="159" cm="1">
        <f t="array" ref="F34">IF(I34="","",I34-H34)</f>
      </c>
      <c r="G34" s="160"/>
      <c r="H34" s="158"/>
      <c r="I34" t="str" s="159" cm="1">
        <f t="array" ref="I34">IF(P34="","",P34-K34)</f>
      </c>
      <c r="J34" s="160"/>
      <c r="K34" s="158"/>
      <c r="L34" s="161"/>
      <c r="M34" s="161"/>
      <c r="N34" s="161"/>
      <c r="O34" s="161"/>
      <c r="P34" t="str" s="159" cm="1">
        <f t="array" ref="P34">IF(AG34="","",AC34-R34-Q34)</f>
      </c>
      <c r="Q34" s="162"/>
      <c r="R34" s="162"/>
      <c r="S34" s="161"/>
      <c r="T34" s="161"/>
      <c r="U34" s="161"/>
      <c r="V34" s="161"/>
      <c r="W34" s="161"/>
      <c r="X34" s="161"/>
      <c r="Y34" s="161"/>
      <c r="Z34" s="161"/>
      <c r="AA34" s="161"/>
      <c r="AB34" s="160"/>
      <c r="AC34" s="163"/>
      <c r="AD34" t="str" s="159" cm="1">
        <f t="array" ref="AD34">IF(AG34="","",AG34-AF34)</f>
      </c>
      <c r="AE34" s="160"/>
      <c r="AF34" s="158"/>
      <c r="AG34" s="160"/>
      <c r="AH34" s="164"/>
      <c r="AI34" s="163"/>
      <c r="AJ34" s="161"/>
      <c r="AK34" s="161"/>
      <c r="AL34" s="160"/>
      <c r="AM34" s="165"/>
      <c r="AN34" s="166"/>
      <c r="AO34" s="10"/>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row>
    <row r="35" ht="25.5" customHeight="1">
      <c r="A35" s="155" cm="1">
        <f t="array" ref="A35">A34+1</f>
        <v>23</v>
      </c>
      <c r="B35" s="151"/>
      <c r="C35" t="s" s="156">
        <v>78</v>
      </c>
      <c r="D35" t="str" s="157" cm="1">
        <f t="array" ref="D35">IF(F35="","",F35-E35)</f>
      </c>
      <c r="E35" s="158"/>
      <c r="F35" t="str" s="159" cm="1">
        <f t="array" ref="F35">IF(I35="","",I35-H35)</f>
      </c>
      <c r="G35" s="160"/>
      <c r="H35" s="158"/>
      <c r="I35" t="str" s="159" cm="1">
        <f t="array" ref="I35">IF(P35="","",P35-K35)</f>
      </c>
      <c r="J35" s="160"/>
      <c r="K35" s="158"/>
      <c r="L35" s="161"/>
      <c r="M35" s="161"/>
      <c r="N35" s="161"/>
      <c r="O35" s="161"/>
      <c r="P35" t="str" s="159" cm="1">
        <f t="array" ref="P35">IF(AG35="","",AC35-R35-Q35)</f>
      </c>
      <c r="Q35" s="162"/>
      <c r="R35" s="162"/>
      <c r="S35" s="161"/>
      <c r="T35" s="161"/>
      <c r="U35" s="161"/>
      <c r="V35" s="161"/>
      <c r="W35" s="161"/>
      <c r="X35" s="161"/>
      <c r="Y35" s="161"/>
      <c r="Z35" s="161"/>
      <c r="AA35" s="161"/>
      <c r="AB35" s="160"/>
      <c r="AC35" s="163"/>
      <c r="AD35" t="str" s="159" cm="1">
        <f t="array" ref="AD35">IF(AG35="","",AG35-AF35)</f>
      </c>
      <c r="AE35" s="160"/>
      <c r="AF35" s="158"/>
      <c r="AG35" s="160"/>
      <c r="AH35" s="164"/>
      <c r="AI35" s="163"/>
      <c r="AJ35" s="161"/>
      <c r="AK35" s="161"/>
      <c r="AL35" s="160"/>
      <c r="AM35" s="165"/>
      <c r="AN35" s="166"/>
      <c r="AO35" s="10"/>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row>
    <row r="36" ht="25.5" customHeight="1">
      <c r="A36" s="155" cm="1">
        <f t="array" ref="A36">A35+1</f>
        <v>24</v>
      </c>
      <c r="B36" s="151"/>
      <c r="C36" s="170"/>
      <c r="D36" t="str" s="157" cm="1">
        <f t="array" ref="D36">IF(F36="","",F36-E36)</f>
      </c>
      <c r="E36" s="158"/>
      <c r="F36" t="str" s="159" cm="1">
        <f t="array" ref="F36">IF(I36="","",I36-H36)</f>
      </c>
      <c r="G36" s="160"/>
      <c r="H36" s="158"/>
      <c r="I36" t="str" s="159" cm="1">
        <f t="array" ref="I36">IF(P36="","",P36-K36)</f>
      </c>
      <c r="J36" s="160"/>
      <c r="K36" s="158"/>
      <c r="L36" s="161"/>
      <c r="M36" s="161"/>
      <c r="N36" s="161"/>
      <c r="O36" s="161"/>
      <c r="P36" t="str" s="159" cm="1">
        <f t="array" ref="P36">IF(AG36="","",AC36-R36-Q36)</f>
      </c>
      <c r="Q36" s="162"/>
      <c r="R36" s="162"/>
      <c r="S36" s="161"/>
      <c r="T36" s="161"/>
      <c r="U36" s="161"/>
      <c r="V36" s="161"/>
      <c r="W36" s="161"/>
      <c r="X36" s="161"/>
      <c r="Y36" s="161"/>
      <c r="Z36" s="161"/>
      <c r="AA36" s="161"/>
      <c r="AB36" s="160"/>
      <c r="AC36" s="163"/>
      <c r="AD36" t="str" s="159" cm="1">
        <f t="array" ref="AD36">IF(AG36="","",AG36-AF36)</f>
      </c>
      <c r="AE36" s="160"/>
      <c r="AF36" s="158"/>
      <c r="AG36" s="160"/>
      <c r="AH36" s="164"/>
      <c r="AI36" s="163"/>
      <c r="AJ36" s="161"/>
      <c r="AK36" s="161"/>
      <c r="AL36" s="160"/>
      <c r="AM36" s="165"/>
      <c r="AN36" s="166"/>
      <c r="AO36" s="10"/>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row>
    <row r="37" ht="25.5" customHeight="1">
      <c r="A37" s="155" cm="1">
        <f t="array" ref="A37">A36+1</f>
        <v>25</v>
      </c>
      <c r="B37" s="151"/>
      <c r="C37" s="170"/>
      <c r="D37" t="str" s="157" cm="1">
        <f t="array" ref="D37">IF(F37="","",F37-E37)</f>
      </c>
      <c r="E37" s="158"/>
      <c r="F37" t="str" s="159" cm="1">
        <f t="array" ref="F37">IF(I37="","",I37-H37)</f>
      </c>
      <c r="G37" s="160"/>
      <c r="H37" s="158"/>
      <c r="I37" t="str" s="159" cm="1">
        <f t="array" ref="I37">IF(P37="","",P37-K37)</f>
      </c>
      <c r="J37" s="160"/>
      <c r="K37" s="158"/>
      <c r="L37" s="161"/>
      <c r="M37" s="161"/>
      <c r="N37" s="161"/>
      <c r="O37" s="161"/>
      <c r="P37" t="str" s="159" cm="1">
        <f t="array" ref="P37">IF(AG37="","",AC37-R37-Q37)</f>
      </c>
      <c r="Q37" s="162"/>
      <c r="R37" s="162"/>
      <c r="S37" s="161"/>
      <c r="T37" s="161"/>
      <c r="U37" s="161"/>
      <c r="V37" s="161"/>
      <c r="W37" s="161"/>
      <c r="X37" s="161"/>
      <c r="Y37" s="161"/>
      <c r="Z37" s="161"/>
      <c r="AA37" s="161"/>
      <c r="AB37" s="160"/>
      <c r="AC37" s="163"/>
      <c r="AD37" t="str" s="159" cm="1">
        <f t="array" ref="AD37">IF(AG37="","",AG37-AF37)</f>
      </c>
      <c r="AE37" s="160"/>
      <c r="AF37" s="158"/>
      <c r="AG37" s="160"/>
      <c r="AH37" s="164"/>
      <c r="AI37" s="163"/>
      <c r="AJ37" s="161"/>
      <c r="AK37" s="161"/>
      <c r="AL37" s="160"/>
      <c r="AM37" s="165"/>
      <c r="AN37" s="166"/>
      <c r="AO37" s="10"/>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row>
    <row r="38" ht="25.5" customHeight="1">
      <c r="A38" s="155" cm="1">
        <f t="array" ref="A38">A37+1</f>
        <v>26</v>
      </c>
      <c r="B38" s="151"/>
      <c r="C38" s="170"/>
      <c r="D38" t="str" s="157" cm="1">
        <f t="array" ref="D38">IF(F38="","",F38-E38)</f>
      </c>
      <c r="E38" s="158"/>
      <c r="F38" t="str" s="159" cm="1">
        <f t="array" ref="F38">IF(I38="","",I38-H38)</f>
      </c>
      <c r="G38" s="160"/>
      <c r="H38" s="158"/>
      <c r="I38" t="str" s="159" cm="1">
        <f t="array" ref="I38">IF(P38="","",P38-K38)</f>
      </c>
      <c r="J38" s="160"/>
      <c r="K38" s="158"/>
      <c r="L38" s="161"/>
      <c r="M38" s="161"/>
      <c r="N38" s="161"/>
      <c r="O38" s="161"/>
      <c r="P38" t="str" s="159" cm="1">
        <f t="array" ref="P38">IF(AG38="","",AC38-R38-Q38)</f>
      </c>
      <c r="Q38" s="162"/>
      <c r="R38" s="162"/>
      <c r="S38" s="161"/>
      <c r="T38" s="161"/>
      <c r="U38" s="161"/>
      <c r="V38" s="161"/>
      <c r="W38" s="161"/>
      <c r="X38" s="161"/>
      <c r="Y38" s="161"/>
      <c r="Z38" s="161"/>
      <c r="AA38" s="161"/>
      <c r="AB38" s="160"/>
      <c r="AC38" s="163"/>
      <c r="AD38" t="str" s="159" cm="1">
        <f t="array" ref="AD38">IF(AG38="","",AG38-AF38)</f>
      </c>
      <c r="AE38" s="160"/>
      <c r="AF38" s="158"/>
      <c r="AG38" s="160"/>
      <c r="AH38" s="164"/>
      <c r="AI38" s="163"/>
      <c r="AJ38" s="161"/>
      <c r="AK38" s="161"/>
      <c r="AL38" s="160"/>
      <c r="AM38" s="165"/>
      <c r="AN38" s="166"/>
      <c r="AO38" s="10"/>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row>
    <row r="39" ht="25.5" customHeight="1">
      <c r="A39" s="155" cm="1">
        <f t="array" ref="A39">A38+1</f>
        <v>27</v>
      </c>
      <c r="B39" s="151"/>
      <c r="C39" s="170"/>
      <c r="D39" t="str" s="157" cm="1">
        <f t="array" ref="D39">IF(F39="","",F39-E39)</f>
      </c>
      <c r="E39" s="158"/>
      <c r="F39" t="str" s="159" cm="1">
        <f t="array" ref="F39">IF(I39="","",I39-H39)</f>
      </c>
      <c r="G39" s="160"/>
      <c r="H39" s="158"/>
      <c r="I39" t="str" s="159" cm="1">
        <f t="array" ref="I39">IF(P39="","",P39-K39)</f>
      </c>
      <c r="J39" s="160"/>
      <c r="K39" s="158"/>
      <c r="L39" s="161"/>
      <c r="M39" s="161"/>
      <c r="N39" s="161"/>
      <c r="O39" s="161"/>
      <c r="P39" t="str" s="159" cm="1">
        <f t="array" ref="P39">IF(AG39="","",AC39-R39-Q39)</f>
      </c>
      <c r="Q39" s="162"/>
      <c r="R39" s="162"/>
      <c r="S39" s="161"/>
      <c r="T39" s="161"/>
      <c r="U39" s="161"/>
      <c r="V39" s="161"/>
      <c r="W39" s="161"/>
      <c r="X39" s="161"/>
      <c r="Y39" s="161"/>
      <c r="Z39" s="161"/>
      <c r="AA39" s="161"/>
      <c r="AB39" s="160"/>
      <c r="AC39" s="163"/>
      <c r="AD39" t="str" s="159" cm="1">
        <f t="array" ref="AD39">IF(AG39="","",AG39-AF39)</f>
      </c>
      <c r="AE39" s="160"/>
      <c r="AF39" s="158"/>
      <c r="AG39" s="160"/>
      <c r="AH39" s="164"/>
      <c r="AI39" s="163"/>
      <c r="AJ39" s="161"/>
      <c r="AK39" s="161"/>
      <c r="AL39" s="160"/>
      <c r="AM39" s="165"/>
      <c r="AN39" s="166"/>
      <c r="AO39" s="10"/>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row>
    <row r="40" ht="25.5" customHeight="1">
      <c r="A40" s="155" cm="1">
        <f t="array" ref="A40">A39+1</f>
        <v>28</v>
      </c>
      <c r="B40" s="151"/>
      <c r="C40" t="s" s="156">
        <v>79</v>
      </c>
      <c r="D40" t="str" s="157" cm="1">
        <f t="array" ref="D40">IF(F40="","",F40-E40)</f>
      </c>
      <c r="E40" s="158"/>
      <c r="F40" t="str" s="159" cm="1">
        <f t="array" ref="F40">IF(I40="","",I40-H40)</f>
      </c>
      <c r="G40" s="160"/>
      <c r="H40" s="158"/>
      <c r="I40" t="str" s="159" cm="1">
        <f t="array" ref="I40">IF(P40="","",P40-K40)</f>
      </c>
      <c r="J40" s="160"/>
      <c r="K40" s="158"/>
      <c r="L40" s="161"/>
      <c r="M40" s="161"/>
      <c r="N40" s="161"/>
      <c r="O40" s="161"/>
      <c r="P40" t="str" s="159" cm="1">
        <f t="array" ref="P40">IF(AG40="","",AC40-R40-Q40)</f>
      </c>
      <c r="Q40" s="162"/>
      <c r="R40" s="162"/>
      <c r="S40" s="161"/>
      <c r="T40" s="161"/>
      <c r="U40" s="161"/>
      <c r="V40" s="161"/>
      <c r="W40" s="161"/>
      <c r="X40" s="161"/>
      <c r="Y40" s="161"/>
      <c r="Z40" s="161"/>
      <c r="AA40" s="161"/>
      <c r="AB40" s="160"/>
      <c r="AC40" s="163"/>
      <c r="AD40" t="str" s="159" cm="1">
        <f t="array" ref="AD40">IF(AG40="","",AG40-AF40)</f>
      </c>
      <c r="AE40" s="160"/>
      <c r="AF40" s="158"/>
      <c r="AG40" s="160"/>
      <c r="AH40" s="164"/>
      <c r="AI40" s="163"/>
      <c r="AJ40" s="161"/>
      <c r="AK40" s="161"/>
      <c r="AL40" s="160"/>
      <c r="AM40" s="165"/>
      <c r="AN40" s="166"/>
      <c r="AO40" s="10"/>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row>
    <row r="41" ht="25.5" customHeight="1">
      <c r="A41" s="155" cm="1">
        <f t="array" ref="A41">A40+1</f>
        <v>29</v>
      </c>
      <c r="B41" s="151"/>
      <c r="C41" s="170"/>
      <c r="D41" t="str" s="157" cm="1">
        <f t="array" ref="D41">IF(F41="","",F41-E41)</f>
      </c>
      <c r="E41" s="158"/>
      <c r="F41" t="str" s="159" cm="1">
        <f t="array" ref="F41">IF(I41="","",I41-H41)</f>
      </c>
      <c r="G41" s="160"/>
      <c r="H41" s="158"/>
      <c r="I41" t="str" s="159" cm="1">
        <f t="array" ref="I41">IF(P41="","",P41-K41)</f>
      </c>
      <c r="J41" s="160"/>
      <c r="K41" s="158"/>
      <c r="L41" s="161"/>
      <c r="M41" s="161"/>
      <c r="N41" s="161"/>
      <c r="O41" s="161"/>
      <c r="P41" t="str" s="159" cm="1">
        <f t="array" ref="P41">IF(AG41="","",AC41-R41-Q41)</f>
      </c>
      <c r="Q41" s="162"/>
      <c r="R41" s="162"/>
      <c r="S41" s="161"/>
      <c r="T41" s="161"/>
      <c r="U41" s="161"/>
      <c r="V41" s="161"/>
      <c r="W41" s="161"/>
      <c r="X41" s="161"/>
      <c r="Y41" s="161"/>
      <c r="Z41" s="161"/>
      <c r="AA41" s="161"/>
      <c r="AB41" s="160"/>
      <c r="AC41" s="163"/>
      <c r="AD41" t="str" s="159" cm="1">
        <f t="array" ref="AD41">IF(AG41="","",AG41-AF41)</f>
      </c>
      <c r="AE41" s="160"/>
      <c r="AF41" s="158"/>
      <c r="AG41" s="160"/>
      <c r="AH41" s="164"/>
      <c r="AI41" s="163"/>
      <c r="AJ41" s="161"/>
      <c r="AK41" s="161"/>
      <c r="AL41" s="160"/>
      <c r="AM41" s="165"/>
      <c r="AN41" s="166"/>
      <c r="AO41" s="10"/>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row>
    <row r="42" ht="25.5" customHeight="1">
      <c r="A42" s="155" cm="1">
        <f t="array" ref="A42">A41+1</f>
        <v>30</v>
      </c>
      <c r="B42" s="151"/>
      <c r="C42" s="170"/>
      <c r="D42" t="str" s="157" cm="1">
        <f t="array" ref="D42">IF(F42="","",F42-E42)</f>
      </c>
      <c r="E42" s="158"/>
      <c r="F42" t="str" s="159" cm="1">
        <f t="array" ref="F42">IF(I42="","",I42-H42)</f>
      </c>
      <c r="G42" s="160"/>
      <c r="H42" s="158"/>
      <c r="I42" t="str" s="159" cm="1">
        <f t="array" ref="I42">IF(P42="","",P42-K42)</f>
      </c>
      <c r="J42" s="160"/>
      <c r="K42" s="158"/>
      <c r="L42" s="161"/>
      <c r="M42" s="161"/>
      <c r="N42" s="161"/>
      <c r="O42" s="161"/>
      <c r="P42" t="str" s="159" cm="1">
        <f t="array" ref="P42">IF(AG42="","",AC42-R42-Q42)</f>
      </c>
      <c r="Q42" s="162"/>
      <c r="R42" s="162"/>
      <c r="S42" s="161"/>
      <c r="T42" s="161"/>
      <c r="U42" s="161"/>
      <c r="V42" s="161"/>
      <c r="W42" s="161"/>
      <c r="X42" s="161"/>
      <c r="Y42" s="161"/>
      <c r="Z42" s="161"/>
      <c r="AA42" s="161"/>
      <c r="AB42" s="160"/>
      <c r="AC42" s="163"/>
      <c r="AD42" t="str" s="159" cm="1">
        <f t="array" ref="AD42">IF(AG42="","",AG42-AF42)</f>
      </c>
      <c r="AE42" s="160"/>
      <c r="AF42" s="158"/>
      <c r="AG42" s="160"/>
      <c r="AH42" s="164"/>
      <c r="AI42" s="163"/>
      <c r="AJ42" s="161"/>
      <c r="AK42" s="161"/>
      <c r="AL42" s="160"/>
      <c r="AM42" s="165"/>
      <c r="AN42" s="166"/>
      <c r="AO42" s="10"/>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row>
    <row r="43" ht="25.5" customHeight="1">
      <c r="A43" s="155" cm="1">
        <f t="array" ref="A43">A42+1</f>
        <v>31</v>
      </c>
      <c r="B43" s="151"/>
      <c r="C43" s="170"/>
      <c r="D43" t="str" s="157" cm="1">
        <f t="array" ref="D43">IF(F43="","",F43-E43)</f>
      </c>
      <c r="E43" s="158"/>
      <c r="F43" t="str" s="159" cm="1">
        <f t="array" ref="F43">IF(I43="","",I43-H43)</f>
      </c>
      <c r="G43" s="160"/>
      <c r="H43" s="158"/>
      <c r="I43" t="str" s="159" cm="1">
        <f t="array" ref="I43">IF(P43="","",P43-K43)</f>
      </c>
      <c r="J43" s="160"/>
      <c r="K43" s="158"/>
      <c r="L43" s="161"/>
      <c r="M43" s="161"/>
      <c r="N43" s="161"/>
      <c r="O43" s="161"/>
      <c r="P43" t="str" s="159" cm="1">
        <f t="array" ref="P43">IF(AG43="","",AC43-R43-Q43)</f>
      </c>
      <c r="Q43" s="162"/>
      <c r="R43" s="162"/>
      <c r="S43" s="161"/>
      <c r="T43" s="161"/>
      <c r="U43" s="161"/>
      <c r="V43" s="161"/>
      <c r="W43" s="161"/>
      <c r="X43" s="161"/>
      <c r="Y43" s="161"/>
      <c r="Z43" s="161"/>
      <c r="AA43" s="161"/>
      <c r="AB43" s="160"/>
      <c r="AC43" s="163"/>
      <c r="AD43" t="str" s="159" cm="1">
        <f t="array" ref="AD43">IF(AG43="","",AG43-AF43)</f>
      </c>
      <c r="AE43" s="160"/>
      <c r="AF43" s="158"/>
      <c r="AG43" s="160"/>
      <c r="AH43" s="164"/>
      <c r="AI43" s="163"/>
      <c r="AJ43" s="161"/>
      <c r="AK43" s="161"/>
      <c r="AL43" s="160"/>
      <c r="AM43" s="165"/>
      <c r="AN43" s="166"/>
      <c r="AO43" s="10"/>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row>
    <row r="44" ht="25.5" customHeight="1">
      <c r="A44" s="155" cm="1">
        <f t="array" ref="A44">A43+1</f>
        <v>32</v>
      </c>
      <c r="B44" s="151"/>
      <c r="C44" s="170"/>
      <c r="D44" t="str" s="157" cm="1">
        <f t="array" ref="D44">IF(F44="","",F44-E44)</f>
      </c>
      <c r="E44" s="158"/>
      <c r="F44" t="str" s="159" cm="1">
        <f t="array" ref="F44">IF(I44="","",I44-H44)</f>
      </c>
      <c r="G44" s="160"/>
      <c r="H44" s="158"/>
      <c r="I44" t="str" s="159" cm="1">
        <f t="array" ref="I44">IF(P44="","",P44-K44)</f>
      </c>
      <c r="J44" s="160"/>
      <c r="K44" s="158"/>
      <c r="L44" s="161"/>
      <c r="M44" s="161"/>
      <c r="N44" s="161"/>
      <c r="O44" s="161"/>
      <c r="P44" t="str" s="159" cm="1">
        <f t="array" ref="P44">IF(AG44="","",AC44-R44-Q44)</f>
      </c>
      <c r="Q44" s="162"/>
      <c r="R44" s="162"/>
      <c r="S44" s="161"/>
      <c r="T44" s="161"/>
      <c r="U44" s="161"/>
      <c r="V44" s="161"/>
      <c r="W44" s="161"/>
      <c r="X44" s="161"/>
      <c r="Y44" s="161"/>
      <c r="Z44" s="161"/>
      <c r="AA44" s="161"/>
      <c r="AB44" s="160"/>
      <c r="AC44" s="163"/>
      <c r="AD44" t="str" s="159" cm="1">
        <f t="array" ref="AD44">IF(AG44="","",AG44-AF44)</f>
      </c>
      <c r="AE44" s="160"/>
      <c r="AF44" s="158"/>
      <c r="AG44" s="160"/>
      <c r="AH44" s="164"/>
      <c r="AI44" s="163"/>
      <c r="AJ44" s="161"/>
      <c r="AK44" s="161"/>
      <c r="AL44" s="160"/>
      <c r="AM44" s="165"/>
      <c r="AN44" s="166"/>
      <c r="AO44" s="10"/>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row>
    <row r="45" ht="25.5" customHeight="1">
      <c r="A45" s="155" cm="1">
        <f t="array" ref="A45">A44+1</f>
        <v>33</v>
      </c>
      <c r="B45" s="151"/>
      <c r="C45" t="s" s="156">
        <v>80</v>
      </c>
      <c r="D45" t="str" s="157" cm="1">
        <f t="array" ref="D45">IF(F45="","",F45-E45)</f>
      </c>
      <c r="E45" s="158"/>
      <c r="F45" t="str" s="159" cm="1">
        <f t="array" ref="F45">IF(I45="","",I45-H45)</f>
      </c>
      <c r="G45" s="160"/>
      <c r="H45" s="158"/>
      <c r="I45" t="str" s="159" cm="1">
        <f t="array" ref="I45">IF(P45="","",P45-K45)</f>
      </c>
      <c r="J45" s="160"/>
      <c r="K45" s="158"/>
      <c r="L45" s="161"/>
      <c r="M45" s="161"/>
      <c r="N45" s="161"/>
      <c r="O45" s="161"/>
      <c r="P45" t="str" s="159" cm="1">
        <f t="array" ref="P45">IF(AG45="","",AC45-R45-Q45)</f>
      </c>
      <c r="Q45" s="162"/>
      <c r="R45" s="162"/>
      <c r="S45" s="161"/>
      <c r="T45" s="161"/>
      <c r="U45" s="161"/>
      <c r="V45" s="161"/>
      <c r="W45" s="161"/>
      <c r="X45" s="161"/>
      <c r="Y45" s="161"/>
      <c r="Z45" s="161"/>
      <c r="AA45" s="161"/>
      <c r="AB45" s="160"/>
      <c r="AC45" s="163"/>
      <c r="AD45" t="str" s="159" cm="1">
        <f t="array" ref="AD45">IF(AG45="","",AG45-AF45)</f>
      </c>
      <c r="AE45" s="160"/>
      <c r="AF45" s="158"/>
      <c r="AG45" s="160"/>
      <c r="AH45" s="164"/>
      <c r="AI45" s="163"/>
      <c r="AJ45" s="161"/>
      <c r="AK45" s="161"/>
      <c r="AL45" s="160"/>
      <c r="AM45" s="165"/>
      <c r="AN45" s="166"/>
      <c r="AO45" s="10"/>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row>
    <row r="46" ht="25.5" customHeight="1">
      <c r="A46" s="155" cm="1">
        <f t="array" ref="A46">A45+1</f>
        <v>34</v>
      </c>
      <c r="B46" s="151"/>
      <c r="C46" s="170"/>
      <c r="D46" t="str" s="157" cm="1">
        <f t="array" ref="D46">IF(F46="","",F46-E46)</f>
      </c>
      <c r="E46" s="158"/>
      <c r="F46" t="str" s="159" cm="1">
        <f t="array" ref="F46">IF(I46="","",I46-H46)</f>
      </c>
      <c r="G46" s="160"/>
      <c r="H46" s="158"/>
      <c r="I46" t="str" s="159" cm="1">
        <f t="array" ref="I46">IF(P46="","",P46-K46)</f>
      </c>
      <c r="J46" s="160"/>
      <c r="K46" s="158"/>
      <c r="L46" s="161"/>
      <c r="M46" s="161"/>
      <c r="N46" s="161"/>
      <c r="O46" s="161"/>
      <c r="P46" t="str" s="159" cm="1">
        <f t="array" ref="P46">IF(AG46="","",AC46-R46-Q46)</f>
      </c>
      <c r="Q46" s="162"/>
      <c r="R46" s="162"/>
      <c r="S46" s="161"/>
      <c r="T46" s="161"/>
      <c r="U46" s="161"/>
      <c r="V46" s="161"/>
      <c r="W46" s="161"/>
      <c r="X46" s="161"/>
      <c r="Y46" s="161"/>
      <c r="Z46" s="161"/>
      <c r="AA46" s="161"/>
      <c r="AB46" s="160"/>
      <c r="AC46" s="163"/>
      <c r="AD46" t="str" s="159" cm="1">
        <f t="array" ref="AD46">IF(AG46="","",AG46-AF46)</f>
      </c>
      <c r="AE46" s="160"/>
      <c r="AF46" s="158"/>
      <c r="AG46" s="160"/>
      <c r="AH46" s="164"/>
      <c r="AI46" s="163"/>
      <c r="AJ46" s="161"/>
      <c r="AK46" s="161"/>
      <c r="AL46" s="160"/>
      <c r="AM46" s="165"/>
      <c r="AN46" s="166"/>
      <c r="AO46" s="10"/>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row>
    <row r="47" ht="25.5" customHeight="1">
      <c r="A47" s="155" cm="1">
        <f t="array" ref="A47">A46+1</f>
        <v>35</v>
      </c>
      <c r="B47" s="151"/>
      <c r="C47" s="170"/>
      <c r="D47" t="str" s="157" cm="1">
        <f t="array" ref="D47">IF(F47="","",F47-E47)</f>
      </c>
      <c r="E47" s="158"/>
      <c r="F47" t="str" s="159" cm="1">
        <f t="array" ref="F47">IF(I47="","",I47-H47)</f>
      </c>
      <c r="G47" s="160"/>
      <c r="H47" s="158"/>
      <c r="I47" t="str" s="159" cm="1">
        <f t="array" ref="I47">IF(P47="","",P47-K47)</f>
      </c>
      <c r="J47" s="160"/>
      <c r="K47" s="158"/>
      <c r="L47" s="161"/>
      <c r="M47" s="161"/>
      <c r="N47" s="161"/>
      <c r="O47" s="161"/>
      <c r="P47" t="str" s="159" cm="1">
        <f t="array" ref="P47">IF(AG47="","",AC47-R47-Q47)</f>
      </c>
      <c r="Q47" s="162"/>
      <c r="R47" s="162"/>
      <c r="S47" s="161"/>
      <c r="T47" s="161"/>
      <c r="U47" s="161"/>
      <c r="V47" s="161"/>
      <c r="W47" s="161"/>
      <c r="X47" s="161"/>
      <c r="Y47" s="161"/>
      <c r="Z47" s="161"/>
      <c r="AA47" s="161"/>
      <c r="AB47" s="160"/>
      <c r="AC47" s="163"/>
      <c r="AD47" t="str" s="159" cm="1">
        <f t="array" ref="AD47">IF(AG47="","",AG47-AF47)</f>
      </c>
      <c r="AE47" s="160"/>
      <c r="AF47" s="158"/>
      <c r="AG47" s="160"/>
      <c r="AH47" s="164"/>
      <c r="AI47" s="163"/>
      <c r="AJ47" s="161"/>
      <c r="AK47" s="161"/>
      <c r="AL47" s="160"/>
      <c r="AM47" s="165"/>
      <c r="AN47" s="166"/>
      <c r="AO47" s="10"/>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row>
    <row r="48" ht="25.5" customHeight="1">
      <c r="A48" s="155" cm="1">
        <f t="array" ref="A48">A47+1</f>
        <v>36</v>
      </c>
      <c r="B48" s="151"/>
      <c r="C48" s="170"/>
      <c r="D48" t="str" s="157" cm="1">
        <f t="array" ref="D48">IF(F48="","",F48-E48)</f>
      </c>
      <c r="E48" s="158"/>
      <c r="F48" t="str" s="159" cm="1">
        <f t="array" ref="F48">IF(I48="","",I48-H48)</f>
      </c>
      <c r="G48" s="160"/>
      <c r="H48" s="158"/>
      <c r="I48" t="str" s="159" cm="1">
        <f t="array" ref="I48">IF(P48="","",P48-K48)</f>
      </c>
      <c r="J48" s="160"/>
      <c r="K48" s="158"/>
      <c r="L48" s="161"/>
      <c r="M48" s="161"/>
      <c r="N48" s="161"/>
      <c r="O48" s="161"/>
      <c r="P48" t="str" s="159" cm="1">
        <f t="array" ref="P48">IF(AG48="","",AC48-R48-Q48)</f>
      </c>
      <c r="Q48" s="162"/>
      <c r="R48" s="162"/>
      <c r="S48" s="161"/>
      <c r="T48" s="161"/>
      <c r="U48" s="161"/>
      <c r="V48" s="161"/>
      <c r="W48" s="161"/>
      <c r="X48" s="161"/>
      <c r="Y48" s="161"/>
      <c r="Z48" s="161"/>
      <c r="AA48" s="161"/>
      <c r="AB48" s="160"/>
      <c r="AC48" s="163"/>
      <c r="AD48" t="str" s="159" cm="1">
        <f t="array" ref="AD48">IF(AG48="","",AG48-AF48)</f>
      </c>
      <c r="AE48" s="160"/>
      <c r="AF48" s="158"/>
      <c r="AG48" s="160"/>
      <c r="AH48" s="164"/>
      <c r="AI48" s="163"/>
      <c r="AJ48" s="161"/>
      <c r="AK48" s="161"/>
      <c r="AL48" s="160"/>
      <c r="AM48" s="165"/>
      <c r="AN48" s="166"/>
      <c r="AO48" s="10"/>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row>
    <row r="49" ht="25.5" customHeight="1">
      <c r="A49" s="155" cm="1">
        <f t="array" ref="A49">A48+1</f>
        <v>37</v>
      </c>
      <c r="B49" s="151"/>
      <c r="C49" s="170"/>
      <c r="D49" t="str" s="157" cm="1">
        <f t="array" ref="D49">IF(F49="","",F49-E49)</f>
      </c>
      <c r="E49" s="158"/>
      <c r="F49" t="str" s="159" cm="1">
        <f t="array" ref="F49">IF(I49="","",I49-H49)</f>
      </c>
      <c r="G49" s="160"/>
      <c r="H49" s="158"/>
      <c r="I49" t="str" s="159" cm="1">
        <f t="array" ref="I49">IF(P49="","",P49-K49)</f>
      </c>
      <c r="J49" s="160"/>
      <c r="K49" s="158"/>
      <c r="L49" s="161"/>
      <c r="M49" s="161"/>
      <c r="N49" s="161"/>
      <c r="O49" s="161"/>
      <c r="P49" t="str" s="159" cm="1">
        <f t="array" ref="P49">IF(AG49="","",AC49-R49-Q49)</f>
      </c>
      <c r="Q49" s="162"/>
      <c r="R49" s="162"/>
      <c r="S49" s="161"/>
      <c r="T49" s="161"/>
      <c r="U49" s="161"/>
      <c r="V49" s="161"/>
      <c r="W49" s="161"/>
      <c r="X49" s="161"/>
      <c r="Y49" s="161"/>
      <c r="Z49" s="161"/>
      <c r="AA49" s="161"/>
      <c r="AB49" s="160"/>
      <c r="AC49" s="163"/>
      <c r="AD49" t="str" s="159" cm="1">
        <f t="array" ref="AD49">IF(AG49="","",AG49-AF49)</f>
      </c>
      <c r="AE49" s="160"/>
      <c r="AF49" s="158"/>
      <c r="AG49" s="160"/>
      <c r="AH49" s="164"/>
      <c r="AI49" s="163"/>
      <c r="AJ49" s="161"/>
      <c r="AK49" s="161"/>
      <c r="AL49" s="160"/>
      <c r="AM49" s="165"/>
      <c r="AN49" s="166"/>
      <c r="AO49" s="10"/>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row>
    <row r="50" ht="25.5" customHeight="1">
      <c r="A50" s="155" cm="1">
        <f t="array" ref="A50">A49+1</f>
        <v>38</v>
      </c>
      <c r="B50" s="151"/>
      <c r="C50" s="170"/>
      <c r="D50" t="str" s="157" cm="1">
        <f t="array" ref="D50">IF(F50="","",F50-E50)</f>
      </c>
      <c r="E50" s="158"/>
      <c r="F50" t="str" s="159" cm="1">
        <f t="array" ref="F50">IF(I50="","",I50-H50)</f>
      </c>
      <c r="G50" s="160"/>
      <c r="H50" s="158"/>
      <c r="I50" t="str" s="159" cm="1">
        <f t="array" ref="I50">IF(P50="","",P50-K50)</f>
      </c>
      <c r="J50" s="160"/>
      <c r="K50" s="158"/>
      <c r="L50" s="161"/>
      <c r="M50" s="161"/>
      <c r="N50" s="161"/>
      <c r="O50" s="161"/>
      <c r="P50" t="str" s="159" cm="1">
        <f t="array" ref="P50">IF(AG50="","",AC50-R50-Q50)</f>
      </c>
      <c r="Q50" s="162"/>
      <c r="R50" s="162"/>
      <c r="S50" s="161"/>
      <c r="T50" s="161"/>
      <c r="U50" s="161"/>
      <c r="V50" s="161"/>
      <c r="W50" s="161"/>
      <c r="X50" s="161"/>
      <c r="Y50" s="161"/>
      <c r="Z50" s="161"/>
      <c r="AA50" s="161"/>
      <c r="AB50" s="160"/>
      <c r="AC50" s="163"/>
      <c r="AD50" t="str" s="159" cm="1">
        <f t="array" ref="AD50">IF(AG50="","",AG50-AF50)</f>
      </c>
      <c r="AE50" s="160"/>
      <c r="AF50" s="158"/>
      <c r="AG50" s="160"/>
      <c r="AH50" s="164"/>
      <c r="AI50" s="163"/>
      <c r="AJ50" s="161"/>
      <c r="AK50" s="161"/>
      <c r="AL50" s="160"/>
      <c r="AM50" s="165"/>
      <c r="AN50" s="166"/>
      <c r="AO50" s="10"/>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row>
    <row r="51" ht="25.5" customHeight="1">
      <c r="A51" s="155" cm="1">
        <f t="array" ref="A51">A50+1</f>
        <v>39</v>
      </c>
      <c r="B51" s="151"/>
      <c r="C51" s="170"/>
      <c r="D51" t="str" s="157" cm="1">
        <f t="array" ref="D51">IF(F51="","",F51-E51)</f>
      </c>
      <c r="E51" s="158"/>
      <c r="F51" t="str" s="159" cm="1">
        <f t="array" ref="F51">IF(I51="","",I51-H51)</f>
      </c>
      <c r="G51" s="160"/>
      <c r="H51" s="158"/>
      <c r="I51" t="str" s="159" cm="1">
        <f t="array" ref="I51">IF(P51="","",P51-K51)</f>
      </c>
      <c r="J51" s="160"/>
      <c r="K51" s="158"/>
      <c r="L51" s="161"/>
      <c r="M51" s="161"/>
      <c r="N51" s="161"/>
      <c r="O51" s="161"/>
      <c r="P51" t="str" s="159" cm="1">
        <f t="array" ref="P51">IF(AG51="","",AC51-R51-Q51)</f>
      </c>
      <c r="Q51" s="162"/>
      <c r="R51" s="162"/>
      <c r="S51" s="161"/>
      <c r="T51" s="161"/>
      <c r="U51" s="161"/>
      <c r="V51" s="161"/>
      <c r="W51" s="161"/>
      <c r="X51" s="161"/>
      <c r="Y51" s="161"/>
      <c r="Z51" s="161"/>
      <c r="AA51" s="161"/>
      <c r="AB51" s="160"/>
      <c r="AC51" s="163"/>
      <c r="AD51" t="str" s="159" cm="1">
        <f t="array" ref="AD51">IF(AG51="","",AG51-AF51)</f>
      </c>
      <c r="AE51" s="160"/>
      <c r="AF51" s="158"/>
      <c r="AG51" s="160"/>
      <c r="AH51" s="164"/>
      <c r="AI51" s="163"/>
      <c r="AJ51" s="161"/>
      <c r="AK51" s="161"/>
      <c r="AL51" s="160"/>
      <c r="AM51" s="165"/>
      <c r="AN51" s="166"/>
      <c r="AO51" s="10"/>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row>
    <row r="52" ht="25.5" customHeight="1">
      <c r="A52" s="155" cm="1">
        <f t="array" ref="A52">A51+1</f>
        <v>40</v>
      </c>
      <c r="B52" s="151"/>
      <c r="C52" s="170"/>
      <c r="D52" t="str" s="157" cm="1">
        <f t="array" ref="D52">IF(F52="","",F52-E52)</f>
      </c>
      <c r="E52" s="158"/>
      <c r="F52" t="str" s="159" cm="1">
        <f t="array" ref="F52">IF(I52="","",I52-H52)</f>
      </c>
      <c r="G52" s="160"/>
      <c r="H52" s="158"/>
      <c r="I52" t="str" s="159" cm="1">
        <f t="array" ref="I52">IF(P52="","",P52-K52)</f>
      </c>
      <c r="J52" s="160"/>
      <c r="K52" s="158"/>
      <c r="L52" s="161"/>
      <c r="M52" s="161"/>
      <c r="N52" s="161"/>
      <c r="O52" s="161"/>
      <c r="P52" t="str" s="159" cm="1">
        <f t="array" ref="P52">IF(AG52="","",AC52-R52-Q52)</f>
      </c>
      <c r="Q52" s="162"/>
      <c r="R52" s="162"/>
      <c r="S52" s="161"/>
      <c r="T52" s="161"/>
      <c r="U52" s="161"/>
      <c r="V52" s="161"/>
      <c r="W52" s="161"/>
      <c r="X52" s="161"/>
      <c r="Y52" s="161"/>
      <c r="Z52" s="161"/>
      <c r="AA52" s="161"/>
      <c r="AB52" s="160"/>
      <c r="AC52" s="163"/>
      <c r="AD52" t="str" s="159" cm="1">
        <f t="array" ref="AD52">IF(AG52="","",AG52-AF52)</f>
      </c>
      <c r="AE52" s="160"/>
      <c r="AF52" s="158"/>
      <c r="AG52" s="160"/>
      <c r="AH52" s="164"/>
      <c r="AI52" s="163"/>
      <c r="AJ52" s="161"/>
      <c r="AK52" s="161"/>
      <c r="AL52" s="160"/>
      <c r="AM52" s="165"/>
      <c r="AN52" s="166"/>
      <c r="AO52" s="10"/>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row>
    <row r="53" ht="25.5" customHeight="1">
      <c r="A53" s="155" cm="1">
        <f t="array" ref="A53">A52+1</f>
        <v>41</v>
      </c>
      <c r="B53" s="151"/>
      <c r="C53" s="170"/>
      <c r="D53" t="str" s="157" cm="1">
        <f t="array" ref="D53">IF(F53="","",F53-E53)</f>
      </c>
      <c r="E53" s="158"/>
      <c r="F53" t="str" s="159" cm="1">
        <f t="array" ref="F53">IF(I53="","",I53-H53)</f>
      </c>
      <c r="G53" s="160"/>
      <c r="H53" s="158"/>
      <c r="I53" t="str" s="159" cm="1">
        <f t="array" ref="I53">IF(P53="","",P53-K53)</f>
      </c>
      <c r="J53" s="160"/>
      <c r="K53" s="158"/>
      <c r="L53" s="161"/>
      <c r="M53" s="161"/>
      <c r="N53" s="161"/>
      <c r="O53" s="161"/>
      <c r="P53" t="str" s="159" cm="1">
        <f t="array" ref="P53">IF(AG53="","",AC53-R53-Q53)</f>
      </c>
      <c r="Q53" s="162"/>
      <c r="R53" s="162"/>
      <c r="S53" s="161"/>
      <c r="T53" s="161"/>
      <c r="U53" s="161"/>
      <c r="V53" s="161"/>
      <c r="W53" s="161"/>
      <c r="X53" s="161"/>
      <c r="Y53" s="161"/>
      <c r="Z53" s="161"/>
      <c r="AA53" s="161"/>
      <c r="AB53" s="160"/>
      <c r="AC53" s="163"/>
      <c r="AD53" t="str" s="159" cm="1">
        <f t="array" ref="AD53">IF(AG53="","",AG53-AF53)</f>
      </c>
      <c r="AE53" s="160"/>
      <c r="AF53" s="158"/>
      <c r="AG53" s="160"/>
      <c r="AH53" s="164"/>
      <c r="AI53" s="163"/>
      <c r="AJ53" s="161"/>
      <c r="AK53" s="161"/>
      <c r="AL53" s="160"/>
      <c r="AM53" s="165"/>
      <c r="AN53" s="166"/>
      <c r="AO53" s="10"/>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row>
    <row r="54" ht="25.5" customHeight="1">
      <c r="A54" s="155" cm="1">
        <f t="array" ref="A54">A53+1</f>
        <v>42</v>
      </c>
      <c r="B54" s="151"/>
      <c r="C54" s="170"/>
      <c r="D54" t="str" s="157" cm="1">
        <f t="array" ref="D54">IF(F54="","",F54-E54)</f>
      </c>
      <c r="E54" s="158"/>
      <c r="F54" t="str" s="159" cm="1">
        <f t="array" ref="F54">IF(I54="","",I54-H54)</f>
      </c>
      <c r="G54" s="160"/>
      <c r="H54" s="158"/>
      <c r="I54" t="str" s="159" cm="1">
        <f t="array" ref="I54">IF(P54="","",P54-K54)</f>
      </c>
      <c r="J54" s="160"/>
      <c r="K54" s="158"/>
      <c r="L54" s="161"/>
      <c r="M54" s="161"/>
      <c r="N54" s="161"/>
      <c r="O54" s="161"/>
      <c r="P54" t="str" s="159" cm="1">
        <f t="array" ref="P54">IF(AG54="","",AC54-R54-Q54)</f>
      </c>
      <c r="Q54" s="162"/>
      <c r="R54" s="162"/>
      <c r="S54" s="161"/>
      <c r="T54" s="161"/>
      <c r="U54" s="161"/>
      <c r="V54" s="161"/>
      <c r="W54" s="161"/>
      <c r="X54" s="161"/>
      <c r="Y54" s="161"/>
      <c r="Z54" s="161"/>
      <c r="AA54" s="161"/>
      <c r="AB54" s="160"/>
      <c r="AC54" s="163"/>
      <c r="AD54" t="str" s="159" cm="1">
        <f t="array" ref="AD54">IF(AG54="","",AG54-AF54)</f>
      </c>
      <c r="AE54" s="160"/>
      <c r="AF54" s="158"/>
      <c r="AG54" s="160"/>
      <c r="AH54" s="164"/>
      <c r="AI54" s="163"/>
      <c r="AJ54" s="161"/>
      <c r="AK54" s="161"/>
      <c r="AL54" s="160"/>
      <c r="AM54" s="165"/>
      <c r="AN54" s="166"/>
      <c r="AO54" s="10"/>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row>
    <row r="55" ht="25.5" customHeight="1">
      <c r="A55" s="155" cm="1">
        <f t="array" ref="A55">A54+1</f>
        <v>43</v>
      </c>
      <c r="B55" s="151"/>
      <c r="C55" s="170"/>
      <c r="D55" t="str" s="157" cm="1">
        <f t="array" ref="D55">IF(F55="","",F55-E55)</f>
      </c>
      <c r="E55" s="158"/>
      <c r="F55" t="str" s="159" cm="1">
        <f t="array" ref="F55">IF(I55="","",I55-H55)</f>
      </c>
      <c r="G55" s="160"/>
      <c r="H55" s="158"/>
      <c r="I55" t="str" s="159" cm="1">
        <f t="array" ref="I55">IF(P55="","",P55-K55)</f>
      </c>
      <c r="J55" s="160"/>
      <c r="K55" s="158"/>
      <c r="L55" s="161"/>
      <c r="M55" s="161"/>
      <c r="N55" s="161"/>
      <c r="O55" s="161"/>
      <c r="P55" t="str" s="159" cm="1">
        <f t="array" ref="P55">IF(AG55="","",AC55-R55-Q55)</f>
      </c>
      <c r="Q55" s="162"/>
      <c r="R55" s="162"/>
      <c r="S55" s="161"/>
      <c r="T55" s="161"/>
      <c r="U55" s="161"/>
      <c r="V55" s="161"/>
      <c r="W55" s="161"/>
      <c r="X55" s="161"/>
      <c r="Y55" s="161"/>
      <c r="Z55" s="161"/>
      <c r="AA55" s="161"/>
      <c r="AB55" s="160"/>
      <c r="AC55" s="163"/>
      <c r="AD55" t="str" s="159" cm="1">
        <f t="array" ref="AD55">IF(AG55="","",AG55-AF55)</f>
      </c>
      <c r="AE55" s="160"/>
      <c r="AF55" s="158"/>
      <c r="AG55" s="160"/>
      <c r="AH55" s="164"/>
      <c r="AI55" s="163"/>
      <c r="AJ55" s="161"/>
      <c r="AK55" s="161"/>
      <c r="AL55" s="160"/>
      <c r="AM55" s="165"/>
      <c r="AN55" s="166"/>
      <c r="AO55" s="10"/>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row>
    <row r="56" ht="25.5" customHeight="1">
      <c r="A56" s="155" cm="1">
        <f t="array" ref="A56">A55+1</f>
        <v>44</v>
      </c>
      <c r="B56" s="151"/>
      <c r="C56" s="170"/>
      <c r="D56" t="str" s="157" cm="1">
        <f t="array" ref="D56">IF(F56="","",F56-E56)</f>
      </c>
      <c r="E56" s="158"/>
      <c r="F56" t="str" s="159" cm="1">
        <f t="array" ref="F56">IF(I56="","",I56-H56)</f>
      </c>
      <c r="G56" s="160"/>
      <c r="H56" s="158"/>
      <c r="I56" t="str" s="159" cm="1">
        <f t="array" ref="I56">IF(P56="","",P56-K56)</f>
      </c>
      <c r="J56" s="160"/>
      <c r="K56" s="158"/>
      <c r="L56" s="161"/>
      <c r="M56" s="161"/>
      <c r="N56" s="161"/>
      <c r="O56" s="161"/>
      <c r="P56" t="str" s="159" cm="1">
        <f t="array" ref="P56">IF(AG56="","",AC56-R56-Q56)</f>
      </c>
      <c r="Q56" s="162"/>
      <c r="R56" s="162"/>
      <c r="S56" s="161"/>
      <c r="T56" s="161"/>
      <c r="U56" s="161"/>
      <c r="V56" s="161"/>
      <c r="W56" s="161"/>
      <c r="X56" s="161"/>
      <c r="Y56" s="161"/>
      <c r="Z56" s="161"/>
      <c r="AA56" s="161"/>
      <c r="AB56" s="160"/>
      <c r="AC56" s="163"/>
      <c r="AD56" t="str" s="159" cm="1">
        <f t="array" ref="AD56">IF(AG56="","",AG56-AF56)</f>
      </c>
      <c r="AE56" s="160"/>
      <c r="AF56" s="158"/>
      <c r="AG56" s="160"/>
      <c r="AH56" s="164"/>
      <c r="AI56" s="163"/>
      <c r="AJ56" s="161"/>
      <c r="AK56" s="161"/>
      <c r="AL56" s="160"/>
      <c r="AM56" s="165"/>
      <c r="AN56" s="166"/>
      <c r="AO56" s="10"/>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row>
    <row r="57" ht="25.5" customHeight="1">
      <c r="A57" s="155" cm="1">
        <f t="array" ref="A57">A56+1</f>
        <v>45</v>
      </c>
      <c r="B57" s="151"/>
      <c r="C57" s="170"/>
      <c r="D57" t="str" s="157" cm="1">
        <f t="array" ref="D57">IF(F57="","",F57-E57)</f>
      </c>
      <c r="E57" s="158"/>
      <c r="F57" t="str" s="159" cm="1">
        <f t="array" ref="F57">IF(I57="","",I57-H57)</f>
      </c>
      <c r="G57" s="160"/>
      <c r="H57" s="158"/>
      <c r="I57" t="str" s="159" cm="1">
        <f t="array" ref="I57">IF(P57="","",P57-K57)</f>
      </c>
      <c r="J57" s="160"/>
      <c r="K57" s="158"/>
      <c r="L57" s="161"/>
      <c r="M57" s="161"/>
      <c r="N57" s="161"/>
      <c r="O57" s="161"/>
      <c r="P57" t="str" s="159" cm="1">
        <f t="array" ref="P57">IF(AG57="","",AC57-R57-Q57)</f>
      </c>
      <c r="Q57" s="162"/>
      <c r="R57" s="162"/>
      <c r="S57" s="161"/>
      <c r="T57" s="161"/>
      <c r="U57" s="161"/>
      <c r="V57" s="161"/>
      <c r="W57" s="161"/>
      <c r="X57" s="161"/>
      <c r="Y57" s="161"/>
      <c r="Z57" s="161"/>
      <c r="AA57" s="161"/>
      <c r="AB57" s="160"/>
      <c r="AC57" s="163"/>
      <c r="AD57" t="str" s="159" cm="1">
        <f t="array" ref="AD57">IF(AG57="","",AG57-AF57)</f>
      </c>
      <c r="AE57" s="160"/>
      <c r="AF57" s="158"/>
      <c r="AG57" s="160"/>
      <c r="AH57" s="164"/>
      <c r="AI57" s="163"/>
      <c r="AJ57" s="161"/>
      <c r="AK57" s="161"/>
      <c r="AL57" s="160"/>
      <c r="AM57" s="165"/>
      <c r="AN57" s="166"/>
      <c r="AO57" s="10"/>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row>
    <row r="58" ht="25.5" customHeight="1">
      <c r="A58" s="155" cm="1">
        <f t="array" ref="A58">A57+1</f>
        <v>46</v>
      </c>
      <c r="B58" s="151"/>
      <c r="C58" s="170"/>
      <c r="D58" t="str" s="157" cm="1">
        <f t="array" ref="D58">IF(F58="","",F58-E58)</f>
      </c>
      <c r="E58" s="158"/>
      <c r="F58" t="str" s="159" cm="1">
        <f t="array" ref="F58">IF(I58="","",I58-H58)</f>
      </c>
      <c r="G58" s="160"/>
      <c r="H58" s="158"/>
      <c r="I58" t="str" s="159" cm="1">
        <f t="array" ref="I58">IF(P58="","",P58-K58)</f>
      </c>
      <c r="J58" s="160"/>
      <c r="K58" s="158"/>
      <c r="L58" s="161"/>
      <c r="M58" s="161"/>
      <c r="N58" s="161"/>
      <c r="O58" s="161"/>
      <c r="P58" t="str" s="159" cm="1">
        <f t="array" ref="P58">IF(AG58="","",AC58-R58-Q58)</f>
      </c>
      <c r="Q58" s="162"/>
      <c r="R58" s="162"/>
      <c r="S58" s="161"/>
      <c r="T58" s="161"/>
      <c r="U58" s="161"/>
      <c r="V58" s="161"/>
      <c r="W58" s="161"/>
      <c r="X58" s="161"/>
      <c r="Y58" s="161"/>
      <c r="Z58" s="161"/>
      <c r="AA58" s="161"/>
      <c r="AB58" s="160"/>
      <c r="AC58" s="163"/>
      <c r="AD58" t="str" s="159" cm="1">
        <f t="array" ref="AD58">IF(AG58="","",AG58-AF58)</f>
      </c>
      <c r="AE58" s="160"/>
      <c r="AF58" s="158"/>
      <c r="AG58" s="160"/>
      <c r="AH58" s="164"/>
      <c r="AI58" s="163"/>
      <c r="AJ58" s="161"/>
      <c r="AK58" s="161"/>
      <c r="AL58" s="160"/>
      <c r="AM58" s="165"/>
      <c r="AN58" s="166"/>
      <c r="AO58" s="10"/>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row>
    <row r="59" ht="25.5" customHeight="1">
      <c r="A59" s="155" cm="1">
        <f t="array" ref="A59">A58+1</f>
        <v>47</v>
      </c>
      <c r="B59" s="151"/>
      <c r="C59" s="170"/>
      <c r="D59" t="str" s="157" cm="1">
        <f t="array" ref="D59">IF(F59="","",F59-E59)</f>
      </c>
      <c r="E59" s="158"/>
      <c r="F59" t="str" s="159" cm="1">
        <f t="array" ref="F59">IF(I59="","",I59-H59)</f>
      </c>
      <c r="G59" s="160"/>
      <c r="H59" s="158"/>
      <c r="I59" t="str" s="159" cm="1">
        <f t="array" ref="I59">IF(P59="","",P59-K59)</f>
      </c>
      <c r="J59" s="160"/>
      <c r="K59" s="158"/>
      <c r="L59" s="161"/>
      <c r="M59" s="161"/>
      <c r="N59" s="161"/>
      <c r="O59" s="161"/>
      <c r="P59" t="str" s="159" cm="1">
        <f t="array" ref="P59">IF(AG59="","",AC59-R59-Q59)</f>
      </c>
      <c r="Q59" s="162"/>
      <c r="R59" s="162"/>
      <c r="S59" s="161"/>
      <c r="T59" s="161"/>
      <c r="U59" s="161"/>
      <c r="V59" s="161"/>
      <c r="W59" s="161"/>
      <c r="X59" s="161"/>
      <c r="Y59" s="161"/>
      <c r="Z59" s="161"/>
      <c r="AA59" s="161"/>
      <c r="AB59" s="160"/>
      <c r="AC59" s="163"/>
      <c r="AD59" t="str" s="159" cm="1">
        <f t="array" ref="AD59">IF(AG59="","",AG59-AF59)</f>
      </c>
      <c r="AE59" s="160"/>
      <c r="AF59" s="158"/>
      <c r="AG59" s="160"/>
      <c r="AH59" s="164"/>
      <c r="AI59" s="163"/>
      <c r="AJ59" s="161"/>
      <c r="AK59" s="161"/>
      <c r="AL59" s="160"/>
      <c r="AM59" s="165"/>
      <c r="AN59" s="166"/>
      <c r="AO59" s="10"/>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row>
    <row r="60" ht="25.5" customHeight="1">
      <c r="A60" s="155" cm="1">
        <f t="array" ref="A60">A59+1</f>
        <v>48</v>
      </c>
      <c r="B60" s="151"/>
      <c r="C60" s="170"/>
      <c r="D60" t="str" s="157" cm="1">
        <f t="array" ref="D60">IF(F60="","",F60-E60)</f>
      </c>
      <c r="E60" s="158"/>
      <c r="F60" t="str" s="159" cm="1">
        <f t="array" ref="F60">IF(I60="","",I60-H60)</f>
      </c>
      <c r="G60" s="160"/>
      <c r="H60" s="158"/>
      <c r="I60" t="str" s="159" cm="1">
        <f t="array" ref="I60">IF(P60="","",P60-K60)</f>
      </c>
      <c r="J60" s="160"/>
      <c r="K60" s="158"/>
      <c r="L60" s="161"/>
      <c r="M60" s="161"/>
      <c r="N60" s="161"/>
      <c r="O60" s="161"/>
      <c r="P60" t="str" s="159" cm="1">
        <f t="array" ref="P60">IF(AG60="","",AC60-R60-Q60)</f>
      </c>
      <c r="Q60" s="162"/>
      <c r="R60" s="162"/>
      <c r="S60" s="161"/>
      <c r="T60" s="161"/>
      <c r="U60" s="161"/>
      <c r="V60" s="161"/>
      <c r="W60" s="161"/>
      <c r="X60" s="161"/>
      <c r="Y60" s="161"/>
      <c r="Z60" s="161"/>
      <c r="AA60" s="161"/>
      <c r="AB60" s="160"/>
      <c r="AC60" s="163"/>
      <c r="AD60" t="str" s="159" cm="1">
        <f t="array" ref="AD60">IF(AG60="","",AG60-AF60)</f>
      </c>
      <c r="AE60" s="160"/>
      <c r="AF60" s="158"/>
      <c r="AG60" s="160"/>
      <c r="AH60" s="164"/>
      <c r="AI60" s="163"/>
      <c r="AJ60" s="161"/>
      <c r="AK60" s="161"/>
      <c r="AL60" s="160"/>
      <c r="AM60" s="165"/>
      <c r="AN60" s="166"/>
      <c r="AO60" s="10"/>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row>
    <row r="61" ht="25.5" customHeight="1">
      <c r="A61" s="155" cm="1">
        <f t="array" ref="A61">A60+1</f>
        <v>49</v>
      </c>
      <c r="B61" s="151"/>
      <c r="C61" s="170"/>
      <c r="D61" t="str" s="157" cm="1">
        <f t="array" ref="D61">IF(F61="","",F61-E61)</f>
      </c>
      <c r="E61" s="158"/>
      <c r="F61" t="str" s="159" cm="1">
        <f t="array" ref="F61">IF(I61="","",I61-H61)</f>
      </c>
      <c r="G61" s="160"/>
      <c r="H61" s="158"/>
      <c r="I61" t="str" s="159" cm="1">
        <f t="array" ref="I61">IF(P61="","",P61-K61)</f>
      </c>
      <c r="J61" s="160"/>
      <c r="K61" s="158"/>
      <c r="L61" s="161"/>
      <c r="M61" s="161"/>
      <c r="N61" s="161"/>
      <c r="O61" s="161"/>
      <c r="P61" t="str" s="159" cm="1">
        <f t="array" ref="P61">IF(AG61="","",AC61-R61-Q61)</f>
      </c>
      <c r="Q61" s="162"/>
      <c r="R61" s="162"/>
      <c r="S61" s="161"/>
      <c r="T61" s="161"/>
      <c r="U61" s="161"/>
      <c r="V61" s="161"/>
      <c r="W61" s="161"/>
      <c r="X61" s="161"/>
      <c r="Y61" s="161"/>
      <c r="Z61" s="161"/>
      <c r="AA61" s="161"/>
      <c r="AB61" s="160"/>
      <c r="AC61" s="163"/>
      <c r="AD61" t="str" s="159" cm="1">
        <f t="array" ref="AD61">IF(AG61="","",AG61-AF61)</f>
      </c>
      <c r="AE61" s="160"/>
      <c r="AF61" s="158"/>
      <c r="AG61" s="160"/>
      <c r="AH61" s="164"/>
      <c r="AI61" s="163"/>
      <c r="AJ61" s="161"/>
      <c r="AK61" s="161"/>
      <c r="AL61" s="160"/>
      <c r="AM61" s="165"/>
      <c r="AN61" s="166"/>
      <c r="AO61" s="10"/>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row>
    <row r="62" ht="25.5" customHeight="1">
      <c r="A62" s="155" cm="1">
        <f t="array" ref="A62">A61+1</f>
        <v>50</v>
      </c>
      <c r="B62" s="151"/>
      <c r="C62" s="170"/>
      <c r="D62" t="str" s="157" cm="1">
        <f t="array" ref="D62">IF(F62="","",F62-E62)</f>
      </c>
      <c r="E62" s="158"/>
      <c r="F62" t="str" s="159" cm="1">
        <f t="array" ref="F62">IF(I62="","",I62-H62)</f>
      </c>
      <c r="G62" s="160"/>
      <c r="H62" s="158"/>
      <c r="I62" t="str" s="159" cm="1">
        <f t="array" ref="I62">IF(P62="","",P62-K62)</f>
      </c>
      <c r="J62" s="160"/>
      <c r="K62" s="158"/>
      <c r="L62" s="161"/>
      <c r="M62" s="161"/>
      <c r="N62" s="161"/>
      <c r="O62" s="161"/>
      <c r="P62" t="str" s="159" cm="1">
        <f t="array" ref="P62">IF(AG62="","",AC62-R62-Q62)</f>
      </c>
      <c r="Q62" s="162"/>
      <c r="R62" s="162"/>
      <c r="S62" s="161"/>
      <c r="T62" s="161"/>
      <c r="U62" s="161"/>
      <c r="V62" s="161"/>
      <c r="W62" s="161"/>
      <c r="X62" s="161"/>
      <c r="Y62" s="161"/>
      <c r="Z62" s="161"/>
      <c r="AA62" s="161"/>
      <c r="AB62" s="160"/>
      <c r="AC62" s="163"/>
      <c r="AD62" t="str" s="159" cm="1">
        <f t="array" ref="AD62">IF(AG62="","",AG62-AF62)</f>
      </c>
      <c r="AE62" s="160"/>
      <c r="AF62" s="158"/>
      <c r="AG62" s="160"/>
      <c r="AH62" s="164"/>
      <c r="AI62" s="163"/>
      <c r="AJ62" s="161"/>
      <c r="AK62" s="161"/>
      <c r="AL62" s="160"/>
      <c r="AM62" s="165"/>
      <c r="AN62" s="166"/>
      <c r="AO62" s="10"/>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row>
    <row r="63" ht="25.5" customHeight="1">
      <c r="A63" s="155" cm="1">
        <f t="array" ref="A63">A62+1</f>
        <v>51</v>
      </c>
      <c r="B63" s="151"/>
      <c r="C63" s="170"/>
      <c r="D63" t="str" s="157" cm="1">
        <f t="array" ref="D63">IF(F63="","",F63-E63)</f>
      </c>
      <c r="E63" s="158"/>
      <c r="F63" t="str" s="159" cm="1">
        <f t="array" ref="F63">IF(I63="","",I63-H63)</f>
      </c>
      <c r="G63" s="160"/>
      <c r="H63" s="158"/>
      <c r="I63" t="str" s="159" cm="1">
        <f t="array" ref="I63">IF(P63="","",P63-K63)</f>
      </c>
      <c r="J63" s="160"/>
      <c r="K63" s="158"/>
      <c r="L63" s="161"/>
      <c r="M63" s="161"/>
      <c r="N63" s="161"/>
      <c r="O63" s="161"/>
      <c r="P63" t="str" s="159" cm="1">
        <f t="array" ref="P63">IF(AG63="","",AC63-R63-Q63)</f>
      </c>
      <c r="Q63" s="162"/>
      <c r="R63" s="162"/>
      <c r="S63" s="161"/>
      <c r="T63" s="161"/>
      <c r="U63" s="161"/>
      <c r="V63" s="161"/>
      <c r="W63" s="161"/>
      <c r="X63" s="161"/>
      <c r="Y63" s="161"/>
      <c r="Z63" s="161"/>
      <c r="AA63" s="161"/>
      <c r="AB63" s="160"/>
      <c r="AC63" s="163"/>
      <c r="AD63" t="str" s="159" cm="1">
        <f t="array" ref="AD63">IF(AG63="","",AG63-AF63)</f>
      </c>
      <c r="AE63" s="160"/>
      <c r="AF63" s="158"/>
      <c r="AG63" s="160"/>
      <c r="AH63" s="164"/>
      <c r="AI63" s="163"/>
      <c r="AJ63" s="161"/>
      <c r="AK63" s="161"/>
      <c r="AL63" s="160"/>
      <c r="AM63" s="165"/>
      <c r="AN63" s="166"/>
      <c r="AO63" s="10"/>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row>
    <row r="64" ht="25.5" customHeight="1">
      <c r="A64" s="155" cm="1">
        <f t="array" ref="A64">A63+1</f>
        <v>52</v>
      </c>
      <c r="B64" s="151"/>
      <c r="C64" s="170"/>
      <c r="D64" t="str" s="157" cm="1">
        <f t="array" ref="D64">IF(F64="","",F64-E64)</f>
      </c>
      <c r="E64" s="158"/>
      <c r="F64" t="str" s="159" cm="1">
        <f t="array" ref="F64">IF(I64="","",I64-H64)</f>
      </c>
      <c r="G64" s="160"/>
      <c r="H64" s="158"/>
      <c r="I64" t="str" s="159" cm="1">
        <f t="array" ref="I64">IF(P64="","",P64-K64)</f>
      </c>
      <c r="J64" s="160"/>
      <c r="K64" s="158"/>
      <c r="L64" s="161"/>
      <c r="M64" s="161"/>
      <c r="N64" s="161"/>
      <c r="O64" s="161"/>
      <c r="P64" t="str" s="159" cm="1">
        <f t="array" ref="P64">IF(AG64="","",AC64-R64-Q64)</f>
      </c>
      <c r="Q64" s="162"/>
      <c r="R64" s="162"/>
      <c r="S64" s="161"/>
      <c r="T64" s="161"/>
      <c r="U64" s="161"/>
      <c r="V64" s="161"/>
      <c r="W64" s="161"/>
      <c r="X64" s="161"/>
      <c r="Y64" s="161"/>
      <c r="Z64" s="161"/>
      <c r="AA64" s="161"/>
      <c r="AB64" s="160"/>
      <c r="AC64" s="163"/>
      <c r="AD64" t="str" s="159" cm="1">
        <f t="array" ref="AD64">IF(AG64="","",AG64-AF64)</f>
      </c>
      <c r="AE64" s="160"/>
      <c r="AF64" s="158"/>
      <c r="AG64" s="160"/>
      <c r="AH64" s="164"/>
      <c r="AI64" s="163"/>
      <c r="AJ64" s="161"/>
      <c r="AK64" s="161"/>
      <c r="AL64" s="160"/>
      <c r="AM64" s="165"/>
      <c r="AN64" s="166"/>
      <c r="AO64" s="10"/>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row>
    <row r="65" ht="25.5" customHeight="1">
      <c r="A65" s="155" cm="1">
        <f t="array" ref="A65">A64+1</f>
        <v>53</v>
      </c>
      <c r="B65" s="151"/>
      <c r="C65" s="170"/>
      <c r="D65" t="str" s="157" cm="1">
        <f t="array" ref="D65">IF(F65="","",F65-E65)</f>
      </c>
      <c r="E65" s="158"/>
      <c r="F65" t="str" s="159" cm="1">
        <f t="array" ref="F65">IF(I65="","",I65-H65)</f>
      </c>
      <c r="G65" s="160"/>
      <c r="H65" s="158"/>
      <c r="I65" t="str" s="159" cm="1">
        <f t="array" ref="I65">IF(P65="","",P65-K65)</f>
      </c>
      <c r="J65" s="160"/>
      <c r="K65" s="158"/>
      <c r="L65" s="161"/>
      <c r="M65" s="161"/>
      <c r="N65" s="161"/>
      <c r="O65" s="161"/>
      <c r="P65" t="str" s="159" cm="1">
        <f t="array" ref="P65">IF(AG65="","",AC65-R65-Q65)</f>
      </c>
      <c r="Q65" s="162"/>
      <c r="R65" s="162"/>
      <c r="S65" s="161"/>
      <c r="T65" s="161"/>
      <c r="U65" s="161"/>
      <c r="V65" s="161"/>
      <c r="W65" s="161"/>
      <c r="X65" s="161"/>
      <c r="Y65" s="161"/>
      <c r="Z65" s="161"/>
      <c r="AA65" s="161"/>
      <c r="AB65" s="160"/>
      <c r="AC65" s="163"/>
      <c r="AD65" t="str" s="159" cm="1">
        <f t="array" ref="AD65">IF(AG65="","",AG65-AF65)</f>
      </c>
      <c r="AE65" s="160"/>
      <c r="AF65" s="158"/>
      <c r="AG65" s="160"/>
      <c r="AH65" s="164"/>
      <c r="AI65" s="163"/>
      <c r="AJ65" s="161"/>
      <c r="AK65" s="161"/>
      <c r="AL65" s="160"/>
      <c r="AM65" s="165"/>
      <c r="AN65" s="166"/>
      <c r="AO65" s="10"/>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row>
    <row r="66" ht="25.5" customHeight="1">
      <c r="A66" s="155" cm="1">
        <f t="array" ref="A66">A65+1</f>
        <v>54</v>
      </c>
      <c r="B66" s="151"/>
      <c r="C66" s="170"/>
      <c r="D66" t="str" s="157" cm="1">
        <f t="array" ref="D66">IF(F66="","",F66-E66)</f>
      </c>
      <c r="E66" s="158"/>
      <c r="F66" t="str" s="159" cm="1">
        <f t="array" ref="F66">IF(I66="","",I66-H66)</f>
      </c>
      <c r="G66" s="160"/>
      <c r="H66" s="158"/>
      <c r="I66" t="str" s="159" cm="1">
        <f t="array" ref="I66">IF(P66="","",P66-K66)</f>
      </c>
      <c r="J66" s="160"/>
      <c r="K66" s="158"/>
      <c r="L66" s="161"/>
      <c r="M66" s="161"/>
      <c r="N66" s="161"/>
      <c r="O66" s="161"/>
      <c r="P66" t="str" s="159" cm="1">
        <f t="array" ref="P66">IF(AG66="","",AC66-R66-Q66)</f>
      </c>
      <c r="Q66" s="162"/>
      <c r="R66" s="162"/>
      <c r="S66" s="161"/>
      <c r="T66" s="161"/>
      <c r="U66" s="161"/>
      <c r="V66" s="161"/>
      <c r="W66" s="161"/>
      <c r="X66" s="161"/>
      <c r="Y66" s="161"/>
      <c r="Z66" s="161"/>
      <c r="AA66" s="161"/>
      <c r="AB66" s="160"/>
      <c r="AC66" s="163"/>
      <c r="AD66" t="str" s="159" cm="1">
        <f t="array" ref="AD66">IF(AG66="","",AG66-AF66)</f>
      </c>
      <c r="AE66" s="160"/>
      <c r="AF66" s="158"/>
      <c r="AG66" s="160"/>
      <c r="AH66" s="164"/>
      <c r="AI66" s="163"/>
      <c r="AJ66" s="161"/>
      <c r="AK66" s="161"/>
      <c r="AL66" s="160"/>
      <c r="AM66" s="165"/>
      <c r="AN66" s="166"/>
      <c r="AO66" s="10"/>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row>
    <row r="67" ht="25.5" customHeight="1">
      <c r="A67" s="155" cm="1">
        <f t="array" ref="A67">A66+1</f>
        <v>55</v>
      </c>
      <c r="B67" s="151"/>
      <c r="C67" s="170"/>
      <c r="D67" t="str" s="157" cm="1">
        <f t="array" ref="D67">IF(F67="","",F67-E67)</f>
      </c>
      <c r="E67" s="158"/>
      <c r="F67" t="str" s="159" cm="1">
        <f t="array" ref="F67">IF(I67="","",I67-H67)</f>
      </c>
      <c r="G67" s="160"/>
      <c r="H67" s="158"/>
      <c r="I67" t="str" s="159" cm="1">
        <f t="array" ref="I67">IF(P67="","",P67-K67)</f>
      </c>
      <c r="J67" s="160"/>
      <c r="K67" s="158"/>
      <c r="L67" s="161"/>
      <c r="M67" s="161"/>
      <c r="N67" s="161"/>
      <c r="O67" s="161"/>
      <c r="P67" t="str" s="159" cm="1">
        <f t="array" ref="P67">IF(AG67="","",AC67-R67-Q67)</f>
      </c>
      <c r="Q67" s="162"/>
      <c r="R67" s="162"/>
      <c r="S67" s="161"/>
      <c r="T67" s="161"/>
      <c r="U67" s="161"/>
      <c r="V67" s="161"/>
      <c r="W67" s="161"/>
      <c r="X67" s="161"/>
      <c r="Y67" s="161"/>
      <c r="Z67" s="161"/>
      <c r="AA67" s="161"/>
      <c r="AB67" s="160"/>
      <c r="AC67" s="163"/>
      <c r="AD67" t="str" s="159" cm="1">
        <f t="array" ref="AD67">IF(AG67="","",AG67-AF67)</f>
      </c>
      <c r="AE67" s="160"/>
      <c r="AF67" s="158"/>
      <c r="AG67" s="160"/>
      <c r="AH67" s="164"/>
      <c r="AI67" s="163"/>
      <c r="AJ67" s="161"/>
      <c r="AK67" s="161"/>
      <c r="AL67" s="160"/>
      <c r="AM67" s="165"/>
      <c r="AN67" s="166"/>
      <c r="AO67" s="10"/>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row>
    <row r="68" ht="25.5" customHeight="1">
      <c r="A68" s="155" cm="1">
        <f t="array" ref="A68">A67+1</f>
        <v>56</v>
      </c>
      <c r="B68" s="151"/>
      <c r="C68" s="170"/>
      <c r="D68" t="str" s="157" cm="1">
        <f t="array" ref="D68">IF(F68="","",F68-E68)</f>
      </c>
      <c r="E68" s="158"/>
      <c r="F68" t="str" s="159" cm="1">
        <f t="array" ref="F68">IF(I68="","",I68-H68)</f>
      </c>
      <c r="G68" s="160"/>
      <c r="H68" s="158"/>
      <c r="I68" t="str" s="159" cm="1">
        <f t="array" ref="I68">IF(P68="","",P68-K68)</f>
      </c>
      <c r="J68" s="160"/>
      <c r="K68" s="158"/>
      <c r="L68" s="161"/>
      <c r="M68" s="161"/>
      <c r="N68" s="161"/>
      <c r="O68" s="161"/>
      <c r="P68" t="str" s="159" cm="1">
        <f t="array" ref="P68">IF(AG68="","",AC68-R68-Q68)</f>
      </c>
      <c r="Q68" s="162"/>
      <c r="R68" s="162"/>
      <c r="S68" s="161"/>
      <c r="T68" s="161"/>
      <c r="U68" s="161"/>
      <c r="V68" s="161"/>
      <c r="W68" s="161"/>
      <c r="X68" s="161"/>
      <c r="Y68" s="161"/>
      <c r="Z68" s="161"/>
      <c r="AA68" s="161"/>
      <c r="AB68" s="160"/>
      <c r="AC68" s="163"/>
      <c r="AD68" t="str" s="159" cm="1">
        <f t="array" ref="AD68">IF(AG68="","",AG68-AF68)</f>
      </c>
      <c r="AE68" s="160"/>
      <c r="AF68" s="158"/>
      <c r="AG68" s="160"/>
      <c r="AH68" s="164"/>
      <c r="AI68" s="163"/>
      <c r="AJ68" s="161"/>
      <c r="AK68" s="161"/>
      <c r="AL68" s="160"/>
      <c r="AM68" s="165"/>
      <c r="AN68" s="166"/>
      <c r="AO68" s="10"/>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row>
    <row r="69" ht="25.5" customHeight="1">
      <c r="A69" s="155" cm="1">
        <f t="array" ref="A69">A68+1</f>
        <v>57</v>
      </c>
      <c r="B69" s="151"/>
      <c r="C69" s="170"/>
      <c r="D69" t="str" s="157" cm="1">
        <f t="array" ref="D69">IF(F69="","",F69-E69)</f>
      </c>
      <c r="E69" s="158"/>
      <c r="F69" t="str" s="159" cm="1">
        <f t="array" ref="F69">IF(I69="","",I69-H69)</f>
      </c>
      <c r="G69" s="160"/>
      <c r="H69" s="158"/>
      <c r="I69" t="str" s="159" cm="1">
        <f t="array" ref="I69">IF(P69="","",P69-K69)</f>
      </c>
      <c r="J69" s="160"/>
      <c r="K69" s="158"/>
      <c r="L69" s="161"/>
      <c r="M69" s="161"/>
      <c r="N69" s="161"/>
      <c r="O69" s="161"/>
      <c r="P69" t="str" s="159" cm="1">
        <f t="array" ref="P69">IF(AG69="","",AC69-R69-Q69)</f>
      </c>
      <c r="Q69" s="162"/>
      <c r="R69" s="162"/>
      <c r="S69" s="161"/>
      <c r="T69" s="161"/>
      <c r="U69" s="161"/>
      <c r="V69" s="161"/>
      <c r="W69" s="161"/>
      <c r="X69" s="161"/>
      <c r="Y69" s="161"/>
      <c r="Z69" s="161"/>
      <c r="AA69" s="161"/>
      <c r="AB69" s="160"/>
      <c r="AC69" s="163"/>
      <c r="AD69" t="str" s="159" cm="1">
        <f t="array" ref="AD69">IF(AG69="","",AG69-AF69)</f>
      </c>
      <c r="AE69" s="160"/>
      <c r="AF69" s="158"/>
      <c r="AG69" s="160"/>
      <c r="AH69" s="164"/>
      <c r="AI69" s="163"/>
      <c r="AJ69" s="161"/>
      <c r="AK69" s="161"/>
      <c r="AL69" s="160"/>
      <c r="AM69" s="165"/>
      <c r="AN69" s="166"/>
      <c r="AO69" s="10"/>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row>
    <row r="70" ht="25.5" customHeight="1">
      <c r="A70" s="155" cm="1">
        <f t="array" ref="A70">A69+1</f>
        <v>58</v>
      </c>
      <c r="B70" s="151"/>
      <c r="C70" s="170"/>
      <c r="D70" t="str" s="157" cm="1">
        <f t="array" ref="D70">IF(F70="","",F70-E70)</f>
      </c>
      <c r="E70" s="158"/>
      <c r="F70" t="str" s="159" cm="1">
        <f t="array" ref="F70">IF(I70="","",I70-H70)</f>
      </c>
      <c r="G70" s="160"/>
      <c r="H70" s="158"/>
      <c r="I70" t="str" s="159" cm="1">
        <f t="array" ref="I70">IF(P70="","",P70-K70)</f>
      </c>
      <c r="J70" s="160"/>
      <c r="K70" s="158"/>
      <c r="L70" s="161"/>
      <c r="M70" s="161"/>
      <c r="N70" s="161"/>
      <c r="O70" s="161"/>
      <c r="P70" t="str" s="159" cm="1">
        <f t="array" ref="P70">IF(AG70="","",AC70-R70-Q70)</f>
      </c>
      <c r="Q70" s="162"/>
      <c r="R70" s="162"/>
      <c r="S70" s="161"/>
      <c r="T70" s="161"/>
      <c r="U70" s="161"/>
      <c r="V70" s="161"/>
      <c r="W70" s="161"/>
      <c r="X70" s="161"/>
      <c r="Y70" s="161"/>
      <c r="Z70" s="161"/>
      <c r="AA70" s="161"/>
      <c r="AB70" s="160"/>
      <c r="AC70" s="163"/>
      <c r="AD70" t="str" s="159" cm="1">
        <f t="array" ref="AD70">IF(AG70="","",AG70-AF70)</f>
      </c>
      <c r="AE70" s="160"/>
      <c r="AF70" s="158"/>
      <c r="AG70" s="160"/>
      <c r="AH70" s="164"/>
      <c r="AI70" s="163"/>
      <c r="AJ70" s="161"/>
      <c r="AK70" s="161"/>
      <c r="AL70" s="160"/>
      <c r="AM70" s="165"/>
      <c r="AN70" s="166"/>
      <c r="AO70" s="10"/>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row>
    <row r="71" ht="25.5" customHeight="1">
      <c r="A71" s="155" cm="1">
        <f t="array" ref="A71">A70+1</f>
        <v>59</v>
      </c>
      <c r="B71" s="151"/>
      <c r="C71" s="170"/>
      <c r="D71" t="str" s="157" cm="1">
        <f t="array" ref="D71">IF(F71="","",F71-E71)</f>
      </c>
      <c r="E71" s="158"/>
      <c r="F71" t="str" s="159" cm="1">
        <f t="array" ref="F71">IF(I71="","",I71-H71)</f>
      </c>
      <c r="G71" s="160"/>
      <c r="H71" s="158"/>
      <c r="I71" t="str" s="159" cm="1">
        <f t="array" ref="I71">IF(P71="","",P71-K71)</f>
      </c>
      <c r="J71" s="160"/>
      <c r="K71" s="158"/>
      <c r="L71" s="161"/>
      <c r="M71" s="161"/>
      <c r="N71" s="161"/>
      <c r="O71" s="161"/>
      <c r="P71" t="str" s="159" cm="1">
        <f t="array" ref="P71">IF(AG71="","",AC71-R71-Q71)</f>
      </c>
      <c r="Q71" s="162"/>
      <c r="R71" s="162"/>
      <c r="S71" s="161"/>
      <c r="T71" s="161"/>
      <c r="U71" s="161"/>
      <c r="V71" s="161"/>
      <c r="W71" s="161"/>
      <c r="X71" s="161"/>
      <c r="Y71" s="161"/>
      <c r="Z71" s="161"/>
      <c r="AA71" s="161"/>
      <c r="AB71" s="160"/>
      <c r="AC71" s="163"/>
      <c r="AD71" t="str" s="159" cm="1">
        <f t="array" ref="AD71">IF(AG71="","",AG71-AF71)</f>
      </c>
      <c r="AE71" s="160"/>
      <c r="AF71" s="158"/>
      <c r="AG71" s="160"/>
      <c r="AH71" s="164"/>
      <c r="AI71" s="163"/>
      <c r="AJ71" s="161"/>
      <c r="AK71" s="161"/>
      <c r="AL71" s="160"/>
      <c r="AM71" s="165"/>
      <c r="AN71" s="166"/>
      <c r="AO71" s="10"/>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row>
    <row r="72" ht="25.5" customHeight="1">
      <c r="A72" s="155" cm="1">
        <f t="array" ref="A72">A71+1</f>
        <v>60</v>
      </c>
      <c r="B72" s="151"/>
      <c r="C72" s="170"/>
      <c r="D72" t="str" s="157" cm="1">
        <f t="array" ref="D72">IF(F72="","",F72-E72)</f>
      </c>
      <c r="E72" s="158"/>
      <c r="F72" t="str" s="159" cm="1">
        <f t="array" ref="F72">IF(I72="","",I72-H72)</f>
      </c>
      <c r="G72" s="160"/>
      <c r="H72" s="158"/>
      <c r="I72" t="str" s="159" cm="1">
        <f t="array" ref="I72">IF(P72="","",P72-K72)</f>
      </c>
      <c r="J72" s="160"/>
      <c r="K72" s="158"/>
      <c r="L72" s="161"/>
      <c r="M72" s="161"/>
      <c r="N72" s="161"/>
      <c r="O72" s="161"/>
      <c r="P72" t="str" s="159" cm="1">
        <f t="array" ref="P72">IF(AG72="","",AC72-R72-Q72)</f>
      </c>
      <c r="Q72" s="162"/>
      <c r="R72" s="162"/>
      <c r="S72" s="161"/>
      <c r="T72" s="161"/>
      <c r="U72" s="161"/>
      <c r="V72" s="161"/>
      <c r="W72" s="161"/>
      <c r="X72" s="161"/>
      <c r="Y72" s="161"/>
      <c r="Z72" s="161"/>
      <c r="AA72" s="161"/>
      <c r="AB72" s="160"/>
      <c r="AC72" s="163"/>
      <c r="AD72" t="str" s="159" cm="1">
        <f t="array" ref="AD72">IF(AG72="","",AG72-AF72)</f>
      </c>
      <c r="AE72" s="160"/>
      <c r="AF72" s="158"/>
      <c r="AG72" s="160"/>
      <c r="AH72" s="164"/>
      <c r="AI72" s="163"/>
      <c r="AJ72" s="161"/>
      <c r="AK72" s="161"/>
      <c r="AL72" s="160"/>
      <c r="AM72" s="165"/>
      <c r="AN72" s="166"/>
      <c r="AO72" s="10"/>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row>
    <row r="73" ht="25.5" customHeight="1">
      <c r="A73" s="155" cm="1">
        <f t="array" ref="A73">A72+1</f>
        <v>61</v>
      </c>
      <c r="B73" s="151"/>
      <c r="C73" s="170"/>
      <c r="D73" t="str" s="157" cm="1">
        <f t="array" ref="D73">IF(F73="","",F73-E73)</f>
      </c>
      <c r="E73" s="158"/>
      <c r="F73" t="str" s="159" cm="1">
        <f t="array" ref="F73">IF(I73="","",I73-H73)</f>
      </c>
      <c r="G73" s="160"/>
      <c r="H73" s="158"/>
      <c r="I73" t="str" s="159" cm="1">
        <f t="array" ref="I73">IF(P73="","",P73-K73)</f>
      </c>
      <c r="J73" s="160"/>
      <c r="K73" s="158"/>
      <c r="L73" s="161"/>
      <c r="M73" s="161"/>
      <c r="N73" s="161"/>
      <c r="O73" s="161"/>
      <c r="P73" t="str" s="159" cm="1">
        <f t="array" ref="P73">IF(AG73="","",AC73-R73-Q73)</f>
      </c>
      <c r="Q73" s="162"/>
      <c r="R73" s="162"/>
      <c r="S73" s="161"/>
      <c r="T73" s="161"/>
      <c r="U73" s="161"/>
      <c r="V73" s="161"/>
      <c r="W73" s="161"/>
      <c r="X73" s="161"/>
      <c r="Y73" s="161"/>
      <c r="Z73" s="161"/>
      <c r="AA73" s="161"/>
      <c r="AB73" s="160"/>
      <c r="AC73" s="163"/>
      <c r="AD73" t="str" s="159" cm="1">
        <f t="array" ref="AD73">IF(AG73="","",AG73-AF73)</f>
      </c>
      <c r="AE73" s="160"/>
      <c r="AF73" s="158"/>
      <c r="AG73" s="160"/>
      <c r="AH73" s="164"/>
      <c r="AI73" s="163"/>
      <c r="AJ73" s="161"/>
      <c r="AK73" s="161"/>
      <c r="AL73" s="160"/>
      <c r="AM73" s="165"/>
      <c r="AN73" s="166"/>
      <c r="AO73" s="10"/>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row>
    <row r="74" ht="25.5" customHeight="1">
      <c r="A74" s="155" cm="1">
        <f t="array" ref="A74">A73+1</f>
        <v>62</v>
      </c>
      <c r="B74" s="151"/>
      <c r="C74" s="170"/>
      <c r="D74" t="str" s="157" cm="1">
        <f t="array" ref="D74">IF(F74="","",F74-E74)</f>
      </c>
      <c r="E74" s="158"/>
      <c r="F74" t="str" s="159" cm="1">
        <f t="array" ref="F74">IF(I74="","",I74-H74)</f>
      </c>
      <c r="G74" s="160"/>
      <c r="H74" s="158"/>
      <c r="I74" t="str" s="159" cm="1">
        <f t="array" ref="I74">IF(P74="","",P74-K74)</f>
      </c>
      <c r="J74" s="160"/>
      <c r="K74" s="158"/>
      <c r="L74" s="161"/>
      <c r="M74" s="161"/>
      <c r="N74" s="161"/>
      <c r="O74" s="161"/>
      <c r="P74" t="str" s="159" cm="1">
        <f t="array" ref="P74">IF(AG74="","",AC74-R74-Q74)</f>
      </c>
      <c r="Q74" s="162"/>
      <c r="R74" s="162"/>
      <c r="S74" s="161"/>
      <c r="T74" s="161"/>
      <c r="U74" s="161"/>
      <c r="V74" s="161"/>
      <c r="W74" s="161"/>
      <c r="X74" s="161"/>
      <c r="Y74" s="161"/>
      <c r="Z74" s="161"/>
      <c r="AA74" s="161"/>
      <c r="AB74" s="160"/>
      <c r="AC74" s="163"/>
      <c r="AD74" t="str" s="159" cm="1">
        <f t="array" ref="AD74">IF(AG74="","",AG74-AF74)</f>
      </c>
      <c r="AE74" s="160"/>
      <c r="AF74" s="158"/>
      <c r="AG74" s="160"/>
      <c r="AH74" s="164"/>
      <c r="AI74" s="163"/>
      <c r="AJ74" s="161"/>
      <c r="AK74" s="161"/>
      <c r="AL74" s="160"/>
      <c r="AM74" s="165"/>
      <c r="AN74" s="166"/>
      <c r="AO74" s="10"/>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row>
    <row r="75" ht="25.5" customHeight="1">
      <c r="A75" s="155" cm="1">
        <f t="array" ref="A75">A74+1</f>
        <v>63</v>
      </c>
      <c r="B75" s="151"/>
      <c r="C75" s="170"/>
      <c r="D75" t="str" s="157" cm="1">
        <f t="array" ref="D75">IF(F75="","",F75-E75)</f>
      </c>
      <c r="E75" s="158"/>
      <c r="F75" t="str" s="159" cm="1">
        <f t="array" ref="F75">IF(I75="","",I75-H75)</f>
      </c>
      <c r="G75" s="160"/>
      <c r="H75" s="158"/>
      <c r="I75" t="str" s="159" cm="1">
        <f t="array" ref="I75">IF(P75="","",P75-K75)</f>
      </c>
      <c r="J75" s="160"/>
      <c r="K75" s="158"/>
      <c r="L75" s="161"/>
      <c r="M75" s="161"/>
      <c r="N75" s="161"/>
      <c r="O75" s="161"/>
      <c r="P75" t="str" s="159" cm="1">
        <f t="array" ref="P75">IF(AG75="","",AC75-R75-Q75)</f>
      </c>
      <c r="Q75" s="162"/>
      <c r="R75" s="162"/>
      <c r="S75" s="161"/>
      <c r="T75" s="161"/>
      <c r="U75" s="161"/>
      <c r="V75" s="161"/>
      <c r="W75" s="161"/>
      <c r="X75" s="161"/>
      <c r="Y75" s="161"/>
      <c r="Z75" s="161"/>
      <c r="AA75" s="161"/>
      <c r="AB75" s="160"/>
      <c r="AC75" s="163"/>
      <c r="AD75" t="str" s="159" cm="1">
        <f t="array" ref="AD75">IF(AG75="","",AG75-AF75)</f>
      </c>
      <c r="AE75" s="160"/>
      <c r="AF75" s="158"/>
      <c r="AG75" s="160"/>
      <c r="AH75" s="164"/>
      <c r="AI75" s="163"/>
      <c r="AJ75" s="161"/>
      <c r="AK75" s="161"/>
      <c r="AL75" s="160"/>
      <c r="AM75" s="165"/>
      <c r="AN75" s="166"/>
      <c r="AO75" s="10"/>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row>
    <row r="76" ht="25.5" customHeight="1">
      <c r="A76" s="155" cm="1">
        <f t="array" ref="A76">A75+1</f>
        <v>64</v>
      </c>
      <c r="B76" s="151"/>
      <c r="C76" s="170"/>
      <c r="D76" t="str" s="157" cm="1">
        <f t="array" ref="D76">IF(F76="","",F76-E76)</f>
      </c>
      <c r="E76" s="158"/>
      <c r="F76" t="str" s="159" cm="1">
        <f t="array" ref="F76">IF(I76="","",I76-H76)</f>
      </c>
      <c r="G76" s="160"/>
      <c r="H76" s="158"/>
      <c r="I76" t="str" s="159" cm="1">
        <f t="array" ref="I76">IF(P76="","",P76-K76)</f>
      </c>
      <c r="J76" s="160"/>
      <c r="K76" s="158"/>
      <c r="L76" s="161"/>
      <c r="M76" s="161"/>
      <c r="N76" s="161"/>
      <c r="O76" s="161"/>
      <c r="P76" t="str" s="159" cm="1">
        <f t="array" ref="P76">IF(AG76="","",AC76-R76-Q76)</f>
      </c>
      <c r="Q76" s="162"/>
      <c r="R76" s="162"/>
      <c r="S76" s="161"/>
      <c r="T76" s="161"/>
      <c r="U76" s="161"/>
      <c r="V76" s="161"/>
      <c r="W76" s="161"/>
      <c r="X76" s="161"/>
      <c r="Y76" s="161"/>
      <c r="Z76" s="161"/>
      <c r="AA76" s="161"/>
      <c r="AB76" s="160"/>
      <c r="AC76" s="163"/>
      <c r="AD76" t="str" s="159" cm="1">
        <f t="array" ref="AD76">IF(AG76="","",AG76-AF76)</f>
      </c>
      <c r="AE76" s="160"/>
      <c r="AF76" s="158"/>
      <c r="AG76" s="160"/>
      <c r="AH76" s="164"/>
      <c r="AI76" s="163"/>
      <c r="AJ76" s="161"/>
      <c r="AK76" s="161"/>
      <c r="AL76" s="160"/>
      <c r="AM76" s="165"/>
      <c r="AN76" s="166"/>
      <c r="AO76" s="10"/>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row>
    <row r="77" ht="25.5" customHeight="1">
      <c r="A77" s="155" cm="1">
        <f t="array" ref="A77">A76+1</f>
        <v>65</v>
      </c>
      <c r="B77" s="151"/>
      <c r="C77" s="170"/>
      <c r="D77" t="str" s="157" cm="1">
        <f t="array" ref="D77">IF(F77="","",F77-E77)</f>
      </c>
      <c r="E77" s="158"/>
      <c r="F77" t="str" s="159" cm="1">
        <f t="array" ref="F77">IF(I77="","",I77-H77)</f>
      </c>
      <c r="G77" s="160"/>
      <c r="H77" s="158"/>
      <c r="I77" t="str" s="159" cm="1">
        <f t="array" ref="I77">IF(P77="","",P77-K77)</f>
      </c>
      <c r="J77" s="160"/>
      <c r="K77" s="158"/>
      <c r="L77" s="161"/>
      <c r="M77" s="161"/>
      <c r="N77" s="161"/>
      <c r="O77" s="161"/>
      <c r="P77" t="str" s="159" cm="1">
        <f t="array" ref="P77">IF(AG77="","",AC77-R77-Q77)</f>
      </c>
      <c r="Q77" s="162"/>
      <c r="R77" s="162"/>
      <c r="S77" s="161"/>
      <c r="T77" s="161"/>
      <c r="U77" s="161"/>
      <c r="V77" s="161"/>
      <c r="W77" s="161"/>
      <c r="X77" s="161"/>
      <c r="Y77" s="161"/>
      <c r="Z77" s="161"/>
      <c r="AA77" s="161"/>
      <c r="AB77" s="160"/>
      <c r="AC77" s="163"/>
      <c r="AD77" t="str" s="159" cm="1">
        <f t="array" ref="AD77">IF(AG77="","",AG77-AF77)</f>
      </c>
      <c r="AE77" s="160"/>
      <c r="AF77" s="158"/>
      <c r="AG77" s="160"/>
      <c r="AH77" s="164"/>
      <c r="AI77" s="163"/>
      <c r="AJ77" s="161"/>
      <c r="AK77" s="161"/>
      <c r="AL77" s="160"/>
      <c r="AM77" s="165"/>
      <c r="AN77" s="166"/>
      <c r="AO77" s="10"/>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row>
    <row r="78" ht="25.5" customHeight="1">
      <c r="A78" s="155" cm="1">
        <f t="array" ref="A78">A77+1</f>
        <v>66</v>
      </c>
      <c r="B78" s="151"/>
      <c r="C78" s="170"/>
      <c r="D78" t="str" s="157" cm="1">
        <f t="array" ref="D78">IF(F78="","",F78-E78)</f>
      </c>
      <c r="E78" s="158"/>
      <c r="F78" t="str" s="159" cm="1">
        <f t="array" ref="F78">IF(I78="","",I78-H78)</f>
      </c>
      <c r="G78" s="160"/>
      <c r="H78" s="158"/>
      <c r="I78" t="str" s="159" cm="1">
        <f t="array" ref="I78">IF(P78="","",P78-K78)</f>
      </c>
      <c r="J78" s="160"/>
      <c r="K78" s="158"/>
      <c r="L78" s="161"/>
      <c r="M78" s="161"/>
      <c r="N78" s="161"/>
      <c r="O78" s="161"/>
      <c r="P78" t="str" s="159" cm="1">
        <f t="array" ref="P78">IF(AG78="","",AC78-R78-Q78)</f>
      </c>
      <c r="Q78" s="162"/>
      <c r="R78" s="162"/>
      <c r="S78" s="161"/>
      <c r="T78" s="161"/>
      <c r="U78" s="161"/>
      <c r="V78" s="161"/>
      <c r="W78" s="161"/>
      <c r="X78" s="161"/>
      <c r="Y78" s="161"/>
      <c r="Z78" s="161"/>
      <c r="AA78" s="161"/>
      <c r="AB78" s="160"/>
      <c r="AC78" s="163"/>
      <c r="AD78" t="str" s="159" cm="1">
        <f t="array" ref="AD78">IF(AG78="","",AG78-AF78)</f>
      </c>
      <c r="AE78" s="160"/>
      <c r="AF78" s="158"/>
      <c r="AG78" s="160"/>
      <c r="AH78" s="164"/>
      <c r="AI78" s="163"/>
      <c r="AJ78" s="161"/>
      <c r="AK78" s="161"/>
      <c r="AL78" s="160"/>
      <c r="AM78" s="165"/>
      <c r="AN78" s="166"/>
      <c r="AO78" s="10"/>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row>
    <row r="79" ht="25.5" customHeight="1">
      <c r="A79" s="155" cm="1">
        <f t="array" ref="A79">A78+1</f>
        <v>67</v>
      </c>
      <c r="B79" s="151"/>
      <c r="C79" s="170"/>
      <c r="D79" t="str" s="157" cm="1">
        <f t="array" ref="D79">IF(F79="","",F79-E79)</f>
      </c>
      <c r="E79" s="158"/>
      <c r="F79" t="str" s="159" cm="1">
        <f t="array" ref="F79">IF(I79="","",I79-H79)</f>
      </c>
      <c r="G79" s="160"/>
      <c r="H79" s="158"/>
      <c r="I79" t="str" s="159" cm="1">
        <f t="array" ref="I79">IF(P79="","",P79-K79)</f>
      </c>
      <c r="J79" s="160"/>
      <c r="K79" s="158"/>
      <c r="L79" s="161"/>
      <c r="M79" s="161"/>
      <c r="N79" s="161"/>
      <c r="O79" s="161"/>
      <c r="P79" t="str" s="159" cm="1">
        <f t="array" ref="P79">IF(AG79="","",AC79-R79-Q79)</f>
      </c>
      <c r="Q79" s="162"/>
      <c r="R79" s="162"/>
      <c r="S79" s="161"/>
      <c r="T79" s="161"/>
      <c r="U79" s="161"/>
      <c r="V79" s="161"/>
      <c r="W79" s="161"/>
      <c r="X79" s="161"/>
      <c r="Y79" s="161"/>
      <c r="Z79" s="161"/>
      <c r="AA79" s="161"/>
      <c r="AB79" s="160"/>
      <c r="AC79" s="163"/>
      <c r="AD79" t="str" s="159" cm="1">
        <f t="array" ref="AD79">IF(AG79="","",AG79-AF79)</f>
      </c>
      <c r="AE79" s="160"/>
      <c r="AF79" s="158"/>
      <c r="AG79" s="160"/>
      <c r="AH79" s="164"/>
      <c r="AI79" s="163"/>
      <c r="AJ79" s="161"/>
      <c r="AK79" s="161"/>
      <c r="AL79" s="160"/>
      <c r="AM79" s="165"/>
      <c r="AN79" s="166"/>
      <c r="AO79" s="10"/>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row>
    <row r="80" ht="25.5" customHeight="1">
      <c r="A80" s="155" cm="1">
        <f t="array" ref="A80">A79+1</f>
        <v>68</v>
      </c>
      <c r="B80" s="151"/>
      <c r="C80" s="170"/>
      <c r="D80" t="str" s="157" cm="1">
        <f t="array" ref="D80">IF(F80="","",F80-E80)</f>
      </c>
      <c r="E80" s="158"/>
      <c r="F80" t="str" s="159" cm="1">
        <f t="array" ref="F80">IF(I80="","",I80-H80)</f>
      </c>
      <c r="G80" s="160"/>
      <c r="H80" s="158"/>
      <c r="I80" t="str" s="159" cm="1">
        <f t="array" ref="I80">IF(P80="","",P80-K80)</f>
      </c>
      <c r="J80" s="160"/>
      <c r="K80" s="158"/>
      <c r="L80" s="161"/>
      <c r="M80" s="161"/>
      <c r="N80" s="161"/>
      <c r="O80" s="161"/>
      <c r="P80" t="str" s="159" cm="1">
        <f t="array" ref="P80">IF(AG80="","",AC80-R80-Q80)</f>
      </c>
      <c r="Q80" s="162"/>
      <c r="R80" s="162"/>
      <c r="S80" s="161"/>
      <c r="T80" s="161"/>
      <c r="U80" s="161"/>
      <c r="V80" s="161"/>
      <c r="W80" s="161"/>
      <c r="X80" s="161"/>
      <c r="Y80" s="161"/>
      <c r="Z80" s="161"/>
      <c r="AA80" s="161"/>
      <c r="AB80" s="160"/>
      <c r="AC80" s="163"/>
      <c r="AD80" t="str" s="159" cm="1">
        <f t="array" ref="AD80">IF(AG80="","",AG80-AF80)</f>
      </c>
      <c r="AE80" s="160"/>
      <c r="AF80" s="158"/>
      <c r="AG80" s="160"/>
      <c r="AH80" s="164"/>
      <c r="AI80" s="163"/>
      <c r="AJ80" s="161"/>
      <c r="AK80" s="161"/>
      <c r="AL80" s="160"/>
      <c r="AM80" s="165"/>
      <c r="AN80" s="166"/>
      <c r="AO80" s="10"/>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row>
    <row r="81" ht="25.5" customHeight="1">
      <c r="A81" s="155" cm="1">
        <f t="array" ref="A81">A80+1</f>
        <v>69</v>
      </c>
      <c r="B81" s="151"/>
      <c r="C81" s="170"/>
      <c r="D81" t="str" s="157" cm="1">
        <f t="array" ref="D81">IF(F81="","",F81-E81)</f>
      </c>
      <c r="E81" s="158"/>
      <c r="F81" t="str" s="159" cm="1">
        <f t="array" ref="F81">IF(I81="","",I81-H81)</f>
      </c>
      <c r="G81" s="160"/>
      <c r="H81" s="158"/>
      <c r="I81" t="str" s="159" cm="1">
        <f t="array" ref="I81">IF(P81="","",P81-K81)</f>
      </c>
      <c r="J81" s="160"/>
      <c r="K81" s="158"/>
      <c r="L81" s="161"/>
      <c r="M81" s="161"/>
      <c r="N81" s="161"/>
      <c r="O81" s="161"/>
      <c r="P81" t="str" s="159" cm="1">
        <f t="array" ref="P81">IF(AG81="","",AC81-R81-Q81)</f>
      </c>
      <c r="Q81" s="162"/>
      <c r="R81" s="162"/>
      <c r="S81" s="161"/>
      <c r="T81" s="161"/>
      <c r="U81" s="161"/>
      <c r="V81" s="161"/>
      <c r="W81" s="161"/>
      <c r="X81" s="161"/>
      <c r="Y81" s="161"/>
      <c r="Z81" s="161"/>
      <c r="AA81" s="161"/>
      <c r="AB81" s="160"/>
      <c r="AC81" s="163"/>
      <c r="AD81" t="str" s="159" cm="1">
        <f t="array" ref="AD81">IF(AG81="","",AG81-AF81)</f>
      </c>
      <c r="AE81" s="160"/>
      <c r="AF81" s="158"/>
      <c r="AG81" s="160"/>
      <c r="AH81" s="164"/>
      <c r="AI81" s="163"/>
      <c r="AJ81" s="161"/>
      <c r="AK81" s="161"/>
      <c r="AL81" s="160"/>
      <c r="AM81" s="165"/>
      <c r="AN81" s="166"/>
      <c r="AO81" s="10"/>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row>
    <row r="82" ht="25.9" customHeight="1">
      <c r="A82" s="155" cm="1">
        <f t="array" ref="A82">A81+1</f>
        <v>70</v>
      </c>
      <c r="B82" s="151"/>
      <c r="C82" s="170"/>
      <c r="D82" t="str" s="157" cm="1">
        <f t="array" ref="D82">IF(F82="","",F82-E82)</f>
      </c>
      <c r="E82" s="158"/>
      <c r="F82" t="str" s="159" cm="1">
        <f t="array" ref="F82">IF(I82="","",I82-H82)</f>
      </c>
      <c r="G82" s="160"/>
      <c r="H82" s="158"/>
      <c r="I82" t="str" s="159" cm="1">
        <f t="array" ref="I82">IF(P82="","",P82-K82)</f>
      </c>
      <c r="J82" s="160"/>
      <c r="K82" s="158"/>
      <c r="L82" s="161"/>
      <c r="M82" s="161"/>
      <c r="N82" s="161"/>
      <c r="O82" s="161"/>
      <c r="P82" t="str" s="159" cm="1">
        <f t="array" ref="P82">IF(AG82="","",AC82-R82-Q82)</f>
      </c>
      <c r="Q82" s="162"/>
      <c r="R82" s="162"/>
      <c r="S82" s="161"/>
      <c r="T82" s="161"/>
      <c r="U82" s="161"/>
      <c r="V82" s="161"/>
      <c r="W82" s="161"/>
      <c r="X82" s="161"/>
      <c r="Y82" s="161"/>
      <c r="Z82" s="161"/>
      <c r="AA82" s="161"/>
      <c r="AB82" s="160"/>
      <c r="AC82" s="163"/>
      <c r="AD82" t="str" s="159" cm="1">
        <f t="array" ref="AD82">IF(AG82="","",AG82-AF82)</f>
      </c>
      <c r="AE82" s="160"/>
      <c r="AF82" s="158"/>
      <c r="AG82" s="160"/>
      <c r="AH82" s="164"/>
      <c r="AI82" s="163"/>
      <c r="AJ82" s="161"/>
      <c r="AK82" s="161"/>
      <c r="AL82" s="160"/>
      <c r="AM82" s="165"/>
      <c r="AN82" s="166"/>
      <c r="AO82" s="10"/>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row>
    <row r="83" ht="25.5" customHeight="1">
      <c r="A83" s="155" cm="1">
        <f t="array" ref="A83">A82+1</f>
        <v>71</v>
      </c>
      <c r="B83" s="151"/>
      <c r="C83" s="170"/>
      <c r="D83" t="str" s="157" cm="1">
        <f t="array" ref="D83">IF(F83="","",F83-E83)</f>
      </c>
      <c r="E83" s="158"/>
      <c r="F83" t="str" s="159" cm="1">
        <f t="array" ref="F83">IF(I83="","",I83-H83)</f>
      </c>
      <c r="G83" s="160"/>
      <c r="H83" s="158"/>
      <c r="I83" t="str" s="159" cm="1">
        <f t="array" ref="I83">IF(P83="","",P83-K83)</f>
      </c>
      <c r="J83" s="160"/>
      <c r="K83" s="158"/>
      <c r="L83" s="161"/>
      <c r="M83" s="161"/>
      <c r="N83" s="161"/>
      <c r="O83" s="161"/>
      <c r="P83" t="str" s="159" cm="1">
        <f t="array" ref="P83">IF(AG83="","",AC83-R83-Q83)</f>
      </c>
      <c r="Q83" s="162"/>
      <c r="R83" s="162"/>
      <c r="S83" s="161"/>
      <c r="T83" s="161"/>
      <c r="U83" s="161"/>
      <c r="V83" s="161"/>
      <c r="W83" s="161"/>
      <c r="X83" s="161"/>
      <c r="Y83" s="161"/>
      <c r="Z83" s="161"/>
      <c r="AA83" s="161"/>
      <c r="AB83" s="160"/>
      <c r="AC83" s="163"/>
      <c r="AD83" t="str" s="159" cm="1">
        <f t="array" ref="AD83">IF(AG83="","",AG83-AF83)</f>
      </c>
      <c r="AE83" s="160"/>
      <c r="AF83" s="158"/>
      <c r="AG83" s="160"/>
      <c r="AH83" s="164"/>
      <c r="AI83" s="163"/>
      <c r="AJ83" s="161"/>
      <c r="AK83" s="161"/>
      <c r="AL83" s="160"/>
      <c r="AM83" s="165"/>
      <c r="AN83" s="166"/>
      <c r="AO83" s="10"/>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row>
    <row r="84" ht="25.5" customHeight="1">
      <c r="A84" s="155" cm="1">
        <f t="array" ref="A84">A83+1</f>
        <v>72</v>
      </c>
      <c r="B84" s="151"/>
      <c r="C84" s="170"/>
      <c r="D84" t="str" s="157" cm="1">
        <f t="array" ref="D84">IF(F84="","",F84-E84)</f>
      </c>
      <c r="E84" s="158"/>
      <c r="F84" t="str" s="159" cm="1">
        <f t="array" ref="F84">IF(I84="","",I84-H84)</f>
      </c>
      <c r="G84" s="160"/>
      <c r="H84" s="158"/>
      <c r="I84" t="str" s="159" cm="1">
        <f t="array" ref="I84">IF(P84="","",P84-K84)</f>
      </c>
      <c r="J84" s="160"/>
      <c r="K84" s="158"/>
      <c r="L84" s="161"/>
      <c r="M84" s="161"/>
      <c r="N84" s="161"/>
      <c r="O84" s="161"/>
      <c r="P84" t="str" s="159" cm="1">
        <f t="array" ref="P84">IF(AG84="","",AC84-R84-Q84)</f>
      </c>
      <c r="Q84" s="162"/>
      <c r="R84" s="162"/>
      <c r="S84" s="161"/>
      <c r="T84" s="161"/>
      <c r="U84" s="161"/>
      <c r="V84" s="161"/>
      <c r="W84" s="161"/>
      <c r="X84" s="161"/>
      <c r="Y84" s="161"/>
      <c r="Z84" s="161"/>
      <c r="AA84" s="161"/>
      <c r="AB84" s="160"/>
      <c r="AC84" s="163"/>
      <c r="AD84" t="str" s="159" cm="1">
        <f t="array" ref="AD84">IF(AG84="","",AG84-AF84)</f>
      </c>
      <c r="AE84" s="160"/>
      <c r="AF84" s="158"/>
      <c r="AG84" s="160"/>
      <c r="AH84" s="164"/>
      <c r="AI84" s="163"/>
      <c r="AJ84" s="161"/>
      <c r="AK84" s="161"/>
      <c r="AL84" s="160"/>
      <c r="AM84" s="165"/>
      <c r="AN84" s="166"/>
      <c r="AO84" s="10"/>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row>
    <row r="85" ht="25.5" customHeight="1">
      <c r="A85" s="155" cm="1">
        <f t="array" ref="A85">A84+1</f>
        <v>73</v>
      </c>
      <c r="B85" s="151"/>
      <c r="C85" s="170"/>
      <c r="D85" t="str" s="157" cm="1">
        <f t="array" ref="D85">IF(F85="","",F85-E85)</f>
      </c>
      <c r="E85" s="158"/>
      <c r="F85" t="str" s="159" cm="1">
        <f t="array" ref="F85">IF(I85="","",I85-H85)</f>
      </c>
      <c r="G85" s="160"/>
      <c r="H85" s="158"/>
      <c r="I85" t="str" s="159" cm="1">
        <f t="array" ref="I85">IF(P85="","",P85-K85)</f>
      </c>
      <c r="J85" s="160"/>
      <c r="K85" s="158"/>
      <c r="L85" s="161"/>
      <c r="M85" s="161"/>
      <c r="N85" s="161"/>
      <c r="O85" s="161"/>
      <c r="P85" t="str" s="159" cm="1">
        <f t="array" ref="P85">IF(AG85="","",AC85-R85-Q85)</f>
      </c>
      <c r="Q85" s="162"/>
      <c r="R85" s="162"/>
      <c r="S85" s="161"/>
      <c r="T85" s="161"/>
      <c r="U85" s="161"/>
      <c r="V85" s="161"/>
      <c r="W85" s="161"/>
      <c r="X85" s="161"/>
      <c r="Y85" s="161"/>
      <c r="Z85" s="161"/>
      <c r="AA85" s="161"/>
      <c r="AB85" s="160"/>
      <c r="AC85" s="163"/>
      <c r="AD85" t="str" s="159" cm="1">
        <f t="array" ref="AD85">IF(AG85="","",AG85-AF85)</f>
      </c>
      <c r="AE85" s="160"/>
      <c r="AF85" s="158"/>
      <c r="AG85" s="160"/>
      <c r="AH85" s="164"/>
      <c r="AI85" s="163"/>
      <c r="AJ85" s="161"/>
      <c r="AK85" s="161"/>
      <c r="AL85" s="160"/>
      <c r="AM85" s="165"/>
      <c r="AN85" s="166"/>
      <c r="AO85" s="10"/>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row>
    <row r="86" ht="25.5" customHeight="1">
      <c r="A86" s="155" cm="1">
        <f t="array" ref="A86">A85+1</f>
        <v>74</v>
      </c>
      <c r="B86" s="151"/>
      <c r="C86" s="170"/>
      <c r="D86" t="str" s="157" cm="1">
        <f t="array" ref="D86">IF(F86="","",F86-E86)</f>
      </c>
      <c r="E86" s="158"/>
      <c r="F86" t="str" s="159" cm="1">
        <f t="array" ref="F86">IF(I86="","",I86-H86)</f>
      </c>
      <c r="G86" s="160"/>
      <c r="H86" s="158"/>
      <c r="I86" t="str" s="159" cm="1">
        <f t="array" ref="I86">IF(P86="","",P86-K86)</f>
      </c>
      <c r="J86" s="160"/>
      <c r="K86" s="158"/>
      <c r="L86" s="161"/>
      <c r="M86" s="161"/>
      <c r="N86" s="161"/>
      <c r="O86" s="161"/>
      <c r="P86" t="str" s="159" cm="1">
        <f t="array" ref="P86">IF(AG86="","",AC86-R86-Q86)</f>
      </c>
      <c r="Q86" s="162"/>
      <c r="R86" s="162"/>
      <c r="S86" s="161"/>
      <c r="T86" s="161"/>
      <c r="U86" s="161"/>
      <c r="V86" s="161"/>
      <c r="W86" s="161"/>
      <c r="X86" s="161"/>
      <c r="Y86" s="161"/>
      <c r="Z86" s="161"/>
      <c r="AA86" s="161"/>
      <c r="AB86" s="160"/>
      <c r="AC86" s="163"/>
      <c r="AD86" t="str" s="159" cm="1">
        <f t="array" ref="AD86">IF(AG86="","",AG86-AF86)</f>
      </c>
      <c r="AE86" s="160"/>
      <c r="AF86" s="158"/>
      <c r="AG86" s="160"/>
      <c r="AH86" s="164"/>
      <c r="AI86" s="163"/>
      <c r="AJ86" s="161"/>
      <c r="AK86" s="161"/>
      <c r="AL86" s="160"/>
      <c r="AM86" s="165"/>
      <c r="AN86" s="166"/>
      <c r="AO86" s="10"/>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row>
    <row r="87" ht="25.5" customHeight="1">
      <c r="A87" s="155" cm="1">
        <f t="array" ref="A87">A86+1</f>
        <v>75</v>
      </c>
      <c r="B87" s="151"/>
      <c r="C87" s="170"/>
      <c r="D87" t="str" s="157" cm="1">
        <f t="array" ref="D87">IF(F87="","",F87-E87)</f>
      </c>
      <c r="E87" s="158"/>
      <c r="F87" t="str" s="159" cm="1">
        <f t="array" ref="F87">IF(I87="","",I87-H87)</f>
      </c>
      <c r="G87" s="160"/>
      <c r="H87" s="158"/>
      <c r="I87" t="str" s="159" cm="1">
        <f t="array" ref="I87">IF(P87="","",P87-K87)</f>
      </c>
      <c r="J87" s="160"/>
      <c r="K87" s="158"/>
      <c r="L87" s="161"/>
      <c r="M87" s="161"/>
      <c r="N87" s="161"/>
      <c r="O87" s="161"/>
      <c r="P87" t="str" s="159" cm="1">
        <f t="array" ref="P87">IF(AG87="","",AC87-R87-Q87)</f>
      </c>
      <c r="Q87" s="162"/>
      <c r="R87" s="162"/>
      <c r="S87" s="161"/>
      <c r="T87" s="161"/>
      <c r="U87" s="161"/>
      <c r="V87" s="161"/>
      <c r="W87" s="161"/>
      <c r="X87" s="161"/>
      <c r="Y87" s="161"/>
      <c r="Z87" s="161"/>
      <c r="AA87" s="161"/>
      <c r="AB87" s="160"/>
      <c r="AC87" s="163"/>
      <c r="AD87" t="str" s="159" cm="1">
        <f t="array" ref="AD87">IF(AG87="","",AG87-AF87)</f>
      </c>
      <c r="AE87" s="160"/>
      <c r="AF87" s="158"/>
      <c r="AG87" s="160"/>
      <c r="AH87" s="164"/>
      <c r="AI87" s="163"/>
      <c r="AJ87" s="161"/>
      <c r="AK87" s="161"/>
      <c r="AL87" s="160"/>
      <c r="AM87" s="165"/>
      <c r="AN87" s="166"/>
      <c r="AO87" s="10"/>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row>
    <row r="88" ht="25.5" customHeight="1">
      <c r="A88" s="155" cm="1">
        <f t="array" ref="A88">A87+1</f>
        <v>76</v>
      </c>
      <c r="B88" s="151"/>
      <c r="C88" s="170"/>
      <c r="D88" t="str" s="157" cm="1">
        <f t="array" ref="D88">IF(F88="","",F88-E88)</f>
      </c>
      <c r="E88" s="158"/>
      <c r="F88" t="str" s="159" cm="1">
        <f t="array" ref="F88">IF(I88="","",I88-H88)</f>
      </c>
      <c r="G88" s="160"/>
      <c r="H88" s="158"/>
      <c r="I88" t="str" s="159" cm="1">
        <f t="array" ref="I88">IF(P88="","",P88-K88)</f>
      </c>
      <c r="J88" s="160"/>
      <c r="K88" s="158"/>
      <c r="L88" s="161"/>
      <c r="M88" s="161"/>
      <c r="N88" s="161"/>
      <c r="O88" s="161"/>
      <c r="P88" t="str" s="159" cm="1">
        <f t="array" ref="P88">IF(AG88="","",AC88-R88-Q88)</f>
      </c>
      <c r="Q88" s="162"/>
      <c r="R88" s="162"/>
      <c r="S88" s="161"/>
      <c r="T88" s="161"/>
      <c r="U88" s="161"/>
      <c r="V88" s="161"/>
      <c r="W88" s="161"/>
      <c r="X88" s="161"/>
      <c r="Y88" s="161"/>
      <c r="Z88" s="161"/>
      <c r="AA88" s="161"/>
      <c r="AB88" s="160"/>
      <c r="AC88" s="163"/>
      <c r="AD88" t="str" s="159" cm="1">
        <f t="array" ref="AD88">IF(AG88="","",AG88-AF88)</f>
      </c>
      <c r="AE88" s="160"/>
      <c r="AF88" s="158"/>
      <c r="AG88" s="160"/>
      <c r="AH88" s="164"/>
      <c r="AI88" s="163"/>
      <c r="AJ88" s="161"/>
      <c r="AK88" s="161"/>
      <c r="AL88" s="160"/>
      <c r="AM88" s="165"/>
      <c r="AN88" s="166"/>
      <c r="AO88" s="10"/>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row>
    <row r="89" ht="25.5" customHeight="1">
      <c r="A89" s="155" cm="1">
        <f t="array" ref="A89">A88+1</f>
        <v>77</v>
      </c>
      <c r="B89" s="151"/>
      <c r="C89" s="170"/>
      <c r="D89" t="str" s="157" cm="1">
        <f t="array" ref="D89">IF(F89="","",F89-E89)</f>
      </c>
      <c r="E89" s="158"/>
      <c r="F89" t="str" s="159" cm="1">
        <f t="array" ref="F89">IF(I89="","",I89-H89)</f>
      </c>
      <c r="G89" s="160"/>
      <c r="H89" s="158"/>
      <c r="I89" t="str" s="159" cm="1">
        <f t="array" ref="I89">IF(P89="","",P89-K89)</f>
      </c>
      <c r="J89" s="160"/>
      <c r="K89" s="158"/>
      <c r="L89" s="161"/>
      <c r="M89" s="161"/>
      <c r="N89" s="161"/>
      <c r="O89" s="161"/>
      <c r="P89" t="str" s="159" cm="1">
        <f t="array" ref="P89">IF(AG89="","",AC89-R89-Q89)</f>
      </c>
      <c r="Q89" s="162"/>
      <c r="R89" s="162"/>
      <c r="S89" s="161"/>
      <c r="T89" s="161"/>
      <c r="U89" s="161"/>
      <c r="V89" s="161"/>
      <c r="W89" s="161"/>
      <c r="X89" s="161"/>
      <c r="Y89" s="161"/>
      <c r="Z89" s="161"/>
      <c r="AA89" s="161"/>
      <c r="AB89" s="160"/>
      <c r="AC89" s="163"/>
      <c r="AD89" t="str" s="159" cm="1">
        <f t="array" ref="AD89">IF(AG89="","",AG89-AF89)</f>
      </c>
      <c r="AE89" s="160"/>
      <c r="AF89" s="158"/>
      <c r="AG89" s="160"/>
      <c r="AH89" s="164"/>
      <c r="AI89" s="163"/>
      <c r="AJ89" s="161"/>
      <c r="AK89" s="161"/>
      <c r="AL89" s="160"/>
      <c r="AM89" s="165"/>
      <c r="AN89" s="166"/>
      <c r="AO89" s="10"/>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row>
    <row r="90" ht="25.5" customHeight="1">
      <c r="A90" s="155" cm="1">
        <f t="array" ref="A90">A89+1</f>
        <v>78</v>
      </c>
      <c r="B90" s="151"/>
      <c r="C90" s="170"/>
      <c r="D90" t="str" s="157" cm="1">
        <f t="array" ref="D90">IF(F90="","",F90-E90)</f>
      </c>
      <c r="E90" s="158"/>
      <c r="F90" t="str" s="159" cm="1">
        <f t="array" ref="F90">IF(I90="","",I90-H90)</f>
      </c>
      <c r="G90" s="160"/>
      <c r="H90" s="158"/>
      <c r="I90" t="str" s="159" cm="1">
        <f t="array" ref="I90">IF(P90="","",P90-K90)</f>
      </c>
      <c r="J90" s="160"/>
      <c r="K90" s="158"/>
      <c r="L90" s="161"/>
      <c r="M90" s="161"/>
      <c r="N90" s="161"/>
      <c r="O90" s="161"/>
      <c r="P90" t="str" s="159" cm="1">
        <f t="array" ref="P90">IF(AG90="","",AC90-R90-Q90)</f>
      </c>
      <c r="Q90" s="162"/>
      <c r="R90" s="162"/>
      <c r="S90" s="161"/>
      <c r="T90" s="161"/>
      <c r="U90" s="161"/>
      <c r="V90" s="161"/>
      <c r="W90" s="161"/>
      <c r="X90" s="161"/>
      <c r="Y90" s="161"/>
      <c r="Z90" s="161"/>
      <c r="AA90" s="161"/>
      <c r="AB90" s="160"/>
      <c r="AC90" s="163"/>
      <c r="AD90" t="str" s="159" cm="1">
        <f t="array" ref="AD90">IF(AG90="","",AG90-AF90)</f>
      </c>
      <c r="AE90" s="160"/>
      <c r="AF90" s="158"/>
      <c r="AG90" s="160"/>
      <c r="AH90" s="164"/>
      <c r="AI90" s="163"/>
      <c r="AJ90" s="161"/>
      <c r="AK90" s="161"/>
      <c r="AL90" s="160"/>
      <c r="AM90" s="165"/>
      <c r="AN90" s="166"/>
      <c r="AO90" s="10"/>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row>
    <row r="91" ht="25.5" customHeight="1">
      <c r="A91" s="155" cm="1">
        <f t="array" ref="A91">A90+1</f>
        <v>79</v>
      </c>
      <c r="B91" s="151"/>
      <c r="C91" s="170"/>
      <c r="D91" t="str" s="157" cm="1">
        <f t="array" ref="D91">IF(F91="","",F91-E91)</f>
      </c>
      <c r="E91" s="158"/>
      <c r="F91" t="str" s="159" cm="1">
        <f t="array" ref="F91">IF(I91="","",I91-H91)</f>
      </c>
      <c r="G91" s="160"/>
      <c r="H91" s="158"/>
      <c r="I91" t="str" s="159" cm="1">
        <f t="array" ref="I91">IF(P91="","",P91-K91)</f>
      </c>
      <c r="J91" s="160"/>
      <c r="K91" s="158"/>
      <c r="L91" s="161"/>
      <c r="M91" s="161"/>
      <c r="N91" s="161"/>
      <c r="O91" s="161"/>
      <c r="P91" t="str" s="159" cm="1">
        <f t="array" ref="P91">IF(AG91="","",AC91-R91-Q91)</f>
      </c>
      <c r="Q91" s="162"/>
      <c r="R91" s="162"/>
      <c r="S91" s="161"/>
      <c r="T91" s="161"/>
      <c r="U91" s="161"/>
      <c r="V91" s="161"/>
      <c r="W91" s="161"/>
      <c r="X91" s="161"/>
      <c r="Y91" s="161"/>
      <c r="Z91" s="161"/>
      <c r="AA91" s="161"/>
      <c r="AB91" s="160"/>
      <c r="AC91" s="163"/>
      <c r="AD91" t="str" s="159" cm="1">
        <f t="array" ref="AD91">IF(AG91="","",AG91-AF91)</f>
      </c>
      <c r="AE91" s="160"/>
      <c r="AF91" s="158"/>
      <c r="AG91" s="160"/>
      <c r="AH91" s="164"/>
      <c r="AI91" s="163"/>
      <c r="AJ91" s="161"/>
      <c r="AK91" s="161"/>
      <c r="AL91" s="160"/>
      <c r="AM91" s="165"/>
      <c r="AN91" s="166"/>
      <c r="AO91" s="10"/>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row>
    <row r="92" ht="25.5" customHeight="1">
      <c r="A92" s="155" cm="1">
        <f t="array" ref="A92">A91+1</f>
        <v>80</v>
      </c>
      <c r="B92" s="151"/>
      <c r="C92" s="170"/>
      <c r="D92" t="str" s="157" cm="1">
        <f t="array" ref="D92">IF(F92="","",F92-E92)</f>
      </c>
      <c r="E92" s="158"/>
      <c r="F92" t="str" s="159" cm="1">
        <f t="array" ref="F92">IF(I92="","",I92-H92)</f>
      </c>
      <c r="G92" s="160"/>
      <c r="H92" s="158"/>
      <c r="I92" t="str" s="159" cm="1">
        <f t="array" ref="I92">IF(P92="","",P92-K92)</f>
      </c>
      <c r="J92" s="160"/>
      <c r="K92" s="158"/>
      <c r="L92" s="161"/>
      <c r="M92" s="161"/>
      <c r="N92" s="161"/>
      <c r="O92" s="161"/>
      <c r="P92" t="str" s="159" cm="1">
        <f t="array" ref="P92">IF(AG92="","",AC92-R92-Q92)</f>
      </c>
      <c r="Q92" s="162"/>
      <c r="R92" s="162"/>
      <c r="S92" s="161"/>
      <c r="T92" s="161"/>
      <c r="U92" s="161"/>
      <c r="V92" s="161"/>
      <c r="W92" s="161"/>
      <c r="X92" s="161"/>
      <c r="Y92" s="161"/>
      <c r="Z92" s="161"/>
      <c r="AA92" s="161"/>
      <c r="AB92" s="160"/>
      <c r="AC92" s="163"/>
      <c r="AD92" t="str" s="159" cm="1">
        <f t="array" ref="AD92">IF(AG92="","",AG92-AF92)</f>
      </c>
      <c r="AE92" s="160"/>
      <c r="AF92" s="158"/>
      <c r="AG92" s="160"/>
      <c r="AH92" s="164"/>
      <c r="AI92" s="163"/>
      <c r="AJ92" s="161"/>
      <c r="AK92" s="161"/>
      <c r="AL92" s="160"/>
      <c r="AM92" s="165"/>
      <c r="AN92" s="166"/>
      <c r="AO92" s="10"/>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row>
    <row r="93" ht="25.5" customHeight="1">
      <c r="A93" s="155" cm="1">
        <f t="array" ref="A93">A92+1</f>
        <v>81</v>
      </c>
      <c r="B93" s="151"/>
      <c r="C93" s="170"/>
      <c r="D93" t="str" s="157" cm="1">
        <f t="array" ref="D93">IF(F93="","",F93-E93)</f>
      </c>
      <c r="E93" s="158"/>
      <c r="F93" t="str" s="159" cm="1">
        <f t="array" ref="F93">IF(I93="","",I93-H93)</f>
      </c>
      <c r="G93" s="160"/>
      <c r="H93" s="158"/>
      <c r="I93" t="str" s="159" cm="1">
        <f t="array" ref="I93">IF(P93="","",P93-K93)</f>
      </c>
      <c r="J93" s="160"/>
      <c r="K93" s="158"/>
      <c r="L93" s="161"/>
      <c r="M93" s="161"/>
      <c r="N93" s="161"/>
      <c r="O93" s="161"/>
      <c r="P93" t="str" s="159" cm="1">
        <f t="array" ref="P93">IF(AG93="","",AC93-R93-Q93)</f>
      </c>
      <c r="Q93" s="162"/>
      <c r="R93" s="162"/>
      <c r="S93" s="161"/>
      <c r="T93" s="161"/>
      <c r="U93" s="161"/>
      <c r="V93" s="161"/>
      <c r="W93" s="161"/>
      <c r="X93" s="161"/>
      <c r="Y93" s="161"/>
      <c r="Z93" s="161"/>
      <c r="AA93" s="161"/>
      <c r="AB93" s="160"/>
      <c r="AC93" s="163"/>
      <c r="AD93" t="str" s="159" cm="1">
        <f t="array" ref="AD93">IF(AG93="","",AG93-AF93)</f>
      </c>
      <c r="AE93" s="160"/>
      <c r="AF93" s="158"/>
      <c r="AG93" s="160"/>
      <c r="AH93" s="164"/>
      <c r="AI93" s="163"/>
      <c r="AJ93" s="161"/>
      <c r="AK93" s="161"/>
      <c r="AL93" s="160"/>
      <c r="AM93" s="165"/>
      <c r="AN93" s="166"/>
      <c r="AO93" s="10"/>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row>
    <row r="94" ht="25.5" customHeight="1">
      <c r="A94" s="155" cm="1">
        <f t="array" ref="A94">A93+1</f>
        <v>82</v>
      </c>
      <c r="B94" s="151"/>
      <c r="C94" s="170"/>
      <c r="D94" t="str" s="157" cm="1">
        <f t="array" ref="D94">IF(F94="","",F94-E94)</f>
      </c>
      <c r="E94" s="158"/>
      <c r="F94" t="str" s="159" cm="1">
        <f t="array" ref="F94">IF(I94="","",I94-H94)</f>
      </c>
      <c r="G94" s="160"/>
      <c r="H94" s="158"/>
      <c r="I94" t="str" s="159" cm="1">
        <f t="array" ref="I94">IF(P94="","",P94-K94)</f>
      </c>
      <c r="J94" s="160"/>
      <c r="K94" s="158"/>
      <c r="L94" s="161"/>
      <c r="M94" s="161"/>
      <c r="N94" s="161"/>
      <c r="O94" s="161"/>
      <c r="P94" t="str" s="159" cm="1">
        <f t="array" ref="P94">IF(AG94="","",AC94-R94-Q94)</f>
      </c>
      <c r="Q94" s="162"/>
      <c r="R94" s="162"/>
      <c r="S94" s="161"/>
      <c r="T94" s="161"/>
      <c r="U94" s="161"/>
      <c r="V94" s="161"/>
      <c r="W94" s="161"/>
      <c r="X94" s="161"/>
      <c r="Y94" s="161"/>
      <c r="Z94" s="161"/>
      <c r="AA94" s="161"/>
      <c r="AB94" s="160"/>
      <c r="AC94" s="163"/>
      <c r="AD94" t="str" s="159" cm="1">
        <f t="array" ref="AD94">IF(AG94="","",AG94-AF94)</f>
      </c>
      <c r="AE94" s="160"/>
      <c r="AF94" s="158"/>
      <c r="AG94" s="160"/>
      <c r="AH94" s="164"/>
      <c r="AI94" s="163"/>
      <c r="AJ94" s="161"/>
      <c r="AK94" s="161"/>
      <c r="AL94" s="160"/>
      <c r="AM94" s="165"/>
      <c r="AN94" s="166"/>
      <c r="AO94" s="10"/>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row>
    <row r="95" ht="25.5" customHeight="1">
      <c r="A95" s="155" cm="1">
        <f t="array" ref="A95">A94+1</f>
        <v>83</v>
      </c>
      <c r="B95" s="151"/>
      <c r="C95" s="170"/>
      <c r="D95" t="str" s="157" cm="1">
        <f t="array" ref="D95">IF(F95="","",F95-E95)</f>
      </c>
      <c r="E95" s="158"/>
      <c r="F95" t="str" s="159" cm="1">
        <f t="array" ref="F95">IF(I95="","",I95-H95)</f>
      </c>
      <c r="G95" s="160"/>
      <c r="H95" s="158"/>
      <c r="I95" t="str" s="159" cm="1">
        <f t="array" ref="I95">IF(P95="","",P95-K95)</f>
      </c>
      <c r="J95" s="160"/>
      <c r="K95" s="158"/>
      <c r="L95" s="161"/>
      <c r="M95" s="161"/>
      <c r="N95" s="161"/>
      <c r="O95" s="161"/>
      <c r="P95" t="str" s="159" cm="1">
        <f t="array" ref="P95">IF(AG95="","",AC95-R95-Q95)</f>
      </c>
      <c r="Q95" s="162"/>
      <c r="R95" s="162"/>
      <c r="S95" s="161"/>
      <c r="T95" s="161"/>
      <c r="U95" s="161"/>
      <c r="V95" s="161"/>
      <c r="W95" s="161"/>
      <c r="X95" s="161"/>
      <c r="Y95" s="161"/>
      <c r="Z95" s="161"/>
      <c r="AA95" s="161"/>
      <c r="AB95" s="160"/>
      <c r="AC95" s="163"/>
      <c r="AD95" t="str" s="159" cm="1">
        <f t="array" ref="AD95">IF(AG95="","",AG95-AF95)</f>
      </c>
      <c r="AE95" s="160"/>
      <c r="AF95" s="158"/>
      <c r="AG95" s="160"/>
      <c r="AH95" s="164"/>
      <c r="AI95" s="163"/>
      <c r="AJ95" s="161"/>
      <c r="AK95" s="161"/>
      <c r="AL95" s="160"/>
      <c r="AM95" s="165"/>
      <c r="AN95" s="166"/>
      <c r="AO95" s="10"/>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row>
    <row r="96" ht="25.5" customHeight="1">
      <c r="A96" s="155" cm="1">
        <f t="array" ref="A96">A95+1</f>
        <v>84</v>
      </c>
      <c r="B96" s="151"/>
      <c r="C96" s="170"/>
      <c r="D96" t="str" s="157" cm="1">
        <f t="array" ref="D96">IF(F96="","",F96-E96)</f>
      </c>
      <c r="E96" s="158"/>
      <c r="F96" t="str" s="159" cm="1">
        <f t="array" ref="F96">IF(I96="","",I96-H96)</f>
      </c>
      <c r="G96" s="160"/>
      <c r="H96" s="158"/>
      <c r="I96" t="str" s="159" cm="1">
        <f t="array" ref="I96">IF(P96="","",P96-K96)</f>
      </c>
      <c r="J96" s="160"/>
      <c r="K96" s="158"/>
      <c r="L96" s="161"/>
      <c r="M96" s="161"/>
      <c r="N96" s="161"/>
      <c r="O96" s="161"/>
      <c r="P96" t="str" s="159" cm="1">
        <f t="array" ref="P96">IF(AG96="","",AC96-R96-Q96)</f>
      </c>
      <c r="Q96" s="162"/>
      <c r="R96" s="162"/>
      <c r="S96" s="161"/>
      <c r="T96" s="161"/>
      <c r="U96" s="161"/>
      <c r="V96" s="161"/>
      <c r="W96" s="161"/>
      <c r="X96" s="161"/>
      <c r="Y96" s="161"/>
      <c r="Z96" s="161"/>
      <c r="AA96" s="161"/>
      <c r="AB96" s="160"/>
      <c r="AC96" s="163"/>
      <c r="AD96" t="str" s="159" cm="1">
        <f t="array" ref="AD96">IF(AG96="","",AG96-AF96)</f>
      </c>
      <c r="AE96" s="160"/>
      <c r="AF96" s="158"/>
      <c r="AG96" s="160"/>
      <c r="AH96" s="164"/>
      <c r="AI96" s="163"/>
      <c r="AJ96" s="161"/>
      <c r="AK96" s="161"/>
      <c r="AL96" s="160"/>
      <c r="AM96" s="165"/>
      <c r="AN96" s="166"/>
      <c r="AO96" s="10"/>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row>
    <row r="97" ht="25.5" customHeight="1">
      <c r="A97" s="155" cm="1">
        <f t="array" ref="A97">A96+1</f>
        <v>85</v>
      </c>
      <c r="B97" s="151"/>
      <c r="C97" s="170"/>
      <c r="D97" t="str" s="157" cm="1">
        <f t="array" ref="D97">IF(F97="","",F97-E97)</f>
      </c>
      <c r="E97" s="158"/>
      <c r="F97" t="str" s="159" cm="1">
        <f t="array" ref="F97">IF(I97="","",I97-H97)</f>
      </c>
      <c r="G97" s="160"/>
      <c r="H97" s="158"/>
      <c r="I97" t="str" s="159" cm="1">
        <f t="array" ref="I97">IF(P97="","",P97-K97)</f>
      </c>
      <c r="J97" s="160"/>
      <c r="K97" s="158"/>
      <c r="L97" s="161"/>
      <c r="M97" s="161"/>
      <c r="N97" s="161"/>
      <c r="O97" s="161"/>
      <c r="P97" t="str" s="159" cm="1">
        <f t="array" ref="P97">IF(AG97="","",AC97-R97-Q97)</f>
      </c>
      <c r="Q97" s="162"/>
      <c r="R97" s="162"/>
      <c r="S97" s="161"/>
      <c r="T97" s="161"/>
      <c r="U97" s="161"/>
      <c r="V97" s="161"/>
      <c r="W97" s="161"/>
      <c r="X97" s="161"/>
      <c r="Y97" s="161"/>
      <c r="Z97" s="161"/>
      <c r="AA97" s="161"/>
      <c r="AB97" s="160"/>
      <c r="AC97" s="163"/>
      <c r="AD97" t="str" s="159" cm="1">
        <f t="array" ref="AD97">IF(AG97="","",AG97-AF97)</f>
      </c>
      <c r="AE97" s="160"/>
      <c r="AF97" s="158"/>
      <c r="AG97" s="160"/>
      <c r="AH97" s="164"/>
      <c r="AI97" s="163"/>
      <c r="AJ97" s="161"/>
      <c r="AK97" s="161"/>
      <c r="AL97" s="160"/>
      <c r="AM97" s="165"/>
      <c r="AN97" s="166"/>
      <c r="AO97" s="10"/>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row>
    <row r="98" ht="25.5" customHeight="1">
      <c r="A98" s="155" cm="1">
        <f t="array" ref="A98">A97+1</f>
        <v>86</v>
      </c>
      <c r="B98" s="151"/>
      <c r="C98" s="170"/>
      <c r="D98" t="str" s="157" cm="1">
        <f t="array" ref="D98">IF(F98="","",F98-E98)</f>
      </c>
      <c r="E98" s="158"/>
      <c r="F98" t="str" s="159" cm="1">
        <f t="array" ref="F98">IF(I98="","",I98-H98)</f>
      </c>
      <c r="G98" s="160"/>
      <c r="H98" s="158"/>
      <c r="I98" t="str" s="159" cm="1">
        <f t="array" ref="I98">IF(P98="","",P98-K98)</f>
      </c>
      <c r="J98" s="160"/>
      <c r="K98" s="158"/>
      <c r="L98" s="161"/>
      <c r="M98" s="161"/>
      <c r="N98" s="161"/>
      <c r="O98" s="161"/>
      <c r="P98" t="str" s="159" cm="1">
        <f t="array" ref="P98">IF(AG98="","",AC98-R98-Q98)</f>
      </c>
      <c r="Q98" s="162"/>
      <c r="R98" s="162"/>
      <c r="S98" s="161"/>
      <c r="T98" s="161"/>
      <c r="U98" s="161"/>
      <c r="V98" s="161"/>
      <c r="W98" s="161"/>
      <c r="X98" s="161"/>
      <c r="Y98" s="161"/>
      <c r="Z98" s="161"/>
      <c r="AA98" s="161"/>
      <c r="AB98" s="160"/>
      <c r="AC98" s="163"/>
      <c r="AD98" t="str" s="159" cm="1">
        <f t="array" ref="AD98">IF(AG98="","",AG98-AF98)</f>
      </c>
      <c r="AE98" s="160"/>
      <c r="AF98" s="158"/>
      <c r="AG98" s="160"/>
      <c r="AH98" s="164"/>
      <c r="AI98" s="163"/>
      <c r="AJ98" s="161"/>
      <c r="AK98" s="161"/>
      <c r="AL98" s="160"/>
      <c r="AM98" s="165"/>
      <c r="AN98" s="166"/>
      <c r="AO98" s="10"/>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row>
    <row r="99" ht="25.5" customHeight="1">
      <c r="A99" s="155" cm="1">
        <f t="array" ref="A99">A98+1</f>
        <v>87</v>
      </c>
      <c r="B99" s="151"/>
      <c r="C99" s="170"/>
      <c r="D99" t="str" s="157" cm="1">
        <f t="array" ref="D99">IF(F99="","",F99-E99)</f>
      </c>
      <c r="E99" s="158"/>
      <c r="F99" t="str" s="159" cm="1">
        <f t="array" ref="F99">IF(I99="","",I99-H99)</f>
      </c>
      <c r="G99" s="160"/>
      <c r="H99" s="158"/>
      <c r="I99" t="str" s="159" cm="1">
        <f t="array" ref="I99">IF(P99="","",P99-K99)</f>
      </c>
      <c r="J99" s="160"/>
      <c r="K99" s="158"/>
      <c r="L99" s="161"/>
      <c r="M99" s="161"/>
      <c r="N99" s="161"/>
      <c r="O99" s="161"/>
      <c r="P99" t="str" s="159" cm="1">
        <f t="array" ref="P99">IF(AG99="","",AC99-R99-Q99)</f>
      </c>
      <c r="Q99" s="162"/>
      <c r="R99" s="162"/>
      <c r="S99" s="161"/>
      <c r="T99" s="161"/>
      <c r="U99" s="161"/>
      <c r="V99" s="161"/>
      <c r="W99" s="161"/>
      <c r="X99" s="161"/>
      <c r="Y99" s="161"/>
      <c r="Z99" s="161"/>
      <c r="AA99" s="161"/>
      <c r="AB99" s="160"/>
      <c r="AC99" s="163"/>
      <c r="AD99" t="str" s="159" cm="1">
        <f t="array" ref="AD99">IF(AG99="","",AG99-AF99)</f>
      </c>
      <c r="AE99" s="160"/>
      <c r="AF99" s="158"/>
      <c r="AG99" s="160"/>
      <c r="AH99" s="164"/>
      <c r="AI99" s="163"/>
      <c r="AJ99" s="161"/>
      <c r="AK99" s="161"/>
      <c r="AL99" s="160"/>
      <c r="AM99" s="165"/>
      <c r="AN99" s="166"/>
      <c r="AO99" s="10"/>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row>
    <row r="100" ht="25.5" customHeight="1">
      <c r="A100" s="155" cm="1">
        <f t="array" ref="A100">A99+1</f>
        <v>88</v>
      </c>
      <c r="B100" s="151"/>
      <c r="C100" s="170"/>
      <c r="D100" t="str" s="157" cm="1">
        <f t="array" ref="D100">IF(F100="","",F100-E100)</f>
      </c>
      <c r="E100" s="158"/>
      <c r="F100" t="str" s="159" cm="1">
        <f t="array" ref="F100">IF(I100="","",I100-H100)</f>
      </c>
      <c r="G100" s="160"/>
      <c r="H100" s="158"/>
      <c r="I100" t="str" s="159" cm="1">
        <f t="array" ref="I100">IF(P100="","",P100-K100)</f>
      </c>
      <c r="J100" s="160"/>
      <c r="K100" s="158"/>
      <c r="L100" s="161"/>
      <c r="M100" s="161"/>
      <c r="N100" s="161"/>
      <c r="O100" s="161"/>
      <c r="P100" t="str" s="159" cm="1">
        <f t="array" ref="P100">IF(AG100="","",AC100-R100-Q100)</f>
      </c>
      <c r="Q100" s="162"/>
      <c r="R100" s="162"/>
      <c r="S100" s="161"/>
      <c r="T100" s="161"/>
      <c r="U100" s="161"/>
      <c r="V100" s="161"/>
      <c r="W100" s="161"/>
      <c r="X100" s="161"/>
      <c r="Y100" s="161"/>
      <c r="Z100" s="161"/>
      <c r="AA100" s="161"/>
      <c r="AB100" s="160"/>
      <c r="AC100" s="163"/>
      <c r="AD100" t="str" s="159" cm="1">
        <f t="array" ref="AD100">IF(AG100="","",AG100-AF100)</f>
      </c>
      <c r="AE100" s="160"/>
      <c r="AF100" s="158"/>
      <c r="AG100" s="160"/>
      <c r="AH100" s="164"/>
      <c r="AI100" s="163"/>
      <c r="AJ100" s="161"/>
      <c r="AK100" s="161"/>
      <c r="AL100" s="160"/>
      <c r="AM100" s="165"/>
      <c r="AN100" s="166"/>
      <c r="AO100" s="10"/>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row>
    <row r="101" ht="25.5" customHeight="1">
      <c r="A101" s="155" cm="1">
        <f t="array" ref="A101">A100+1</f>
        <v>89</v>
      </c>
      <c r="B101" s="151"/>
      <c r="C101" s="170"/>
      <c r="D101" t="str" s="157" cm="1">
        <f t="array" ref="D101">IF(F101="","",F101-E101)</f>
      </c>
      <c r="E101" s="158"/>
      <c r="F101" t="str" s="159" cm="1">
        <f t="array" ref="F101">IF(I101="","",I101-H101)</f>
      </c>
      <c r="G101" s="160"/>
      <c r="H101" s="158"/>
      <c r="I101" t="str" s="159" cm="1">
        <f t="array" ref="I101">IF(P101="","",P101-K101)</f>
      </c>
      <c r="J101" s="160"/>
      <c r="K101" s="158"/>
      <c r="L101" s="161"/>
      <c r="M101" s="161"/>
      <c r="N101" s="161"/>
      <c r="O101" s="161"/>
      <c r="P101" t="str" s="159" cm="1">
        <f t="array" ref="P101">IF(AG101="","",AC101-R101-Q101)</f>
      </c>
      <c r="Q101" s="162"/>
      <c r="R101" s="162"/>
      <c r="S101" s="161"/>
      <c r="T101" s="161"/>
      <c r="U101" s="161"/>
      <c r="V101" s="161"/>
      <c r="W101" s="161"/>
      <c r="X101" s="161"/>
      <c r="Y101" s="161"/>
      <c r="Z101" s="161"/>
      <c r="AA101" s="161"/>
      <c r="AB101" s="160"/>
      <c r="AC101" s="163"/>
      <c r="AD101" t="str" s="159" cm="1">
        <f t="array" ref="AD101">IF(AG101="","",AG101-AF101)</f>
      </c>
      <c r="AE101" s="160"/>
      <c r="AF101" s="158"/>
      <c r="AG101" s="160"/>
      <c r="AH101" s="164"/>
      <c r="AI101" s="163"/>
      <c r="AJ101" s="161"/>
      <c r="AK101" s="161"/>
      <c r="AL101" s="160"/>
      <c r="AM101" s="165"/>
      <c r="AN101" s="166"/>
      <c r="AO101" s="10"/>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row>
    <row r="102" ht="25.5" customHeight="1">
      <c r="A102" s="155" cm="1">
        <f t="array" ref="A102">A101+1</f>
        <v>90</v>
      </c>
      <c r="B102" s="151"/>
      <c r="C102" s="170"/>
      <c r="D102" t="str" s="157" cm="1">
        <f t="array" ref="D102">IF(F102="","",F102-E102)</f>
      </c>
      <c r="E102" s="158"/>
      <c r="F102" t="str" s="159" cm="1">
        <f t="array" ref="F102">IF(I102="","",I102-H102)</f>
      </c>
      <c r="G102" s="160"/>
      <c r="H102" s="158"/>
      <c r="I102" t="str" s="159" cm="1">
        <f t="array" ref="I102">IF(P102="","",P102-K102)</f>
      </c>
      <c r="J102" s="160"/>
      <c r="K102" s="158"/>
      <c r="L102" s="161"/>
      <c r="M102" s="161"/>
      <c r="N102" s="161"/>
      <c r="O102" s="161"/>
      <c r="P102" t="str" s="159" cm="1">
        <f t="array" ref="P102">IF(AG102="","",AC102-R102-Q102)</f>
      </c>
      <c r="Q102" s="162"/>
      <c r="R102" s="162"/>
      <c r="S102" s="161"/>
      <c r="T102" s="161"/>
      <c r="U102" s="161"/>
      <c r="V102" s="161"/>
      <c r="W102" s="161"/>
      <c r="X102" s="161"/>
      <c r="Y102" s="161"/>
      <c r="Z102" s="161"/>
      <c r="AA102" s="161"/>
      <c r="AB102" s="160"/>
      <c r="AC102" s="163"/>
      <c r="AD102" t="str" s="159" cm="1">
        <f t="array" ref="AD102">IF(AG102="","",AG102-AF102)</f>
      </c>
      <c r="AE102" s="160"/>
      <c r="AF102" s="158"/>
      <c r="AG102" s="160"/>
      <c r="AH102" s="164"/>
      <c r="AI102" s="163"/>
      <c r="AJ102" s="161"/>
      <c r="AK102" s="161"/>
      <c r="AL102" s="160"/>
      <c r="AM102" s="165"/>
      <c r="AN102" s="166"/>
      <c r="AO102" s="10"/>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row>
    <row r="103" ht="25.5" customHeight="1">
      <c r="A103" s="155" cm="1">
        <f t="array" ref="A103">A102+1</f>
        <v>91</v>
      </c>
      <c r="B103" s="151"/>
      <c r="C103" s="170"/>
      <c r="D103" t="str" s="157" cm="1">
        <f t="array" ref="D103">IF(F103="","",F103-E103)</f>
      </c>
      <c r="E103" s="158"/>
      <c r="F103" t="str" s="159" cm="1">
        <f t="array" ref="F103">IF(I103="","",I103-H103)</f>
      </c>
      <c r="G103" s="160"/>
      <c r="H103" s="158"/>
      <c r="I103" t="str" s="159" cm="1">
        <f t="array" ref="I103">IF(P103="","",P103-K103)</f>
      </c>
      <c r="J103" s="160"/>
      <c r="K103" s="158"/>
      <c r="L103" s="161"/>
      <c r="M103" s="161"/>
      <c r="N103" s="161"/>
      <c r="O103" s="161"/>
      <c r="P103" t="str" s="159" cm="1">
        <f t="array" ref="P103">IF(AG103="","",AC103-R103-Q103)</f>
      </c>
      <c r="Q103" s="162"/>
      <c r="R103" s="162"/>
      <c r="S103" s="161"/>
      <c r="T103" s="161"/>
      <c r="U103" s="161"/>
      <c r="V103" s="161"/>
      <c r="W103" s="161"/>
      <c r="X103" s="161"/>
      <c r="Y103" s="161"/>
      <c r="Z103" s="161"/>
      <c r="AA103" s="161"/>
      <c r="AB103" s="160"/>
      <c r="AC103" s="163"/>
      <c r="AD103" t="str" s="159" cm="1">
        <f t="array" ref="AD103">IF(AG103="","",AG103-AF103)</f>
      </c>
      <c r="AE103" s="160"/>
      <c r="AF103" s="158"/>
      <c r="AG103" s="160"/>
      <c r="AH103" s="164"/>
      <c r="AI103" s="163"/>
      <c r="AJ103" s="161"/>
      <c r="AK103" s="161"/>
      <c r="AL103" s="160"/>
      <c r="AM103" s="165"/>
      <c r="AN103" s="166"/>
      <c r="AO103" s="10"/>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row>
    <row r="104" ht="25.5" customHeight="1">
      <c r="A104" s="155" cm="1">
        <f t="array" ref="A104">A103+1</f>
        <v>92</v>
      </c>
      <c r="B104" s="151"/>
      <c r="C104" s="170"/>
      <c r="D104" t="str" s="157" cm="1">
        <f t="array" ref="D104">IF(F104="","",F104-E104)</f>
      </c>
      <c r="E104" s="158"/>
      <c r="F104" t="str" s="159" cm="1">
        <f t="array" ref="F104">IF(I104="","",I104-H104)</f>
      </c>
      <c r="G104" s="160"/>
      <c r="H104" s="158"/>
      <c r="I104" t="str" s="159" cm="1">
        <f t="array" ref="I104">IF(P104="","",P104-K104)</f>
      </c>
      <c r="J104" s="160"/>
      <c r="K104" s="158"/>
      <c r="L104" s="161"/>
      <c r="M104" s="161"/>
      <c r="N104" s="161"/>
      <c r="O104" s="161"/>
      <c r="P104" t="str" s="159" cm="1">
        <f t="array" ref="P104">IF(AG104="","",AC104-R104-Q104)</f>
      </c>
      <c r="Q104" s="162"/>
      <c r="R104" s="162"/>
      <c r="S104" s="161"/>
      <c r="T104" s="161"/>
      <c r="U104" s="161"/>
      <c r="V104" s="161"/>
      <c r="W104" s="161"/>
      <c r="X104" s="161"/>
      <c r="Y104" s="161"/>
      <c r="Z104" s="161"/>
      <c r="AA104" s="161"/>
      <c r="AB104" s="160"/>
      <c r="AC104" s="163"/>
      <c r="AD104" t="str" s="159" cm="1">
        <f t="array" ref="AD104">IF(AG104="","",AG104-AF104)</f>
      </c>
      <c r="AE104" s="160"/>
      <c r="AF104" s="158"/>
      <c r="AG104" s="160"/>
      <c r="AH104" s="164"/>
      <c r="AI104" s="163"/>
      <c r="AJ104" s="161"/>
      <c r="AK104" s="161"/>
      <c r="AL104" s="160"/>
      <c r="AM104" s="165"/>
      <c r="AN104" s="166"/>
      <c r="AO104" s="10"/>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row>
    <row r="105" ht="25.5" customHeight="1">
      <c r="A105" s="155" cm="1">
        <f t="array" ref="A105">A104+1</f>
        <v>93</v>
      </c>
      <c r="B105" s="151"/>
      <c r="C105" s="170"/>
      <c r="D105" t="str" s="157" cm="1">
        <f t="array" ref="D105">IF(F105="","",F105-E105)</f>
      </c>
      <c r="E105" s="158"/>
      <c r="F105" t="str" s="159" cm="1">
        <f t="array" ref="F105">IF(I105="","",I105-H105)</f>
      </c>
      <c r="G105" s="160"/>
      <c r="H105" s="158"/>
      <c r="I105" t="str" s="159" cm="1">
        <f t="array" ref="I105">IF(P105="","",P105-K105)</f>
      </c>
      <c r="J105" s="160"/>
      <c r="K105" s="158"/>
      <c r="L105" s="161"/>
      <c r="M105" s="161"/>
      <c r="N105" s="161"/>
      <c r="O105" s="161"/>
      <c r="P105" t="str" s="159" cm="1">
        <f t="array" ref="P105">IF(AG105="","",AC105-R105-Q105)</f>
      </c>
      <c r="Q105" s="162"/>
      <c r="R105" s="162"/>
      <c r="S105" s="161"/>
      <c r="T105" s="161"/>
      <c r="U105" s="161"/>
      <c r="V105" s="161"/>
      <c r="W105" s="161"/>
      <c r="X105" s="161"/>
      <c r="Y105" s="161"/>
      <c r="Z105" s="161"/>
      <c r="AA105" s="161"/>
      <c r="AB105" s="160"/>
      <c r="AC105" s="163"/>
      <c r="AD105" t="str" s="159" cm="1">
        <f t="array" ref="AD105">IF(AG105="","",AG105-AF105)</f>
      </c>
      <c r="AE105" s="160"/>
      <c r="AF105" s="158"/>
      <c r="AG105" s="160"/>
      <c r="AH105" s="164"/>
      <c r="AI105" s="163"/>
      <c r="AJ105" s="161"/>
      <c r="AK105" s="161"/>
      <c r="AL105" s="160"/>
      <c r="AM105" s="165"/>
      <c r="AN105" s="166"/>
      <c r="AO105" s="10"/>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row>
    <row r="106" ht="25.5" customHeight="1">
      <c r="A106" s="155" cm="1">
        <f t="array" ref="A106">A105+1</f>
        <v>94</v>
      </c>
      <c r="B106" s="151"/>
      <c r="C106" s="170"/>
      <c r="D106" t="str" s="157" cm="1">
        <f t="array" ref="D106">IF(F106="","",F106-E106)</f>
      </c>
      <c r="E106" s="158"/>
      <c r="F106" t="str" s="159" cm="1">
        <f t="array" ref="F106">IF(I106="","",I106-H106)</f>
      </c>
      <c r="G106" s="160"/>
      <c r="H106" s="158"/>
      <c r="I106" t="str" s="159" cm="1">
        <f t="array" ref="I106">IF(P106="","",P106-K106)</f>
      </c>
      <c r="J106" s="160"/>
      <c r="K106" s="158"/>
      <c r="L106" s="161"/>
      <c r="M106" s="161"/>
      <c r="N106" s="161"/>
      <c r="O106" s="161"/>
      <c r="P106" t="str" s="159" cm="1">
        <f t="array" ref="P106">IF(AG106="","",AC106-R106-Q106)</f>
      </c>
      <c r="Q106" s="162"/>
      <c r="R106" s="162"/>
      <c r="S106" s="161"/>
      <c r="T106" s="161"/>
      <c r="U106" s="161"/>
      <c r="V106" s="161"/>
      <c r="W106" s="161"/>
      <c r="X106" s="161"/>
      <c r="Y106" s="161"/>
      <c r="Z106" s="161"/>
      <c r="AA106" s="161"/>
      <c r="AB106" s="160"/>
      <c r="AC106" s="163"/>
      <c r="AD106" t="str" s="159" cm="1">
        <f t="array" ref="AD106">IF(AG106="","",AG106-AF106)</f>
      </c>
      <c r="AE106" s="160"/>
      <c r="AF106" s="158"/>
      <c r="AG106" s="160"/>
      <c r="AH106" s="164"/>
      <c r="AI106" s="163"/>
      <c r="AJ106" s="161"/>
      <c r="AK106" s="161"/>
      <c r="AL106" s="160"/>
      <c r="AM106" s="165"/>
      <c r="AN106" s="166"/>
      <c r="AO106" s="10"/>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row>
    <row r="107" ht="25.5" customHeight="1">
      <c r="A107" s="155" cm="1">
        <f t="array" ref="A107">A106+1</f>
        <v>95</v>
      </c>
      <c r="B107" s="151"/>
      <c r="C107" s="170"/>
      <c r="D107" t="str" s="157" cm="1">
        <f t="array" ref="D107">IF(F107="","",F107-E107)</f>
      </c>
      <c r="E107" s="158"/>
      <c r="F107" t="str" s="159" cm="1">
        <f t="array" ref="F107">IF(I107="","",I107-H107)</f>
      </c>
      <c r="G107" s="160"/>
      <c r="H107" s="158"/>
      <c r="I107" t="str" s="159" cm="1">
        <f t="array" ref="I107">IF(P107="","",P107-K107)</f>
      </c>
      <c r="J107" s="160"/>
      <c r="K107" s="158"/>
      <c r="L107" s="161"/>
      <c r="M107" s="161"/>
      <c r="N107" s="161"/>
      <c r="O107" s="161"/>
      <c r="P107" t="str" s="159" cm="1">
        <f t="array" ref="P107">IF(AG107="","",AC107-R107-Q107)</f>
      </c>
      <c r="Q107" s="162"/>
      <c r="R107" s="162"/>
      <c r="S107" s="161"/>
      <c r="T107" s="161"/>
      <c r="U107" s="161"/>
      <c r="V107" s="161"/>
      <c r="W107" s="161"/>
      <c r="X107" s="161"/>
      <c r="Y107" s="161"/>
      <c r="Z107" s="161"/>
      <c r="AA107" s="161"/>
      <c r="AB107" s="160"/>
      <c r="AC107" s="163"/>
      <c r="AD107" t="str" s="159" cm="1">
        <f t="array" ref="AD107">IF(AG107="","",AG107-AF107)</f>
      </c>
      <c r="AE107" s="160"/>
      <c r="AF107" s="158"/>
      <c r="AG107" s="160"/>
      <c r="AH107" s="164"/>
      <c r="AI107" s="163"/>
      <c r="AJ107" s="161"/>
      <c r="AK107" s="161"/>
      <c r="AL107" s="160"/>
      <c r="AM107" s="165"/>
      <c r="AN107" s="166"/>
      <c r="AO107" s="10"/>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row>
    <row r="108" ht="25.15" customHeight="1">
      <c r="A108" s="155" cm="1">
        <f t="array" ref="A108">A107+1</f>
        <v>96</v>
      </c>
      <c r="B108" s="151"/>
      <c r="C108" s="170"/>
      <c r="D108" t="str" s="157" cm="1">
        <f t="array" ref="D108">IF(F108="","",F108-E108)</f>
      </c>
      <c r="E108" s="158"/>
      <c r="F108" t="str" s="159" cm="1">
        <f t="array" ref="F108">IF(I108="","",I108-H108)</f>
      </c>
      <c r="G108" s="160"/>
      <c r="H108" s="158"/>
      <c r="I108" t="str" s="159" cm="1">
        <f t="array" ref="I108">IF(P108="","",P108-K108)</f>
      </c>
      <c r="J108" s="160"/>
      <c r="K108" s="158"/>
      <c r="L108" s="161"/>
      <c r="M108" s="161"/>
      <c r="N108" s="161"/>
      <c r="O108" s="161"/>
      <c r="P108" t="str" s="159" cm="1">
        <f t="array" ref="P108">IF(AG108="","",AC108-R108-Q108)</f>
      </c>
      <c r="Q108" s="162"/>
      <c r="R108" s="162"/>
      <c r="S108" s="161"/>
      <c r="T108" s="161"/>
      <c r="U108" s="161"/>
      <c r="V108" s="161"/>
      <c r="W108" s="161"/>
      <c r="X108" s="161"/>
      <c r="Y108" s="161"/>
      <c r="Z108" s="161"/>
      <c r="AA108" s="161"/>
      <c r="AB108" s="160"/>
      <c r="AC108" s="163"/>
      <c r="AD108" t="str" s="159" cm="1">
        <f t="array" ref="AD108">IF(AG108="","",AG108-AF108)</f>
      </c>
      <c r="AE108" s="160"/>
      <c r="AF108" s="158"/>
      <c r="AG108" s="160"/>
      <c r="AH108" s="164"/>
      <c r="AI108" s="163"/>
      <c r="AJ108" s="161"/>
      <c r="AK108" s="161"/>
      <c r="AL108" s="160"/>
      <c r="AM108" s="165"/>
      <c r="AN108" s="166"/>
      <c r="AO108" s="10"/>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row>
    <row r="109" ht="25.15" customHeight="1">
      <c r="A109" s="155" cm="1">
        <f t="array" ref="A109">A108+1</f>
        <v>97</v>
      </c>
      <c r="B109" s="151"/>
      <c r="C109" s="170"/>
      <c r="D109" t="str" s="157" cm="1">
        <f t="array" ref="D109">IF(F109="","",F109-E109)</f>
      </c>
      <c r="E109" s="158"/>
      <c r="F109" t="str" s="159" cm="1">
        <f t="array" ref="F109">IF(I109="","",I109-H109)</f>
      </c>
      <c r="G109" s="160"/>
      <c r="H109" s="158"/>
      <c r="I109" t="str" s="159" cm="1">
        <f t="array" ref="I109">IF(P109="","",P109-K109)</f>
      </c>
      <c r="J109" s="160"/>
      <c r="K109" s="158"/>
      <c r="L109" s="161"/>
      <c r="M109" s="161"/>
      <c r="N109" s="161"/>
      <c r="O109" s="161"/>
      <c r="P109" t="str" s="159" cm="1">
        <f t="array" ref="P109">IF(AG109="","",AC109-R109-Q109)</f>
      </c>
      <c r="Q109" s="162"/>
      <c r="R109" s="162"/>
      <c r="S109" s="161"/>
      <c r="T109" s="161"/>
      <c r="U109" s="161"/>
      <c r="V109" s="161"/>
      <c r="W109" s="161"/>
      <c r="X109" s="161"/>
      <c r="Y109" s="161"/>
      <c r="Z109" s="161"/>
      <c r="AA109" s="161"/>
      <c r="AB109" s="160"/>
      <c r="AC109" s="163"/>
      <c r="AD109" t="str" s="159" cm="1">
        <f t="array" ref="AD109">IF(AG109="","",AG109-AF109)</f>
      </c>
      <c r="AE109" s="160"/>
      <c r="AF109" s="158"/>
      <c r="AG109" s="160"/>
      <c r="AH109" s="164"/>
      <c r="AI109" s="163"/>
      <c r="AJ109" s="161"/>
      <c r="AK109" s="161"/>
      <c r="AL109" s="160"/>
      <c r="AM109" s="165"/>
      <c r="AN109" s="166"/>
      <c r="AO109" s="10"/>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row>
    <row r="110" ht="25.15" customHeight="1">
      <c r="A110" s="155" cm="1">
        <f t="array" ref="A110">A109+1</f>
        <v>98</v>
      </c>
      <c r="B110" s="151"/>
      <c r="C110" s="170"/>
      <c r="D110" t="str" s="157" cm="1">
        <f t="array" ref="D110">IF(F110="","",F110-E110)</f>
      </c>
      <c r="E110" s="158"/>
      <c r="F110" t="str" s="159" cm="1">
        <f t="array" ref="F110">IF(I110="","",I110-H110)</f>
      </c>
      <c r="G110" s="160"/>
      <c r="H110" s="158"/>
      <c r="I110" t="str" s="159" cm="1">
        <f t="array" ref="I110">IF(P110="","",P110-K110)</f>
      </c>
      <c r="J110" s="160"/>
      <c r="K110" s="158"/>
      <c r="L110" s="161"/>
      <c r="M110" s="161"/>
      <c r="N110" s="161"/>
      <c r="O110" s="161"/>
      <c r="P110" t="str" s="159" cm="1">
        <f t="array" ref="P110">IF(AG110="","",AC110-R110-Q110)</f>
      </c>
      <c r="Q110" s="162"/>
      <c r="R110" s="162"/>
      <c r="S110" s="161"/>
      <c r="T110" s="161"/>
      <c r="U110" s="161"/>
      <c r="V110" s="161"/>
      <c r="W110" s="161"/>
      <c r="X110" s="161"/>
      <c r="Y110" s="161"/>
      <c r="Z110" s="161"/>
      <c r="AA110" s="161"/>
      <c r="AB110" s="160"/>
      <c r="AC110" s="163"/>
      <c r="AD110" t="str" s="159" cm="1">
        <f t="array" ref="AD110">IF(AG110="","",AG110-AF110)</f>
      </c>
      <c r="AE110" s="160"/>
      <c r="AF110" s="158"/>
      <c r="AG110" s="160"/>
      <c r="AH110" s="164"/>
      <c r="AI110" s="163"/>
      <c r="AJ110" s="161"/>
      <c r="AK110" s="161"/>
      <c r="AL110" s="160"/>
      <c r="AM110" s="165"/>
      <c r="AN110" s="166"/>
      <c r="AO110" s="10"/>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row>
    <row r="111" ht="25.15" customHeight="1">
      <c r="A111" s="155" cm="1">
        <f t="array" ref="A111">A110+1</f>
        <v>99</v>
      </c>
      <c r="B111" s="151"/>
      <c r="C111" s="170"/>
      <c r="D111" t="str" s="157" cm="1">
        <f t="array" ref="D111">IF(F111="","",F111-E111)</f>
      </c>
      <c r="E111" s="158"/>
      <c r="F111" t="str" s="159" cm="1">
        <f t="array" ref="F111">IF(I111="","",I111-H111)</f>
      </c>
      <c r="G111" s="160"/>
      <c r="H111" s="158"/>
      <c r="I111" t="str" s="159" cm="1">
        <f t="array" ref="I111">IF(P111="","",P111-K111)</f>
      </c>
      <c r="J111" s="160"/>
      <c r="K111" s="158"/>
      <c r="L111" s="161"/>
      <c r="M111" s="161"/>
      <c r="N111" s="161"/>
      <c r="O111" s="161"/>
      <c r="P111" t="str" s="159" cm="1">
        <f t="array" ref="P111">IF(AG111="","",AC111-R111-Q111)</f>
      </c>
      <c r="Q111" s="162"/>
      <c r="R111" s="162"/>
      <c r="S111" s="161"/>
      <c r="T111" s="161"/>
      <c r="U111" s="161"/>
      <c r="V111" s="161"/>
      <c r="W111" s="161"/>
      <c r="X111" s="161"/>
      <c r="Y111" s="161"/>
      <c r="Z111" s="161"/>
      <c r="AA111" s="161"/>
      <c r="AB111" s="160"/>
      <c r="AC111" s="163"/>
      <c r="AD111" t="str" s="159" cm="1">
        <f t="array" ref="AD111">IF(AG111="","",AG111-AF111)</f>
      </c>
      <c r="AE111" s="160"/>
      <c r="AF111" s="158"/>
      <c r="AG111" s="160"/>
      <c r="AH111" s="164"/>
      <c r="AI111" s="163"/>
      <c r="AJ111" s="161"/>
      <c r="AK111" s="161"/>
      <c r="AL111" s="160"/>
      <c r="AM111" s="165"/>
      <c r="AN111" s="166"/>
      <c r="AO111" s="10"/>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row>
    <row r="112" ht="25.15" customHeight="1">
      <c r="A112" s="155" cm="1">
        <f t="array" ref="A112">A111+1</f>
        <v>100</v>
      </c>
      <c r="B112" s="151"/>
      <c r="C112" s="170"/>
      <c r="D112" t="str" s="157" cm="1">
        <f t="array" ref="D112">IF(F112="","",F112-E112)</f>
      </c>
      <c r="E112" s="158"/>
      <c r="F112" t="str" s="159" cm="1">
        <f t="array" ref="F112">IF(I112="","",I112-H112)</f>
      </c>
      <c r="G112" s="160"/>
      <c r="H112" s="158"/>
      <c r="I112" t="str" s="159" cm="1">
        <f t="array" ref="I112">IF(P112="","",P112-K112)</f>
      </c>
      <c r="J112" s="160"/>
      <c r="K112" s="158"/>
      <c r="L112" s="161"/>
      <c r="M112" s="161"/>
      <c r="N112" s="161"/>
      <c r="O112" s="161"/>
      <c r="P112" t="str" s="159" cm="1">
        <f t="array" ref="P112">IF(AG112="","",AC112-R112-Q112)</f>
      </c>
      <c r="Q112" s="162"/>
      <c r="R112" s="162"/>
      <c r="S112" s="161"/>
      <c r="T112" s="161"/>
      <c r="U112" s="161"/>
      <c r="V112" s="161"/>
      <c r="W112" s="161"/>
      <c r="X112" s="161"/>
      <c r="Y112" s="161"/>
      <c r="Z112" s="161"/>
      <c r="AA112" s="161"/>
      <c r="AB112" s="160"/>
      <c r="AC112" s="163"/>
      <c r="AD112" t="str" s="159" cm="1">
        <f t="array" ref="AD112">IF(AG112="","",AG112-AF112)</f>
      </c>
      <c r="AE112" s="160"/>
      <c r="AF112" s="158"/>
      <c r="AG112" s="160"/>
      <c r="AH112" s="164"/>
      <c r="AI112" s="163"/>
      <c r="AJ112" s="161"/>
      <c r="AK112" s="161"/>
      <c r="AL112" s="160"/>
      <c r="AM112" s="165"/>
      <c r="AN112" s="166"/>
      <c r="AO112" s="10"/>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row>
    <row r="113" ht="25.15" customHeight="1">
      <c r="A113" s="155" cm="1">
        <f t="array" ref="A113">A112+1</f>
        <v>101</v>
      </c>
      <c r="B113" s="151"/>
      <c r="C113" s="170"/>
      <c r="D113" t="str" s="157" cm="1">
        <f t="array" ref="D113">IF(F113="","",F113-E113)</f>
      </c>
      <c r="E113" s="158"/>
      <c r="F113" t="str" s="159" cm="1">
        <f t="array" ref="F113">IF(I113="","",I113-H113)</f>
      </c>
      <c r="G113" s="160"/>
      <c r="H113" s="158"/>
      <c r="I113" t="str" s="159" cm="1">
        <f t="array" ref="I113">IF(P113="","",P113-K113)</f>
      </c>
      <c r="J113" s="160"/>
      <c r="K113" s="158"/>
      <c r="L113" s="161"/>
      <c r="M113" s="161"/>
      <c r="N113" s="161"/>
      <c r="O113" s="161"/>
      <c r="P113" t="str" s="159" cm="1">
        <f t="array" ref="P113">IF(AG113="","",AC113-R113-Q113)</f>
      </c>
      <c r="Q113" s="162"/>
      <c r="R113" s="162"/>
      <c r="S113" s="161"/>
      <c r="T113" s="161"/>
      <c r="U113" s="161"/>
      <c r="V113" s="161"/>
      <c r="W113" s="161"/>
      <c r="X113" s="161"/>
      <c r="Y113" s="161"/>
      <c r="Z113" s="161"/>
      <c r="AA113" s="161"/>
      <c r="AB113" s="160"/>
      <c r="AC113" s="163"/>
      <c r="AD113" t="str" s="159" cm="1">
        <f t="array" ref="AD113">IF(AG113="","",AG113-AF113)</f>
      </c>
      <c r="AE113" s="160"/>
      <c r="AF113" s="158"/>
      <c r="AG113" s="160"/>
      <c r="AH113" s="164"/>
      <c r="AI113" s="163"/>
      <c r="AJ113" s="161"/>
      <c r="AK113" s="161"/>
      <c r="AL113" s="160"/>
      <c r="AM113" s="165"/>
      <c r="AN113" s="166"/>
      <c r="AO113" s="10"/>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row>
    <row r="114" ht="25.15" customHeight="1">
      <c r="A114" s="155" cm="1">
        <f t="array" ref="A114">A113+1</f>
        <v>102</v>
      </c>
      <c r="B114" s="151"/>
      <c r="C114" s="170"/>
      <c r="D114" t="str" s="157" cm="1">
        <f t="array" ref="D114">IF(F114="","",F114-E114)</f>
      </c>
      <c r="E114" s="158"/>
      <c r="F114" t="str" s="159" cm="1">
        <f t="array" ref="F114">IF(I114="","",I114-H114)</f>
      </c>
      <c r="G114" s="160"/>
      <c r="H114" s="158"/>
      <c r="I114" t="str" s="159" cm="1">
        <f t="array" ref="I114">IF(P114="","",P114-K114)</f>
      </c>
      <c r="J114" s="160"/>
      <c r="K114" s="158"/>
      <c r="L114" s="161"/>
      <c r="M114" s="161"/>
      <c r="N114" s="161"/>
      <c r="O114" s="161"/>
      <c r="P114" t="str" s="159" cm="1">
        <f t="array" ref="P114">IF(AD114="","",AD114-R114-Q114)</f>
      </c>
      <c r="Q114" s="162"/>
      <c r="R114" s="162"/>
      <c r="S114" s="161"/>
      <c r="T114" s="161"/>
      <c r="U114" s="161"/>
      <c r="V114" s="161"/>
      <c r="W114" s="161"/>
      <c r="X114" s="161"/>
      <c r="Y114" s="161"/>
      <c r="Z114" s="161"/>
      <c r="AA114" s="161"/>
      <c r="AB114" s="160"/>
      <c r="AC114" s="163"/>
      <c r="AD114" t="str" s="159" cm="1">
        <f t="array" ref="AD114">IF(AG114="","",AG114-AF114)</f>
      </c>
      <c r="AE114" s="160"/>
      <c r="AF114" s="158"/>
      <c r="AG114" s="160"/>
      <c r="AH114" s="164"/>
      <c r="AI114" s="163"/>
      <c r="AJ114" s="161"/>
      <c r="AK114" s="161"/>
      <c r="AL114" s="160"/>
      <c r="AM114" s="165"/>
      <c r="AN114" s="166"/>
      <c r="AO114" s="10"/>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row>
    <row r="115" ht="25.15" customHeight="1">
      <c r="A115" s="155" cm="1">
        <f t="array" ref="A115">A114+1</f>
        <v>103</v>
      </c>
      <c r="B115" s="151"/>
      <c r="C115" s="170"/>
      <c r="D115" t="str" s="157" cm="1">
        <f t="array" ref="D115">IF(F115="","",F115-E115)</f>
      </c>
      <c r="E115" s="158"/>
      <c r="F115" t="str" s="159" cm="1">
        <f t="array" ref="F115">IF(I115="","",I115-H115)</f>
      </c>
      <c r="G115" s="160"/>
      <c r="H115" s="158"/>
      <c r="I115" t="str" s="159" cm="1">
        <f t="array" ref="I115">IF(P115="","",P115-K115)</f>
      </c>
      <c r="J115" s="160"/>
      <c r="K115" s="158"/>
      <c r="L115" s="161"/>
      <c r="M115" s="161"/>
      <c r="N115" s="161"/>
      <c r="O115" s="161"/>
      <c r="P115" t="str" s="159" cm="1">
        <f t="array" ref="P115">IF(AD115="","",AD115-R115-Q115)</f>
      </c>
      <c r="Q115" s="162"/>
      <c r="R115" s="162"/>
      <c r="S115" s="161"/>
      <c r="T115" s="161"/>
      <c r="U115" s="161"/>
      <c r="V115" s="161"/>
      <c r="W115" s="161"/>
      <c r="X115" s="161"/>
      <c r="Y115" s="161"/>
      <c r="Z115" s="161"/>
      <c r="AA115" s="161"/>
      <c r="AB115" s="160"/>
      <c r="AC115" s="163"/>
      <c r="AD115" t="str" s="159" cm="1">
        <f t="array" ref="AD115">IF(AG115="","",AG115-AF115)</f>
      </c>
      <c r="AE115" s="160"/>
      <c r="AF115" s="158"/>
      <c r="AG115" s="160"/>
      <c r="AH115" s="164"/>
      <c r="AI115" s="163"/>
      <c r="AJ115" s="161"/>
      <c r="AK115" s="161"/>
      <c r="AL115" s="160"/>
      <c r="AM115" s="165"/>
      <c r="AN115" s="166"/>
      <c r="AO115" s="10"/>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row>
    <row r="116" ht="25.15" customHeight="1">
      <c r="A116" s="155" cm="1">
        <f t="array" ref="A116">A115+1</f>
        <v>104</v>
      </c>
      <c r="B116" s="151"/>
      <c r="C116" s="170"/>
      <c r="D116" t="str" s="157" cm="1">
        <f t="array" ref="D116">IF(F116="","",F116-E116)</f>
      </c>
      <c r="E116" s="158"/>
      <c r="F116" t="str" s="159" cm="1">
        <f t="array" ref="F116">IF(I116="","",I116-H116)</f>
      </c>
      <c r="G116" s="160"/>
      <c r="H116" s="158"/>
      <c r="I116" t="str" s="159" cm="1">
        <f t="array" ref="I116">IF(P116="","",P116-K116)</f>
      </c>
      <c r="J116" s="160"/>
      <c r="K116" s="158"/>
      <c r="L116" s="161"/>
      <c r="M116" s="161"/>
      <c r="N116" s="161"/>
      <c r="O116" s="161"/>
      <c r="P116" t="str" s="159" cm="1">
        <f t="array" ref="P116">IF(AD116="","",AD116-R116-Q116)</f>
      </c>
      <c r="Q116" s="162"/>
      <c r="R116" s="162"/>
      <c r="S116" s="161"/>
      <c r="T116" s="161"/>
      <c r="U116" s="161"/>
      <c r="V116" s="161"/>
      <c r="W116" s="161"/>
      <c r="X116" s="161"/>
      <c r="Y116" s="161"/>
      <c r="Z116" s="161"/>
      <c r="AA116" s="161"/>
      <c r="AB116" s="160"/>
      <c r="AC116" s="163"/>
      <c r="AD116" t="str" s="159" cm="1">
        <f t="array" ref="AD116">IF(AG116="","",AG116-AF116)</f>
      </c>
      <c r="AE116" s="160"/>
      <c r="AF116" s="158"/>
      <c r="AG116" s="160"/>
      <c r="AH116" s="164"/>
      <c r="AI116" s="163"/>
      <c r="AJ116" s="161"/>
      <c r="AK116" s="161"/>
      <c r="AL116" s="160"/>
      <c r="AM116" s="165"/>
      <c r="AN116" s="166"/>
      <c r="AO116" s="10"/>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row>
    <row r="117" ht="25.15" customHeight="1">
      <c r="A117" s="155" cm="1">
        <f t="array" ref="A117">A116+1</f>
        <v>105</v>
      </c>
      <c r="B117" s="151"/>
      <c r="C117" s="170"/>
      <c r="D117" t="str" s="157" cm="1">
        <f t="array" ref="D117">IF(F117="","",F117-E117)</f>
      </c>
      <c r="E117" s="158"/>
      <c r="F117" t="str" s="159" cm="1">
        <f t="array" ref="F117">IF(I117="","",I117-H117)</f>
      </c>
      <c r="G117" s="160"/>
      <c r="H117" s="158"/>
      <c r="I117" t="str" s="159" cm="1">
        <f t="array" ref="I117">IF(P117="","",P117-K117)</f>
      </c>
      <c r="J117" s="160"/>
      <c r="K117" s="158"/>
      <c r="L117" s="161"/>
      <c r="M117" s="161"/>
      <c r="N117" s="161"/>
      <c r="O117" s="161"/>
      <c r="P117" t="str" s="159" cm="1">
        <f t="array" ref="P117">IF(AD117="","",AD117-R117-Q117)</f>
      </c>
      <c r="Q117" s="162"/>
      <c r="R117" s="162"/>
      <c r="S117" s="161"/>
      <c r="T117" s="161"/>
      <c r="U117" s="161"/>
      <c r="V117" s="161"/>
      <c r="W117" s="161"/>
      <c r="X117" s="161"/>
      <c r="Y117" s="161"/>
      <c r="Z117" s="161"/>
      <c r="AA117" s="161"/>
      <c r="AB117" s="160"/>
      <c r="AC117" s="163"/>
      <c r="AD117" t="str" s="159" cm="1">
        <f t="array" ref="AD117">IF(AG117="","",AG117-AF117)</f>
      </c>
      <c r="AE117" s="160"/>
      <c r="AF117" s="158"/>
      <c r="AG117" s="160"/>
      <c r="AH117" s="164"/>
      <c r="AI117" s="163"/>
      <c r="AJ117" s="161"/>
      <c r="AK117" s="161"/>
      <c r="AL117" s="160"/>
      <c r="AM117" s="165"/>
      <c r="AN117" s="166"/>
      <c r="AO117" s="10"/>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row>
    <row r="118" ht="25.15" customHeight="1">
      <c r="A118" s="155" cm="1">
        <f t="array" ref="A118">A117+1</f>
        <v>106</v>
      </c>
      <c r="B118" s="151"/>
      <c r="C118" s="170"/>
      <c r="D118" t="str" s="157" cm="1">
        <f t="array" ref="D118">IF(F118="","",F118-E118)</f>
      </c>
      <c r="E118" s="158"/>
      <c r="F118" t="str" s="159" cm="1">
        <f t="array" ref="F118">IF(I118="","",I118-H118)</f>
      </c>
      <c r="G118" s="160"/>
      <c r="H118" s="158"/>
      <c r="I118" t="str" s="159" cm="1">
        <f t="array" ref="I118">IF(P118="","",P118-K118)</f>
      </c>
      <c r="J118" s="160"/>
      <c r="K118" s="158"/>
      <c r="L118" s="161"/>
      <c r="M118" s="161"/>
      <c r="N118" s="161"/>
      <c r="O118" s="161"/>
      <c r="P118" t="str" s="159" cm="1">
        <f t="array" ref="P118">IF(AD118="","",AD118-R118-Q118)</f>
      </c>
      <c r="Q118" s="162"/>
      <c r="R118" s="162"/>
      <c r="S118" s="161"/>
      <c r="T118" s="161"/>
      <c r="U118" s="161"/>
      <c r="V118" s="161"/>
      <c r="W118" s="161"/>
      <c r="X118" s="161"/>
      <c r="Y118" s="161"/>
      <c r="Z118" s="161"/>
      <c r="AA118" s="161"/>
      <c r="AB118" s="160"/>
      <c r="AC118" s="163"/>
      <c r="AD118" t="str" s="159" cm="1">
        <f t="array" ref="AD118">IF(AG118="","",AG118-AF118)</f>
      </c>
      <c r="AE118" s="160"/>
      <c r="AF118" s="158"/>
      <c r="AG118" s="160"/>
      <c r="AH118" s="164"/>
      <c r="AI118" s="163"/>
      <c r="AJ118" s="161"/>
      <c r="AK118" s="161"/>
      <c r="AL118" s="160"/>
      <c r="AM118" s="165"/>
      <c r="AN118" s="166"/>
      <c r="AO118" s="10"/>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row>
    <row r="119" ht="25.15" customHeight="1">
      <c r="A119" s="155" cm="1">
        <f t="array" ref="A119">A118+1</f>
        <v>107</v>
      </c>
      <c r="B119" s="151"/>
      <c r="C119" s="170"/>
      <c r="D119" t="str" s="157" cm="1">
        <f t="array" ref="D119">IF(F119="","",F119-E119)</f>
      </c>
      <c r="E119" s="158"/>
      <c r="F119" t="str" s="159" cm="1">
        <f t="array" ref="F119">IF(I119="","",I119-H119)</f>
      </c>
      <c r="G119" s="160"/>
      <c r="H119" s="158"/>
      <c r="I119" t="str" s="159" cm="1">
        <f t="array" ref="I119">IF(P119="","",P119-K119)</f>
      </c>
      <c r="J119" s="160"/>
      <c r="K119" s="158"/>
      <c r="L119" s="161"/>
      <c r="M119" s="161"/>
      <c r="N119" s="161"/>
      <c r="O119" s="161"/>
      <c r="P119" t="str" s="159" cm="1">
        <f t="array" ref="P119">IF(AD119="","",AD119-R119-Q119)</f>
      </c>
      <c r="Q119" s="162"/>
      <c r="R119" s="162"/>
      <c r="S119" s="161"/>
      <c r="T119" s="161"/>
      <c r="U119" s="161"/>
      <c r="V119" s="161"/>
      <c r="W119" s="161"/>
      <c r="X119" s="161"/>
      <c r="Y119" s="161"/>
      <c r="Z119" s="161"/>
      <c r="AA119" s="161"/>
      <c r="AB119" s="160"/>
      <c r="AC119" s="163"/>
      <c r="AD119" t="str" s="159" cm="1">
        <f t="array" ref="AD119">IF(AG119="","",AG119-AF119)</f>
      </c>
      <c r="AE119" s="160"/>
      <c r="AF119" s="158"/>
      <c r="AG119" s="160"/>
      <c r="AH119" s="164"/>
      <c r="AI119" s="163"/>
      <c r="AJ119" s="161"/>
      <c r="AK119" s="161"/>
      <c r="AL119" s="160"/>
      <c r="AM119" s="165"/>
      <c r="AN119" s="166"/>
      <c r="AO119" s="10"/>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row>
    <row r="120" ht="25.15" customHeight="1">
      <c r="A120" s="155" cm="1">
        <f t="array" ref="A120">A119+1</f>
        <v>108</v>
      </c>
      <c r="B120" s="151"/>
      <c r="C120" s="170"/>
      <c r="D120" t="str" s="157" cm="1">
        <f t="array" ref="D120">IF(F120="","",F120-E120)</f>
      </c>
      <c r="E120" s="158"/>
      <c r="F120" t="str" s="159" cm="1">
        <f t="array" ref="F120">IF(I120="","",I120-H120)</f>
      </c>
      <c r="G120" s="160"/>
      <c r="H120" s="158"/>
      <c r="I120" t="str" s="159" cm="1">
        <f t="array" ref="I120">IF(P120="","",P120-K120)</f>
      </c>
      <c r="J120" s="160"/>
      <c r="K120" s="158"/>
      <c r="L120" s="161"/>
      <c r="M120" s="161"/>
      <c r="N120" s="161"/>
      <c r="O120" s="161"/>
      <c r="P120" t="str" s="159" cm="1">
        <f t="array" ref="P120">IF(AD120="","",AD120-R120-Q120)</f>
      </c>
      <c r="Q120" s="162"/>
      <c r="R120" s="162"/>
      <c r="S120" s="161"/>
      <c r="T120" s="161"/>
      <c r="U120" s="161"/>
      <c r="V120" s="161"/>
      <c r="W120" s="161"/>
      <c r="X120" s="161"/>
      <c r="Y120" s="161"/>
      <c r="Z120" s="161"/>
      <c r="AA120" s="161"/>
      <c r="AB120" s="160"/>
      <c r="AC120" s="163"/>
      <c r="AD120" t="str" s="159" cm="1">
        <f t="array" ref="AD120">IF(AG120="","",AG120-AF120)</f>
      </c>
      <c r="AE120" s="160"/>
      <c r="AF120" s="158"/>
      <c r="AG120" s="160"/>
      <c r="AH120" s="164"/>
      <c r="AI120" s="163"/>
      <c r="AJ120" s="161"/>
      <c r="AK120" s="161"/>
      <c r="AL120" s="160"/>
      <c r="AM120" s="165"/>
      <c r="AN120" s="166"/>
      <c r="AO120" s="10"/>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row>
    <row r="121" ht="25.15" customHeight="1">
      <c r="A121" s="155" cm="1">
        <f t="array" ref="A121">A120+1</f>
        <v>109</v>
      </c>
      <c r="B121" s="151"/>
      <c r="C121" s="170"/>
      <c r="D121" t="str" s="157" cm="1">
        <f t="array" ref="D121">IF(F121="","",F121-E121)</f>
      </c>
      <c r="E121" s="158"/>
      <c r="F121" t="str" s="159" cm="1">
        <f t="array" ref="F121">IF(I121="","",I121-H121)</f>
      </c>
      <c r="G121" s="160"/>
      <c r="H121" s="158"/>
      <c r="I121" t="str" s="159" cm="1">
        <f t="array" ref="I121">IF(P121="","",P121-K121)</f>
      </c>
      <c r="J121" s="160"/>
      <c r="K121" s="158"/>
      <c r="L121" s="161"/>
      <c r="M121" s="161"/>
      <c r="N121" s="161"/>
      <c r="O121" s="161"/>
      <c r="P121" t="str" s="159" cm="1">
        <f t="array" ref="P121">IF(AD121="","",AD121-R121-Q121)</f>
      </c>
      <c r="Q121" s="162"/>
      <c r="R121" s="162"/>
      <c r="S121" s="161"/>
      <c r="T121" s="161"/>
      <c r="U121" s="161"/>
      <c r="V121" s="161"/>
      <c r="W121" s="161"/>
      <c r="X121" s="161"/>
      <c r="Y121" s="161"/>
      <c r="Z121" s="161"/>
      <c r="AA121" s="161"/>
      <c r="AB121" s="160"/>
      <c r="AC121" s="163"/>
      <c r="AD121" t="str" s="159" cm="1">
        <f t="array" ref="AD121">IF(AG121="","",AG121-AF121)</f>
      </c>
      <c r="AE121" s="160"/>
      <c r="AF121" s="158"/>
      <c r="AG121" s="160"/>
      <c r="AH121" s="164"/>
      <c r="AI121" s="163"/>
      <c r="AJ121" s="161"/>
      <c r="AK121" s="161"/>
      <c r="AL121" s="160"/>
      <c r="AM121" s="165"/>
      <c r="AN121" s="166"/>
      <c r="AO121" s="10"/>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row>
    <row r="122" ht="25.15" customHeight="1">
      <c r="A122" s="155" cm="1">
        <f t="array" ref="A122">A121+1</f>
        <v>110</v>
      </c>
      <c r="B122" s="151"/>
      <c r="C122" s="170"/>
      <c r="D122" t="str" s="157" cm="1">
        <f t="array" ref="D122">IF(F122="","",F122-E122)</f>
      </c>
      <c r="E122" s="158"/>
      <c r="F122" t="str" s="159" cm="1">
        <f t="array" ref="F122">IF(I122="","",I122-H122)</f>
      </c>
      <c r="G122" s="160"/>
      <c r="H122" s="158"/>
      <c r="I122" t="str" s="159" cm="1">
        <f t="array" ref="I122">IF(P122="","",P122-K122)</f>
      </c>
      <c r="J122" s="160"/>
      <c r="K122" s="158"/>
      <c r="L122" s="161"/>
      <c r="M122" s="161"/>
      <c r="N122" s="161"/>
      <c r="O122" s="161"/>
      <c r="P122" t="str" s="159" cm="1">
        <f t="array" ref="P122">IF(AD122="","",AD122-R122-Q122)</f>
      </c>
      <c r="Q122" s="162"/>
      <c r="R122" s="162"/>
      <c r="S122" s="161"/>
      <c r="T122" s="161"/>
      <c r="U122" s="161"/>
      <c r="V122" s="161"/>
      <c r="W122" s="161"/>
      <c r="X122" s="161"/>
      <c r="Y122" s="161"/>
      <c r="Z122" s="161"/>
      <c r="AA122" s="161"/>
      <c r="AB122" s="160"/>
      <c r="AC122" s="163"/>
      <c r="AD122" t="str" s="159" cm="1">
        <f t="array" ref="AD122">IF(AG122="","",AG122-AF122)</f>
      </c>
      <c r="AE122" s="160"/>
      <c r="AF122" s="158"/>
      <c r="AG122" s="160"/>
      <c r="AH122" s="164"/>
      <c r="AI122" s="163"/>
      <c r="AJ122" s="161"/>
      <c r="AK122" s="161"/>
      <c r="AL122" s="160"/>
      <c r="AM122" s="165"/>
      <c r="AN122" s="166"/>
      <c r="AO122" s="10"/>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row>
    <row r="123" ht="25.15" customHeight="1">
      <c r="A123" s="155" cm="1">
        <f t="array" ref="A123">A122+1</f>
        <v>111</v>
      </c>
      <c r="B123" s="151"/>
      <c r="C123" s="170"/>
      <c r="D123" t="str" s="157" cm="1">
        <f t="array" ref="D123">IF(F123="","",F123-E123)</f>
      </c>
      <c r="E123" s="158"/>
      <c r="F123" t="str" s="159" cm="1">
        <f t="array" ref="F123">IF(I123="","",I123-H123)</f>
      </c>
      <c r="G123" s="160"/>
      <c r="H123" s="158"/>
      <c r="I123" t="str" s="159" cm="1">
        <f t="array" ref="I123">IF(P123="","",P123-K123)</f>
      </c>
      <c r="J123" s="160"/>
      <c r="K123" s="158"/>
      <c r="L123" s="161"/>
      <c r="M123" s="161"/>
      <c r="N123" s="161"/>
      <c r="O123" s="161"/>
      <c r="P123" t="str" s="159" cm="1">
        <f t="array" ref="P123">IF(AD123="","",AD123-R123-Q123)</f>
      </c>
      <c r="Q123" s="162"/>
      <c r="R123" s="162"/>
      <c r="S123" s="161"/>
      <c r="T123" s="161"/>
      <c r="U123" s="161"/>
      <c r="V123" s="161"/>
      <c r="W123" s="161"/>
      <c r="X123" s="161"/>
      <c r="Y123" s="161"/>
      <c r="Z123" s="161"/>
      <c r="AA123" s="161"/>
      <c r="AB123" s="160"/>
      <c r="AC123" s="163"/>
      <c r="AD123" t="str" s="159" cm="1">
        <f t="array" ref="AD123">IF(AG123="","",AG123-AF123)</f>
      </c>
      <c r="AE123" s="160"/>
      <c r="AF123" s="158"/>
      <c r="AG123" s="160"/>
      <c r="AH123" s="164"/>
      <c r="AI123" s="163"/>
      <c r="AJ123" s="161"/>
      <c r="AK123" s="161"/>
      <c r="AL123" s="160"/>
      <c r="AM123" s="165"/>
      <c r="AN123" s="166"/>
      <c r="AO123" s="10"/>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row>
    <row r="124" ht="25.15" customHeight="1">
      <c r="A124" s="155" cm="1">
        <f t="array" ref="A124">A123+1</f>
        <v>112</v>
      </c>
      <c r="B124" s="151"/>
      <c r="C124" s="170"/>
      <c r="D124" t="str" s="157" cm="1">
        <f t="array" ref="D124">IF(F124="","",F124-E124)</f>
      </c>
      <c r="E124" s="158"/>
      <c r="F124" t="str" s="159" cm="1">
        <f t="array" ref="F124">IF(I124="","",I124-H124)</f>
      </c>
      <c r="G124" s="160"/>
      <c r="H124" s="158"/>
      <c r="I124" t="str" s="159" cm="1">
        <f t="array" ref="I124">IF(P124="","",P124-K124)</f>
      </c>
      <c r="J124" s="160"/>
      <c r="K124" s="158"/>
      <c r="L124" s="161"/>
      <c r="M124" s="161"/>
      <c r="N124" s="161"/>
      <c r="O124" s="161"/>
      <c r="P124" t="str" s="159" cm="1">
        <f t="array" ref="P124">IF(AD124="","",AD124-R124-Q124)</f>
      </c>
      <c r="Q124" s="162"/>
      <c r="R124" s="162"/>
      <c r="S124" s="161"/>
      <c r="T124" s="161"/>
      <c r="U124" s="161"/>
      <c r="V124" s="161"/>
      <c r="W124" s="161"/>
      <c r="X124" s="161"/>
      <c r="Y124" s="161"/>
      <c r="Z124" s="161"/>
      <c r="AA124" s="161"/>
      <c r="AB124" s="160"/>
      <c r="AC124" s="163"/>
      <c r="AD124" t="str" s="159" cm="1">
        <f t="array" ref="AD124">IF(AG124="","",AG124-AF124)</f>
      </c>
      <c r="AE124" s="160"/>
      <c r="AF124" s="158"/>
      <c r="AG124" s="160"/>
      <c r="AH124" s="164"/>
      <c r="AI124" s="163"/>
      <c r="AJ124" s="161"/>
      <c r="AK124" s="161"/>
      <c r="AL124" s="160"/>
      <c r="AM124" s="165"/>
      <c r="AN124" s="166"/>
      <c r="AO124" s="10"/>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row>
    <row r="125" ht="25.15" customHeight="1">
      <c r="A125" s="155" cm="1">
        <f t="array" ref="A125">A124+1</f>
        <v>113</v>
      </c>
      <c r="B125" s="151"/>
      <c r="C125" s="170"/>
      <c r="D125" t="str" s="157" cm="1">
        <f t="array" ref="D125">IF(F125="","",F125-E125)</f>
      </c>
      <c r="E125" s="158"/>
      <c r="F125" t="str" s="159" cm="1">
        <f t="array" ref="F125">IF(I125="","",I125-H125)</f>
      </c>
      <c r="G125" s="160"/>
      <c r="H125" s="158"/>
      <c r="I125" t="str" s="159" cm="1">
        <f t="array" ref="I125">IF(P125="","",P125-K125)</f>
      </c>
      <c r="J125" s="160"/>
      <c r="K125" s="158"/>
      <c r="L125" s="161"/>
      <c r="M125" s="161"/>
      <c r="N125" s="161"/>
      <c r="O125" s="161"/>
      <c r="P125" t="str" s="159" cm="1">
        <f t="array" ref="P125">IF(AD125="","",AD125-R125-Q125)</f>
      </c>
      <c r="Q125" s="162"/>
      <c r="R125" s="162"/>
      <c r="S125" s="161"/>
      <c r="T125" s="161"/>
      <c r="U125" s="161"/>
      <c r="V125" s="161"/>
      <c r="W125" s="161"/>
      <c r="X125" s="161"/>
      <c r="Y125" s="161"/>
      <c r="Z125" s="161"/>
      <c r="AA125" s="161"/>
      <c r="AB125" s="160"/>
      <c r="AC125" s="163"/>
      <c r="AD125" t="str" s="159" cm="1">
        <f t="array" ref="AD125">IF(AG125="","",AG125-AF125)</f>
      </c>
      <c r="AE125" s="160"/>
      <c r="AF125" s="158"/>
      <c r="AG125" s="160"/>
      <c r="AH125" s="164"/>
      <c r="AI125" s="163"/>
      <c r="AJ125" s="161"/>
      <c r="AK125" s="161"/>
      <c r="AL125" s="160"/>
      <c r="AM125" s="165"/>
      <c r="AN125" s="166"/>
      <c r="AO125" s="10"/>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row>
    <row r="126" ht="25.15" customHeight="1">
      <c r="A126" s="155" cm="1">
        <f t="array" ref="A126">A125+1</f>
        <v>114</v>
      </c>
      <c r="B126" s="151"/>
      <c r="C126" s="170"/>
      <c r="D126" t="str" s="157" cm="1">
        <f t="array" ref="D126">IF(F126="","",F126-E126)</f>
      </c>
      <c r="E126" s="158"/>
      <c r="F126" t="str" s="159" cm="1">
        <f t="array" ref="F126">IF(I126="","",I126-H126)</f>
      </c>
      <c r="G126" s="160"/>
      <c r="H126" s="158"/>
      <c r="I126" t="str" s="159" cm="1">
        <f t="array" ref="I126">IF(P126="","",P126-K126)</f>
      </c>
      <c r="J126" s="160"/>
      <c r="K126" s="158"/>
      <c r="L126" s="161"/>
      <c r="M126" s="161"/>
      <c r="N126" s="161"/>
      <c r="O126" s="161"/>
      <c r="P126" t="str" s="159" cm="1">
        <f t="array" ref="P126">IF(AD126="","",AD126-R126-Q126)</f>
      </c>
      <c r="Q126" s="162"/>
      <c r="R126" s="162"/>
      <c r="S126" s="161"/>
      <c r="T126" s="161"/>
      <c r="U126" s="161"/>
      <c r="V126" s="161"/>
      <c r="W126" s="161"/>
      <c r="X126" s="161"/>
      <c r="Y126" s="161"/>
      <c r="Z126" s="161"/>
      <c r="AA126" s="161"/>
      <c r="AB126" s="160"/>
      <c r="AC126" s="163"/>
      <c r="AD126" t="str" s="159" cm="1">
        <f t="array" ref="AD126">IF(AG126="","",AG126-AF126)</f>
      </c>
      <c r="AE126" s="160"/>
      <c r="AF126" s="158"/>
      <c r="AG126" s="160"/>
      <c r="AH126" s="164"/>
      <c r="AI126" s="163"/>
      <c r="AJ126" s="161"/>
      <c r="AK126" s="161"/>
      <c r="AL126" s="160"/>
      <c r="AM126" s="165"/>
      <c r="AN126" s="166"/>
      <c r="AO126" s="10"/>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row>
    <row r="127" ht="25.15" customHeight="1">
      <c r="A127" s="155" cm="1">
        <f t="array" ref="A127">A126+1</f>
        <v>115</v>
      </c>
      <c r="B127" s="151"/>
      <c r="C127" s="170"/>
      <c r="D127" t="str" s="157" cm="1">
        <f t="array" ref="D127">IF(F127="","",F127-E127)</f>
      </c>
      <c r="E127" s="158"/>
      <c r="F127" t="str" s="159" cm="1">
        <f t="array" ref="F127">IF(I127="","",I127-H127)</f>
      </c>
      <c r="G127" s="160"/>
      <c r="H127" s="158"/>
      <c r="I127" t="str" s="159" cm="1">
        <f t="array" ref="I127">IF(P127="","",P127-K127)</f>
      </c>
      <c r="J127" s="160"/>
      <c r="K127" s="158"/>
      <c r="L127" s="161"/>
      <c r="M127" s="161"/>
      <c r="N127" s="161"/>
      <c r="O127" s="161"/>
      <c r="P127" t="str" s="159" cm="1">
        <f t="array" ref="P127">IF(AD127="","",AD127-R127-Q127)</f>
      </c>
      <c r="Q127" s="162"/>
      <c r="R127" s="162"/>
      <c r="S127" s="161"/>
      <c r="T127" s="161"/>
      <c r="U127" s="161"/>
      <c r="V127" s="161"/>
      <c r="W127" s="161"/>
      <c r="X127" s="161"/>
      <c r="Y127" s="161"/>
      <c r="Z127" s="161"/>
      <c r="AA127" s="161"/>
      <c r="AB127" s="160"/>
      <c r="AC127" s="163"/>
      <c r="AD127" t="str" s="159" cm="1">
        <f t="array" ref="AD127">IF(AG127="","",AG127-AF127)</f>
      </c>
      <c r="AE127" s="160"/>
      <c r="AF127" s="158"/>
      <c r="AG127" s="160"/>
      <c r="AH127" s="164"/>
      <c r="AI127" s="163"/>
      <c r="AJ127" s="161"/>
      <c r="AK127" s="161"/>
      <c r="AL127" s="160"/>
      <c r="AM127" s="165"/>
      <c r="AN127" s="166"/>
      <c r="AO127" s="10"/>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row>
    <row r="128" ht="25.15" customHeight="1">
      <c r="A128" s="155" cm="1">
        <f t="array" ref="A128">A127+1</f>
        <v>116</v>
      </c>
      <c r="B128" s="151"/>
      <c r="C128" s="170"/>
      <c r="D128" t="str" s="157" cm="1">
        <f t="array" ref="D128">IF(F128="","",F128-E128)</f>
      </c>
      <c r="E128" s="158"/>
      <c r="F128" t="str" s="159" cm="1">
        <f t="array" ref="F128">IF(I128="","",I128-H128)</f>
      </c>
      <c r="G128" s="160"/>
      <c r="H128" s="158"/>
      <c r="I128" t="str" s="159" cm="1">
        <f t="array" ref="I128">IF(P128="","",P128-K128)</f>
      </c>
      <c r="J128" s="160"/>
      <c r="K128" s="158"/>
      <c r="L128" s="161"/>
      <c r="M128" s="161"/>
      <c r="N128" s="161"/>
      <c r="O128" s="161"/>
      <c r="P128" t="str" s="159" cm="1">
        <f t="array" ref="P128">IF(AD128="","",AD128-R128-Q128)</f>
      </c>
      <c r="Q128" s="162"/>
      <c r="R128" s="162"/>
      <c r="S128" s="161"/>
      <c r="T128" s="161"/>
      <c r="U128" s="161"/>
      <c r="V128" s="161"/>
      <c r="W128" s="161"/>
      <c r="X128" s="161"/>
      <c r="Y128" s="161"/>
      <c r="Z128" s="161"/>
      <c r="AA128" s="161"/>
      <c r="AB128" s="160"/>
      <c r="AC128" s="163"/>
      <c r="AD128" t="str" s="159" cm="1">
        <f t="array" ref="AD128">IF(AG128="","",AG128-AF128)</f>
      </c>
      <c r="AE128" s="160"/>
      <c r="AF128" s="158"/>
      <c r="AG128" s="160"/>
      <c r="AH128" s="164"/>
      <c r="AI128" s="163"/>
      <c r="AJ128" s="161"/>
      <c r="AK128" s="161"/>
      <c r="AL128" s="160"/>
      <c r="AM128" s="165"/>
      <c r="AN128" s="166"/>
      <c r="AO128" s="10"/>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row>
    <row r="129" ht="25.15" customHeight="1">
      <c r="A129" s="155" cm="1">
        <f t="array" ref="A129">A128+1</f>
        <v>117</v>
      </c>
      <c r="B129" s="151"/>
      <c r="C129" s="170"/>
      <c r="D129" t="str" s="157" cm="1">
        <f t="array" ref="D129">IF(F129="","",F129-E129)</f>
      </c>
      <c r="E129" s="158"/>
      <c r="F129" t="str" s="159" cm="1">
        <f t="array" ref="F129">IF(I129="","",I129-H129)</f>
      </c>
      <c r="G129" s="160"/>
      <c r="H129" s="158"/>
      <c r="I129" t="str" s="159" cm="1">
        <f t="array" ref="I129">IF(P129="","",P129-K129)</f>
      </c>
      <c r="J129" s="160"/>
      <c r="K129" s="158"/>
      <c r="L129" s="161"/>
      <c r="M129" s="161"/>
      <c r="N129" s="161"/>
      <c r="O129" s="161"/>
      <c r="P129" t="str" s="159" cm="1">
        <f t="array" ref="P129">IF(AD129="","",AD129-R129-Q129)</f>
      </c>
      <c r="Q129" s="162"/>
      <c r="R129" s="162"/>
      <c r="S129" s="161"/>
      <c r="T129" s="161"/>
      <c r="U129" s="161"/>
      <c r="V129" s="161"/>
      <c r="W129" s="161"/>
      <c r="X129" s="161"/>
      <c r="Y129" s="161"/>
      <c r="Z129" s="161"/>
      <c r="AA129" s="161"/>
      <c r="AB129" s="160"/>
      <c r="AC129" s="163"/>
      <c r="AD129" t="str" s="159" cm="1">
        <f t="array" ref="AD129">IF(AG129="","",AG129-AF129)</f>
      </c>
      <c r="AE129" s="160"/>
      <c r="AF129" s="158"/>
      <c r="AG129" s="160"/>
      <c r="AH129" s="164"/>
      <c r="AI129" s="163"/>
      <c r="AJ129" s="161"/>
      <c r="AK129" s="161"/>
      <c r="AL129" s="160"/>
      <c r="AM129" s="165"/>
      <c r="AN129" s="166"/>
      <c r="AO129" s="10"/>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row>
    <row r="130" ht="25.15" customHeight="1">
      <c r="A130" s="155" cm="1">
        <f t="array" ref="A130">A129+1</f>
        <v>118</v>
      </c>
      <c r="B130" s="151"/>
      <c r="C130" s="170"/>
      <c r="D130" t="str" s="157" cm="1">
        <f t="array" ref="D130">IF(F130="","",F130-E130)</f>
      </c>
      <c r="E130" s="158"/>
      <c r="F130" t="str" s="159" cm="1">
        <f t="array" ref="F130">IF(I130="","",I130-H130)</f>
      </c>
      <c r="G130" s="160"/>
      <c r="H130" s="158"/>
      <c r="I130" t="str" s="159" cm="1">
        <f t="array" ref="I130">IF(P130="","",P130-K130)</f>
      </c>
      <c r="J130" s="160"/>
      <c r="K130" s="158"/>
      <c r="L130" s="161"/>
      <c r="M130" s="161"/>
      <c r="N130" s="161"/>
      <c r="O130" s="161"/>
      <c r="P130" t="str" s="159" cm="1">
        <f t="array" ref="P130">IF(AD130="","",AD130-R130-Q130)</f>
      </c>
      <c r="Q130" s="162"/>
      <c r="R130" s="162"/>
      <c r="S130" s="161"/>
      <c r="T130" s="161"/>
      <c r="U130" s="161"/>
      <c r="V130" s="161"/>
      <c r="W130" s="161"/>
      <c r="X130" s="161"/>
      <c r="Y130" s="161"/>
      <c r="Z130" s="161"/>
      <c r="AA130" s="161"/>
      <c r="AB130" s="160"/>
      <c r="AC130" s="163"/>
      <c r="AD130" t="str" s="159" cm="1">
        <f t="array" ref="AD130">IF(AG130="","",AG130-AF130)</f>
      </c>
      <c r="AE130" s="160"/>
      <c r="AF130" s="158"/>
      <c r="AG130" s="160"/>
      <c r="AH130" s="164"/>
      <c r="AI130" s="163"/>
      <c r="AJ130" s="161"/>
      <c r="AK130" s="161"/>
      <c r="AL130" s="160"/>
      <c r="AM130" s="165"/>
      <c r="AN130" s="166"/>
      <c r="AO130" s="10"/>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row>
    <row r="131" ht="25.15" customHeight="1">
      <c r="A131" s="155" cm="1">
        <f t="array" ref="A131">A130+1</f>
        <v>119</v>
      </c>
      <c r="B131" s="151"/>
      <c r="C131" s="170"/>
      <c r="D131" t="str" s="157" cm="1">
        <f t="array" ref="D131">IF(F131="","",F131-E131)</f>
      </c>
      <c r="E131" s="158"/>
      <c r="F131" t="str" s="159" cm="1">
        <f t="array" ref="F131">IF(I131="","",I131-H131)</f>
      </c>
      <c r="G131" s="160"/>
      <c r="H131" s="158"/>
      <c r="I131" t="str" s="159" cm="1">
        <f t="array" ref="I131">IF(P131="","",P131-K131)</f>
      </c>
      <c r="J131" s="160"/>
      <c r="K131" s="158"/>
      <c r="L131" s="161"/>
      <c r="M131" s="161"/>
      <c r="N131" s="161"/>
      <c r="O131" s="161"/>
      <c r="P131" t="str" s="159" cm="1">
        <f t="array" ref="P131">IF(AD131="","",AD131-R131-Q131)</f>
      </c>
      <c r="Q131" s="162"/>
      <c r="R131" s="162"/>
      <c r="S131" s="161"/>
      <c r="T131" s="161"/>
      <c r="U131" s="161"/>
      <c r="V131" s="161"/>
      <c r="W131" s="161"/>
      <c r="X131" s="161"/>
      <c r="Y131" s="161"/>
      <c r="Z131" s="161"/>
      <c r="AA131" s="161"/>
      <c r="AB131" s="160"/>
      <c r="AC131" s="163"/>
      <c r="AD131" t="str" s="159" cm="1">
        <f t="array" ref="AD131">IF(AG131="","",AG131-AF131)</f>
      </c>
      <c r="AE131" s="160"/>
      <c r="AF131" s="158"/>
      <c r="AG131" s="160"/>
      <c r="AH131" s="164"/>
      <c r="AI131" s="163"/>
      <c r="AJ131" s="161"/>
      <c r="AK131" s="161"/>
      <c r="AL131" s="160"/>
      <c r="AM131" s="165"/>
      <c r="AN131" s="166"/>
      <c r="AO131" s="10"/>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row>
    <row r="132" ht="25.15" customHeight="1">
      <c r="A132" s="155" cm="1">
        <f t="array" ref="A132">A131+1</f>
        <v>120</v>
      </c>
      <c r="B132" s="151"/>
      <c r="C132" s="170"/>
      <c r="D132" t="str" s="157" cm="1">
        <f t="array" ref="D132">IF(F132="","",F132-E132)</f>
      </c>
      <c r="E132" s="158"/>
      <c r="F132" t="str" s="159" cm="1">
        <f t="array" ref="F132">IF(I132="","",I132-H132)</f>
      </c>
      <c r="G132" s="160"/>
      <c r="H132" s="158"/>
      <c r="I132" t="str" s="159" cm="1">
        <f t="array" ref="I132">IF(P132="","",P132-K132)</f>
      </c>
      <c r="J132" s="160"/>
      <c r="K132" s="158"/>
      <c r="L132" s="161"/>
      <c r="M132" s="161"/>
      <c r="N132" s="161"/>
      <c r="O132" s="161"/>
      <c r="P132" t="str" s="159" cm="1">
        <f t="array" ref="P132">IF(AD132="","",AD132-R132-Q132)</f>
      </c>
      <c r="Q132" s="162"/>
      <c r="R132" s="162"/>
      <c r="S132" s="161"/>
      <c r="T132" s="161"/>
      <c r="U132" s="161"/>
      <c r="V132" s="161"/>
      <c r="W132" s="161"/>
      <c r="X132" s="161"/>
      <c r="Y132" s="161"/>
      <c r="Z132" s="161"/>
      <c r="AA132" s="161"/>
      <c r="AB132" s="160"/>
      <c r="AC132" s="163"/>
      <c r="AD132" t="str" s="159" cm="1">
        <f t="array" ref="AD132">IF(AG132="","",AG132-AF132)</f>
      </c>
      <c r="AE132" s="160"/>
      <c r="AF132" s="158"/>
      <c r="AG132" s="160"/>
      <c r="AH132" s="164"/>
      <c r="AI132" s="163"/>
      <c r="AJ132" s="161"/>
      <c r="AK132" s="161"/>
      <c r="AL132" s="160"/>
      <c r="AM132" s="165"/>
      <c r="AN132" s="166"/>
      <c r="AO132" s="10"/>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row>
    <row r="133" ht="25.15" customHeight="1">
      <c r="A133" s="155" cm="1">
        <f t="array" ref="A133">A132+1</f>
        <v>121</v>
      </c>
      <c r="B133" s="151"/>
      <c r="C133" s="170"/>
      <c r="D133" t="str" s="157" cm="1">
        <f t="array" ref="D133">IF(F133="","",F133-E133)</f>
      </c>
      <c r="E133" s="158"/>
      <c r="F133" t="str" s="159" cm="1">
        <f t="array" ref="F133">IF(I133="","",I133-H133)</f>
      </c>
      <c r="G133" s="160"/>
      <c r="H133" s="158"/>
      <c r="I133" t="str" s="159" cm="1">
        <f t="array" ref="I133">IF(P133="","",P133-K133)</f>
      </c>
      <c r="J133" s="160"/>
      <c r="K133" s="158"/>
      <c r="L133" s="161"/>
      <c r="M133" s="161"/>
      <c r="N133" s="161"/>
      <c r="O133" s="161"/>
      <c r="P133" t="str" s="159" cm="1">
        <f t="array" ref="P133">IF(AD133="","",AD133-R133-Q133)</f>
      </c>
      <c r="Q133" s="162"/>
      <c r="R133" s="162"/>
      <c r="S133" s="161"/>
      <c r="T133" s="161"/>
      <c r="U133" s="161"/>
      <c r="V133" s="161"/>
      <c r="W133" s="161"/>
      <c r="X133" s="161"/>
      <c r="Y133" s="161"/>
      <c r="Z133" s="161"/>
      <c r="AA133" s="161"/>
      <c r="AB133" s="160"/>
      <c r="AC133" s="163"/>
      <c r="AD133" t="str" s="159" cm="1">
        <f t="array" ref="AD133">IF(AG133="","",AG133-AF133)</f>
      </c>
      <c r="AE133" s="160"/>
      <c r="AF133" s="158"/>
      <c r="AG133" s="160"/>
      <c r="AH133" s="164"/>
      <c r="AI133" s="163"/>
      <c r="AJ133" s="161"/>
      <c r="AK133" s="161"/>
      <c r="AL133" s="160"/>
      <c r="AM133" s="165"/>
      <c r="AN133" s="166"/>
      <c r="AO133" s="10"/>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row>
    <row r="134" ht="25.15" customHeight="1">
      <c r="A134" s="155" cm="1">
        <f t="array" ref="A134">A133+1</f>
        <v>122</v>
      </c>
      <c r="B134" s="151"/>
      <c r="C134" s="170"/>
      <c r="D134" t="str" s="157" cm="1">
        <f t="array" ref="D134">IF(F134="","",F134-E134)</f>
      </c>
      <c r="E134" s="158"/>
      <c r="F134" t="str" s="159" cm="1">
        <f t="array" ref="F134">IF(I134="","",I134-H134)</f>
      </c>
      <c r="G134" s="160"/>
      <c r="H134" s="158"/>
      <c r="I134" t="str" s="159" cm="1">
        <f t="array" ref="I134">IF(P134="","",P134-K134)</f>
      </c>
      <c r="J134" s="160"/>
      <c r="K134" s="158"/>
      <c r="L134" s="161"/>
      <c r="M134" s="161"/>
      <c r="N134" s="161"/>
      <c r="O134" s="161"/>
      <c r="P134" t="str" s="159" cm="1">
        <f t="array" ref="P134">IF(AD134="","",AD134-R134-Q134)</f>
      </c>
      <c r="Q134" s="162"/>
      <c r="R134" s="162"/>
      <c r="S134" s="161"/>
      <c r="T134" s="161"/>
      <c r="U134" s="161"/>
      <c r="V134" s="161"/>
      <c r="W134" s="161"/>
      <c r="X134" s="161"/>
      <c r="Y134" s="161"/>
      <c r="Z134" s="161"/>
      <c r="AA134" s="161"/>
      <c r="AB134" s="160"/>
      <c r="AC134" s="163"/>
      <c r="AD134" t="str" s="159" cm="1">
        <f t="array" ref="AD134">IF(AG134="","",AG134-AF134)</f>
      </c>
      <c r="AE134" s="160"/>
      <c r="AF134" s="158"/>
      <c r="AG134" s="160"/>
      <c r="AH134" s="164"/>
      <c r="AI134" s="163"/>
      <c r="AJ134" s="161"/>
      <c r="AK134" s="161"/>
      <c r="AL134" s="160"/>
      <c r="AM134" s="165"/>
      <c r="AN134" s="166"/>
      <c r="AO134" s="10"/>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row>
    <row r="135" ht="25.15" customHeight="1">
      <c r="A135" s="155" cm="1">
        <f t="array" ref="A135">A134+1</f>
        <v>123</v>
      </c>
      <c r="B135" s="151"/>
      <c r="C135" s="170"/>
      <c r="D135" t="str" s="157" cm="1">
        <f t="array" ref="D135">IF(F135="","",F135-E135)</f>
      </c>
      <c r="E135" s="158"/>
      <c r="F135" t="str" s="159" cm="1">
        <f t="array" ref="F135">IF(I135="","",I135-H135)</f>
      </c>
      <c r="G135" s="160"/>
      <c r="H135" s="158"/>
      <c r="I135" t="str" s="159" cm="1">
        <f t="array" ref="I135">IF(P135="","",P135-K135)</f>
      </c>
      <c r="J135" s="160"/>
      <c r="K135" s="158"/>
      <c r="L135" s="161"/>
      <c r="M135" s="161"/>
      <c r="N135" s="161"/>
      <c r="O135" s="161"/>
      <c r="P135" t="str" s="159" cm="1">
        <f t="array" ref="P135">IF(AD135="","",AD135-R135-Q135)</f>
      </c>
      <c r="Q135" s="162"/>
      <c r="R135" s="162"/>
      <c r="S135" s="161"/>
      <c r="T135" s="161"/>
      <c r="U135" s="161"/>
      <c r="V135" s="161"/>
      <c r="W135" s="161"/>
      <c r="X135" s="161"/>
      <c r="Y135" s="161"/>
      <c r="Z135" s="161"/>
      <c r="AA135" s="161"/>
      <c r="AB135" s="160"/>
      <c r="AC135" s="163"/>
      <c r="AD135" t="str" s="159" cm="1">
        <f t="array" ref="AD135">IF(AG135="","",AG135-AF135)</f>
      </c>
      <c r="AE135" s="160"/>
      <c r="AF135" s="158"/>
      <c r="AG135" s="160"/>
      <c r="AH135" s="164"/>
      <c r="AI135" s="163"/>
      <c r="AJ135" s="161"/>
      <c r="AK135" s="161"/>
      <c r="AL135" s="160"/>
      <c r="AM135" s="165"/>
      <c r="AN135" s="166"/>
      <c r="AO135" s="10"/>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row>
    <row r="136" ht="25.15" customHeight="1">
      <c r="A136" s="155" cm="1">
        <f t="array" ref="A136">A135+1</f>
        <v>124</v>
      </c>
      <c r="B136" s="151"/>
      <c r="C136" s="170"/>
      <c r="D136" t="str" s="157" cm="1">
        <f t="array" ref="D136">IF(F136="","",F136-E136)</f>
      </c>
      <c r="E136" s="158"/>
      <c r="F136" t="str" s="159" cm="1">
        <f t="array" ref="F136">IF(I136="","",I136-H136)</f>
      </c>
      <c r="G136" s="160"/>
      <c r="H136" s="158"/>
      <c r="I136" t="str" s="159" cm="1">
        <f t="array" ref="I136">IF(P136="","",P136-K136)</f>
      </c>
      <c r="J136" s="160"/>
      <c r="K136" s="158"/>
      <c r="L136" s="161"/>
      <c r="M136" s="161"/>
      <c r="N136" s="161"/>
      <c r="O136" s="161"/>
      <c r="P136" t="str" s="159" cm="1">
        <f t="array" ref="P136">IF(AD136="","",AD136-R136-Q136)</f>
      </c>
      <c r="Q136" s="162"/>
      <c r="R136" s="162"/>
      <c r="S136" s="161"/>
      <c r="T136" s="161"/>
      <c r="U136" s="161"/>
      <c r="V136" s="161"/>
      <c r="W136" s="161"/>
      <c r="X136" s="161"/>
      <c r="Y136" s="161"/>
      <c r="Z136" s="161"/>
      <c r="AA136" s="161"/>
      <c r="AB136" s="160"/>
      <c r="AC136" s="163"/>
      <c r="AD136" t="str" s="159" cm="1">
        <f t="array" ref="AD136">IF(AG136="","",AG136-AF136)</f>
      </c>
      <c r="AE136" s="160"/>
      <c r="AF136" s="158"/>
      <c r="AG136" s="160"/>
      <c r="AH136" s="164"/>
      <c r="AI136" s="163"/>
      <c r="AJ136" s="161"/>
      <c r="AK136" s="161"/>
      <c r="AL136" s="160"/>
      <c r="AM136" s="165"/>
      <c r="AN136" s="166"/>
      <c r="AO136" s="10"/>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row>
    <row r="137" ht="25.15" customHeight="1">
      <c r="A137" s="155" cm="1">
        <f t="array" ref="A137">A136+1</f>
        <v>125</v>
      </c>
      <c r="B137" s="151"/>
      <c r="C137" s="170"/>
      <c r="D137" t="str" s="157" cm="1">
        <f t="array" ref="D137">IF(F137="","",F137-E137)</f>
      </c>
      <c r="E137" s="158"/>
      <c r="F137" t="str" s="159" cm="1">
        <f t="array" ref="F137">IF(I137="","",I137-H137)</f>
      </c>
      <c r="G137" s="160"/>
      <c r="H137" s="158"/>
      <c r="I137" t="str" s="159" cm="1">
        <f t="array" ref="I137">IF(P137="","",P137-K137)</f>
      </c>
      <c r="J137" s="160"/>
      <c r="K137" s="158"/>
      <c r="L137" s="161"/>
      <c r="M137" s="161"/>
      <c r="N137" s="161"/>
      <c r="O137" s="161"/>
      <c r="P137" t="str" s="159" cm="1">
        <f t="array" ref="P137">IF(AD137="","",AD137-R137-Q137)</f>
      </c>
      <c r="Q137" s="162"/>
      <c r="R137" s="162"/>
      <c r="S137" s="161"/>
      <c r="T137" s="161"/>
      <c r="U137" s="161"/>
      <c r="V137" s="161"/>
      <c r="W137" s="161"/>
      <c r="X137" s="161"/>
      <c r="Y137" s="161"/>
      <c r="Z137" s="161"/>
      <c r="AA137" s="161"/>
      <c r="AB137" s="160"/>
      <c r="AC137" s="163"/>
      <c r="AD137" t="str" s="159" cm="1">
        <f t="array" ref="AD137">IF(AG137="","",AG137-AF137)</f>
      </c>
      <c r="AE137" s="160"/>
      <c r="AF137" s="158"/>
      <c r="AG137" s="160"/>
      <c r="AH137" s="164"/>
      <c r="AI137" s="163"/>
      <c r="AJ137" s="161"/>
      <c r="AK137" s="161"/>
      <c r="AL137" s="160"/>
      <c r="AM137" s="165"/>
      <c r="AN137" s="166"/>
      <c r="AO137" s="10"/>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row>
    <row r="138" ht="25.15" customHeight="1">
      <c r="A138" s="155" cm="1">
        <f t="array" ref="A138">A137+1</f>
        <v>126</v>
      </c>
      <c r="B138" s="151"/>
      <c r="C138" s="170"/>
      <c r="D138" t="str" s="157" cm="1">
        <f t="array" ref="D138">IF(F138="","",F138-E138)</f>
      </c>
      <c r="E138" s="158"/>
      <c r="F138" t="str" s="159" cm="1">
        <f t="array" ref="F138">IF(I138="","",I138-H138)</f>
      </c>
      <c r="G138" s="160"/>
      <c r="H138" s="158"/>
      <c r="I138" t="str" s="159" cm="1">
        <f t="array" ref="I138">IF(P138="","",P138-K138)</f>
      </c>
      <c r="J138" s="160"/>
      <c r="K138" s="158"/>
      <c r="L138" s="161"/>
      <c r="M138" s="161"/>
      <c r="N138" s="161"/>
      <c r="O138" s="161"/>
      <c r="P138" t="str" s="159" cm="1">
        <f t="array" ref="P138">IF(AD138="","",AD138-R138-Q138)</f>
      </c>
      <c r="Q138" s="162"/>
      <c r="R138" s="162"/>
      <c r="S138" s="161"/>
      <c r="T138" s="161"/>
      <c r="U138" s="161"/>
      <c r="V138" s="161"/>
      <c r="W138" s="161"/>
      <c r="X138" s="161"/>
      <c r="Y138" s="161"/>
      <c r="Z138" s="161"/>
      <c r="AA138" s="161"/>
      <c r="AB138" s="160"/>
      <c r="AC138" s="163"/>
      <c r="AD138" t="str" s="159" cm="1">
        <f t="array" ref="AD138">IF(AG138="","",AG138-AF138)</f>
      </c>
      <c r="AE138" s="160"/>
      <c r="AF138" s="158"/>
      <c r="AG138" s="160"/>
      <c r="AH138" s="164"/>
      <c r="AI138" s="163"/>
      <c r="AJ138" s="161"/>
      <c r="AK138" s="161"/>
      <c r="AL138" s="160"/>
      <c r="AM138" s="165"/>
      <c r="AN138" s="166"/>
      <c r="AO138" s="10"/>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row>
    <row r="139" ht="25.15" customHeight="1">
      <c r="A139" s="155" cm="1">
        <f t="array" ref="A139">A138+1</f>
        <v>127</v>
      </c>
      <c r="B139" s="151"/>
      <c r="C139" s="170"/>
      <c r="D139" t="str" s="157" cm="1">
        <f t="array" ref="D139">IF(F139="","",F139-E139)</f>
      </c>
      <c r="E139" s="158"/>
      <c r="F139" t="str" s="159" cm="1">
        <f t="array" ref="F139">IF(I139="","",I139-H139)</f>
      </c>
      <c r="G139" s="160"/>
      <c r="H139" s="158"/>
      <c r="I139" t="str" s="159" cm="1">
        <f t="array" ref="I139">IF(P139="","",P139-K139)</f>
      </c>
      <c r="J139" s="160"/>
      <c r="K139" s="158"/>
      <c r="L139" s="161"/>
      <c r="M139" s="161"/>
      <c r="N139" s="161"/>
      <c r="O139" s="161"/>
      <c r="P139" t="str" s="159" cm="1">
        <f t="array" ref="P139">IF(AD139="","",AD139-R139-Q139)</f>
      </c>
      <c r="Q139" s="162"/>
      <c r="R139" s="162"/>
      <c r="S139" s="161"/>
      <c r="T139" s="161"/>
      <c r="U139" s="161"/>
      <c r="V139" s="161"/>
      <c r="W139" s="161"/>
      <c r="X139" s="161"/>
      <c r="Y139" s="161"/>
      <c r="Z139" s="161"/>
      <c r="AA139" s="161"/>
      <c r="AB139" s="160"/>
      <c r="AC139" s="163"/>
      <c r="AD139" t="str" s="159" cm="1">
        <f t="array" ref="AD139">IF(AG139="","",AG139-AF139)</f>
      </c>
      <c r="AE139" s="160"/>
      <c r="AF139" s="158"/>
      <c r="AG139" s="160"/>
      <c r="AH139" s="164"/>
      <c r="AI139" s="163"/>
      <c r="AJ139" s="161"/>
      <c r="AK139" s="161"/>
      <c r="AL139" s="160"/>
      <c r="AM139" s="165"/>
      <c r="AN139" s="166"/>
      <c r="AO139" s="10"/>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row>
    <row r="140" ht="25.15" customHeight="1">
      <c r="A140" s="155" cm="1">
        <f t="array" ref="A140">A139+1</f>
        <v>128</v>
      </c>
      <c r="B140" s="151"/>
      <c r="C140" s="170"/>
      <c r="D140" t="str" s="157" cm="1">
        <f t="array" ref="D140">IF(F140="","",F140-E140)</f>
      </c>
      <c r="E140" s="158"/>
      <c r="F140" t="str" s="159" cm="1">
        <f t="array" ref="F140">IF(I140="","",I140-H140)</f>
      </c>
      <c r="G140" s="160"/>
      <c r="H140" s="158"/>
      <c r="I140" t="str" s="159" cm="1">
        <f t="array" ref="I140">IF(P140="","",P140-K140)</f>
      </c>
      <c r="J140" s="160"/>
      <c r="K140" s="158"/>
      <c r="L140" s="161"/>
      <c r="M140" s="161"/>
      <c r="N140" s="161"/>
      <c r="O140" s="161"/>
      <c r="P140" t="str" s="159" cm="1">
        <f t="array" ref="P140">IF(AD140="","",AD140-R140-Q140)</f>
      </c>
      <c r="Q140" s="162"/>
      <c r="R140" s="162"/>
      <c r="S140" s="161"/>
      <c r="T140" s="161"/>
      <c r="U140" s="161"/>
      <c r="V140" s="161"/>
      <c r="W140" s="161"/>
      <c r="X140" s="161"/>
      <c r="Y140" s="161"/>
      <c r="Z140" s="161"/>
      <c r="AA140" s="161"/>
      <c r="AB140" s="160"/>
      <c r="AC140" s="163"/>
      <c r="AD140" t="str" s="159" cm="1">
        <f t="array" ref="AD140">IF(AG140="","",AG140-AF140)</f>
      </c>
      <c r="AE140" s="160"/>
      <c r="AF140" s="158"/>
      <c r="AG140" s="160"/>
      <c r="AH140" s="164"/>
      <c r="AI140" s="163"/>
      <c r="AJ140" s="161"/>
      <c r="AK140" s="161"/>
      <c r="AL140" s="160"/>
      <c r="AM140" s="165"/>
      <c r="AN140" s="166"/>
      <c r="AO140" s="10"/>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row>
    <row r="141" ht="25.15" customHeight="1">
      <c r="A141" s="155" cm="1">
        <f t="array" ref="A141">A140+1</f>
        <v>129</v>
      </c>
      <c r="B141" s="151"/>
      <c r="C141" s="170"/>
      <c r="D141" t="str" s="157" cm="1">
        <f t="array" ref="D141">IF(F141="","",F141-E141)</f>
      </c>
      <c r="E141" s="158"/>
      <c r="F141" t="str" s="159" cm="1">
        <f t="array" ref="F141">IF(I141="","",I141-H141)</f>
      </c>
      <c r="G141" s="160"/>
      <c r="H141" s="158"/>
      <c r="I141" t="str" s="159" cm="1">
        <f t="array" ref="I141">IF(P141="","",P141-K141)</f>
      </c>
      <c r="J141" s="160"/>
      <c r="K141" s="158"/>
      <c r="L141" s="161"/>
      <c r="M141" s="161"/>
      <c r="N141" s="161"/>
      <c r="O141" s="161"/>
      <c r="P141" t="str" s="159" cm="1">
        <f t="array" ref="P141">IF(AD141="","",AD141-R141-Q141)</f>
      </c>
      <c r="Q141" s="162"/>
      <c r="R141" s="162"/>
      <c r="S141" s="161"/>
      <c r="T141" s="161"/>
      <c r="U141" s="161"/>
      <c r="V141" s="161"/>
      <c r="W141" s="161"/>
      <c r="X141" s="161"/>
      <c r="Y141" s="161"/>
      <c r="Z141" s="161"/>
      <c r="AA141" s="161"/>
      <c r="AB141" s="160"/>
      <c r="AC141" s="163"/>
      <c r="AD141" t="str" s="159" cm="1">
        <f t="array" ref="AD141">IF(AG141="","",AG141-AF141)</f>
      </c>
      <c r="AE141" s="160"/>
      <c r="AF141" s="158"/>
      <c r="AG141" s="160"/>
      <c r="AH141" s="164"/>
      <c r="AI141" s="163"/>
      <c r="AJ141" s="161"/>
      <c r="AK141" s="161"/>
      <c r="AL141" s="160"/>
      <c r="AM141" s="165"/>
      <c r="AN141" s="166"/>
      <c r="AO141" s="10"/>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row>
    <row r="142" ht="25.15" customHeight="1">
      <c r="A142" s="155" cm="1">
        <f t="array" ref="A142">A141+1</f>
        <v>130</v>
      </c>
      <c r="B142" s="151"/>
      <c r="C142" s="170"/>
      <c r="D142" t="str" s="157" cm="1">
        <f t="array" ref="D142">IF(F142="","",F142-E142)</f>
      </c>
      <c r="E142" s="158"/>
      <c r="F142" t="str" s="159" cm="1">
        <f t="array" ref="F142">IF(I142="","",I142-H142)</f>
      </c>
      <c r="G142" s="160"/>
      <c r="H142" s="158"/>
      <c r="I142" t="str" s="159" cm="1">
        <f t="array" ref="I142">IF(P142="","",P142-K142)</f>
      </c>
      <c r="J142" s="160"/>
      <c r="K142" s="158"/>
      <c r="L142" s="161"/>
      <c r="M142" s="161"/>
      <c r="N142" s="161"/>
      <c r="O142" s="161"/>
      <c r="P142" t="str" s="159" cm="1">
        <f t="array" ref="P142">IF(AD142="","",AD142-R142-Q142)</f>
      </c>
      <c r="Q142" s="162"/>
      <c r="R142" s="162"/>
      <c r="S142" s="161"/>
      <c r="T142" s="161"/>
      <c r="U142" s="161"/>
      <c r="V142" s="161"/>
      <c r="W142" s="161"/>
      <c r="X142" s="161"/>
      <c r="Y142" s="161"/>
      <c r="Z142" s="161"/>
      <c r="AA142" s="161"/>
      <c r="AB142" s="160"/>
      <c r="AC142" s="163"/>
      <c r="AD142" t="str" s="159" cm="1">
        <f t="array" ref="AD142">IF(AG142="","",AG142-AF142)</f>
      </c>
      <c r="AE142" s="160"/>
      <c r="AF142" s="158"/>
      <c r="AG142" s="160"/>
      <c r="AH142" s="164"/>
      <c r="AI142" s="163"/>
      <c r="AJ142" s="161"/>
      <c r="AK142" s="161"/>
      <c r="AL142" s="160"/>
      <c r="AM142" s="165"/>
      <c r="AN142" s="166"/>
      <c r="AO142" s="10"/>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row>
    <row r="143" ht="25.15" customHeight="1">
      <c r="A143" s="155" cm="1">
        <f t="array" ref="A143">A142+1</f>
        <v>131</v>
      </c>
      <c r="B143" s="151"/>
      <c r="C143" s="170"/>
      <c r="D143" t="str" s="157" cm="1">
        <f t="array" ref="D143">IF(F143="","",F143-E143)</f>
      </c>
      <c r="E143" s="158"/>
      <c r="F143" t="str" s="159" cm="1">
        <f t="array" ref="F143">IF(I143="","",I143-H143)</f>
      </c>
      <c r="G143" s="160"/>
      <c r="H143" s="158"/>
      <c r="I143" t="str" s="159" cm="1">
        <f t="array" ref="I143">IF(P143="","",P143-K143)</f>
      </c>
      <c r="J143" s="160"/>
      <c r="K143" s="158"/>
      <c r="L143" s="161"/>
      <c r="M143" s="161"/>
      <c r="N143" s="161"/>
      <c r="O143" s="161"/>
      <c r="P143" t="str" s="159" cm="1">
        <f t="array" ref="P143">IF(AD143="","",AD143-R143-Q143)</f>
      </c>
      <c r="Q143" s="162"/>
      <c r="R143" s="162"/>
      <c r="S143" s="161"/>
      <c r="T143" s="161"/>
      <c r="U143" s="161"/>
      <c r="V143" s="161"/>
      <c r="W143" s="161"/>
      <c r="X143" s="161"/>
      <c r="Y143" s="161"/>
      <c r="Z143" s="161"/>
      <c r="AA143" s="161"/>
      <c r="AB143" s="160"/>
      <c r="AC143" s="163"/>
      <c r="AD143" t="str" s="159" cm="1">
        <f t="array" ref="AD143">IF(AG143="","",AG143-AF143)</f>
      </c>
      <c r="AE143" s="160"/>
      <c r="AF143" s="158"/>
      <c r="AG143" s="160"/>
      <c r="AH143" s="164"/>
      <c r="AI143" s="163"/>
      <c r="AJ143" s="161"/>
      <c r="AK143" s="161"/>
      <c r="AL143" s="160"/>
      <c r="AM143" s="165"/>
      <c r="AN143" s="166"/>
      <c r="AO143" s="10"/>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row>
    <row r="144" ht="25.15" customHeight="1">
      <c r="A144" s="155" cm="1">
        <f t="array" ref="A144">A143+1</f>
        <v>132</v>
      </c>
      <c r="B144" s="151"/>
      <c r="C144" s="170"/>
      <c r="D144" t="str" s="157" cm="1">
        <f t="array" ref="D144">IF(F144="","",F144-E144)</f>
      </c>
      <c r="E144" s="158"/>
      <c r="F144" t="str" s="159" cm="1">
        <f t="array" ref="F144">IF(I144="","",I144-H144)</f>
      </c>
      <c r="G144" s="160"/>
      <c r="H144" s="158"/>
      <c r="I144" t="str" s="159" cm="1">
        <f t="array" ref="I144">IF(P144="","",P144-K144)</f>
      </c>
      <c r="J144" s="160"/>
      <c r="K144" s="158"/>
      <c r="L144" s="161"/>
      <c r="M144" s="161"/>
      <c r="N144" s="161"/>
      <c r="O144" s="161"/>
      <c r="P144" t="str" s="159" cm="1">
        <f t="array" ref="P144">IF(AD144="","",AD144-R144-Q144)</f>
      </c>
      <c r="Q144" s="162"/>
      <c r="R144" s="162"/>
      <c r="S144" s="161"/>
      <c r="T144" s="161"/>
      <c r="U144" s="161"/>
      <c r="V144" s="161"/>
      <c r="W144" s="161"/>
      <c r="X144" s="161"/>
      <c r="Y144" s="161"/>
      <c r="Z144" s="161"/>
      <c r="AA144" s="161"/>
      <c r="AB144" s="160"/>
      <c r="AC144" s="163"/>
      <c r="AD144" t="str" s="159" cm="1">
        <f t="array" ref="AD144">IF(AG144="","",AG144-AF144)</f>
      </c>
      <c r="AE144" s="160"/>
      <c r="AF144" s="158"/>
      <c r="AG144" s="160"/>
      <c r="AH144" s="164"/>
      <c r="AI144" s="163"/>
      <c r="AJ144" s="161"/>
      <c r="AK144" s="161"/>
      <c r="AL144" s="160"/>
      <c r="AM144" s="165"/>
      <c r="AN144" s="166"/>
      <c r="AO144" s="10"/>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row>
    <row r="145" ht="25.15" customHeight="1">
      <c r="A145" s="155" cm="1">
        <f t="array" ref="A145">A144+1</f>
        <v>133</v>
      </c>
      <c r="B145" s="151"/>
      <c r="C145" s="170"/>
      <c r="D145" t="str" s="157" cm="1">
        <f t="array" ref="D145">IF(F145="","",F145-E145)</f>
      </c>
      <c r="E145" s="158"/>
      <c r="F145" t="str" s="159" cm="1">
        <f t="array" ref="F145">IF(I145="","",I145-H145)</f>
      </c>
      <c r="G145" s="160"/>
      <c r="H145" s="158"/>
      <c r="I145" t="str" s="159" cm="1">
        <f t="array" ref="I145">IF(P145="","",P145-K145)</f>
      </c>
      <c r="J145" s="160"/>
      <c r="K145" s="158"/>
      <c r="L145" s="161"/>
      <c r="M145" s="161"/>
      <c r="N145" s="161"/>
      <c r="O145" s="161"/>
      <c r="P145" t="str" s="159" cm="1">
        <f t="array" ref="P145">IF(AD145="","",AD145-R145-Q145)</f>
      </c>
      <c r="Q145" s="162"/>
      <c r="R145" s="162"/>
      <c r="S145" s="161"/>
      <c r="T145" s="161"/>
      <c r="U145" s="161"/>
      <c r="V145" s="161"/>
      <c r="W145" s="161"/>
      <c r="X145" s="161"/>
      <c r="Y145" s="161"/>
      <c r="Z145" s="161"/>
      <c r="AA145" s="161"/>
      <c r="AB145" s="160"/>
      <c r="AC145" s="163"/>
      <c r="AD145" t="str" s="159" cm="1">
        <f t="array" ref="AD145">IF(AG145="","",AG145-AF145)</f>
      </c>
      <c r="AE145" s="160"/>
      <c r="AF145" s="158"/>
      <c r="AG145" s="160"/>
      <c r="AH145" s="164"/>
      <c r="AI145" s="163"/>
      <c r="AJ145" s="161"/>
      <c r="AK145" s="161"/>
      <c r="AL145" s="160"/>
      <c r="AM145" s="165"/>
      <c r="AN145" s="166"/>
      <c r="AO145" s="10"/>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row>
    <row r="146" ht="25.15" customHeight="1">
      <c r="A146" s="155" cm="1">
        <f t="array" ref="A146">A145+1</f>
        <v>134</v>
      </c>
      <c r="B146" s="151"/>
      <c r="C146" s="170"/>
      <c r="D146" t="str" s="157" cm="1">
        <f t="array" ref="D146">IF(F146="","",F146-E146)</f>
      </c>
      <c r="E146" s="158"/>
      <c r="F146" t="str" s="159" cm="1">
        <f t="array" ref="F146">IF(I146="","",I146-H146)</f>
      </c>
      <c r="G146" s="160"/>
      <c r="H146" s="158"/>
      <c r="I146" t="str" s="159" cm="1">
        <f t="array" ref="I146">IF(P146="","",P146-K146)</f>
      </c>
      <c r="J146" s="160"/>
      <c r="K146" s="158"/>
      <c r="L146" s="161"/>
      <c r="M146" s="161"/>
      <c r="N146" s="161"/>
      <c r="O146" s="161"/>
      <c r="P146" t="str" s="159" cm="1">
        <f t="array" ref="P146">IF(AD146="","",AD146-R146-Q146)</f>
      </c>
      <c r="Q146" s="162"/>
      <c r="R146" s="162"/>
      <c r="S146" s="161"/>
      <c r="T146" s="161"/>
      <c r="U146" s="161"/>
      <c r="V146" s="161"/>
      <c r="W146" s="161"/>
      <c r="X146" s="161"/>
      <c r="Y146" s="161"/>
      <c r="Z146" s="161"/>
      <c r="AA146" s="161"/>
      <c r="AB146" s="160"/>
      <c r="AC146" s="163"/>
      <c r="AD146" t="str" s="159" cm="1">
        <f t="array" ref="AD146">IF(AG146="","",AG146-AF146)</f>
      </c>
      <c r="AE146" s="160"/>
      <c r="AF146" s="158"/>
      <c r="AG146" s="160"/>
      <c r="AH146" s="164"/>
      <c r="AI146" s="163"/>
      <c r="AJ146" s="161"/>
      <c r="AK146" s="161"/>
      <c r="AL146" s="160"/>
      <c r="AM146" s="165"/>
      <c r="AN146" s="166"/>
      <c r="AO146" s="10"/>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row>
    <row r="147" ht="25.15" customHeight="1">
      <c r="A147" s="155" cm="1">
        <f t="array" ref="A147">A146+1</f>
        <v>135</v>
      </c>
      <c r="B147" s="151"/>
      <c r="C147" s="170"/>
      <c r="D147" t="str" s="157" cm="1">
        <f t="array" ref="D147">IF(F147="","",F147-E147)</f>
      </c>
      <c r="E147" s="158"/>
      <c r="F147" t="str" s="159" cm="1">
        <f t="array" ref="F147">IF(I147="","",I147-H147)</f>
      </c>
      <c r="G147" s="160"/>
      <c r="H147" s="158"/>
      <c r="I147" t="str" s="159" cm="1">
        <f t="array" ref="I147">IF(P147="","",P147-K147)</f>
      </c>
      <c r="J147" s="160"/>
      <c r="K147" s="158"/>
      <c r="L147" s="161"/>
      <c r="M147" s="161"/>
      <c r="N147" s="161"/>
      <c r="O147" s="161"/>
      <c r="P147" t="str" s="159" cm="1">
        <f t="array" ref="P147">IF(AD147="","",AD147-R147-Q147)</f>
      </c>
      <c r="Q147" s="162"/>
      <c r="R147" s="162"/>
      <c r="S147" s="161"/>
      <c r="T147" s="161"/>
      <c r="U147" s="161"/>
      <c r="V147" s="161"/>
      <c r="W147" s="161"/>
      <c r="X147" s="161"/>
      <c r="Y147" s="161"/>
      <c r="Z147" s="161"/>
      <c r="AA147" s="161"/>
      <c r="AB147" s="160"/>
      <c r="AC147" s="163"/>
      <c r="AD147" t="str" s="159" cm="1">
        <f t="array" ref="AD147">IF(AG147="","",AG147-AF147)</f>
      </c>
      <c r="AE147" s="160"/>
      <c r="AF147" s="158"/>
      <c r="AG147" s="160"/>
      <c r="AH147" s="164"/>
      <c r="AI147" s="163"/>
      <c r="AJ147" s="161"/>
      <c r="AK147" s="161"/>
      <c r="AL147" s="160"/>
      <c r="AM147" s="165"/>
      <c r="AN147" s="166"/>
      <c r="AO147" s="10"/>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row>
    <row r="148" ht="25.15" customHeight="1">
      <c r="A148" s="155" cm="1">
        <f t="array" ref="A148">A147+1</f>
        <v>136</v>
      </c>
      <c r="B148" s="151"/>
      <c r="C148" s="170"/>
      <c r="D148" t="str" s="157" cm="1">
        <f t="array" ref="D148">IF(F148="","",F148-E148)</f>
      </c>
      <c r="E148" s="158"/>
      <c r="F148" t="str" s="159" cm="1">
        <f t="array" ref="F148">IF(I148="","",I148-H148)</f>
      </c>
      <c r="G148" s="160"/>
      <c r="H148" s="158"/>
      <c r="I148" t="str" s="159" cm="1">
        <f t="array" ref="I148">IF(P148="","",P148-K148)</f>
      </c>
      <c r="J148" s="160"/>
      <c r="K148" s="158"/>
      <c r="L148" s="161"/>
      <c r="M148" s="161"/>
      <c r="N148" s="161"/>
      <c r="O148" s="161"/>
      <c r="P148" t="str" s="159" cm="1">
        <f t="array" ref="P148">IF(AD148="","",AD148-R148-Q148)</f>
      </c>
      <c r="Q148" s="162"/>
      <c r="R148" s="162"/>
      <c r="S148" s="161"/>
      <c r="T148" s="161"/>
      <c r="U148" s="161"/>
      <c r="V148" s="161"/>
      <c r="W148" s="161"/>
      <c r="X148" s="161"/>
      <c r="Y148" s="161"/>
      <c r="Z148" s="161"/>
      <c r="AA148" s="161"/>
      <c r="AB148" s="160"/>
      <c r="AC148" s="163"/>
      <c r="AD148" t="str" s="159" cm="1">
        <f t="array" ref="AD148">IF(AG148="","",AG148-AF148)</f>
      </c>
      <c r="AE148" s="160"/>
      <c r="AF148" s="158"/>
      <c r="AG148" s="160"/>
      <c r="AH148" s="164"/>
      <c r="AI148" s="163"/>
      <c r="AJ148" s="161"/>
      <c r="AK148" s="161"/>
      <c r="AL148" s="160"/>
      <c r="AM148" s="165"/>
      <c r="AN148" s="166"/>
      <c r="AO148" s="10"/>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row>
    <row r="149" ht="25.15" customHeight="1">
      <c r="A149" s="155" cm="1">
        <f t="array" ref="A149">A148+1</f>
        <v>137</v>
      </c>
      <c r="B149" s="151"/>
      <c r="C149" s="170"/>
      <c r="D149" t="str" s="157" cm="1">
        <f t="array" ref="D149">IF(F149="","",F149-E149)</f>
      </c>
      <c r="E149" s="158"/>
      <c r="F149" t="str" s="159" cm="1">
        <f t="array" ref="F149">IF(I149="","",I149-H149)</f>
      </c>
      <c r="G149" s="160"/>
      <c r="H149" s="158"/>
      <c r="I149" t="str" s="159" cm="1">
        <f t="array" ref="I149">IF(P149="","",P149-K149)</f>
      </c>
      <c r="J149" s="160"/>
      <c r="K149" s="158"/>
      <c r="L149" s="161"/>
      <c r="M149" s="161"/>
      <c r="N149" s="161"/>
      <c r="O149" s="161"/>
      <c r="P149" t="str" s="159" cm="1">
        <f t="array" ref="P149">IF(AD149="","",AD149-R149-Q149)</f>
      </c>
      <c r="Q149" s="162"/>
      <c r="R149" s="162"/>
      <c r="S149" s="161"/>
      <c r="T149" s="161"/>
      <c r="U149" s="161"/>
      <c r="V149" s="161"/>
      <c r="W149" s="161"/>
      <c r="X149" s="161"/>
      <c r="Y149" s="161"/>
      <c r="Z149" s="161"/>
      <c r="AA149" s="161"/>
      <c r="AB149" s="160"/>
      <c r="AC149" s="163"/>
      <c r="AD149" t="str" s="159" cm="1">
        <f t="array" ref="AD149">IF(AG149="","",AG149-AF149)</f>
      </c>
      <c r="AE149" s="160"/>
      <c r="AF149" s="158"/>
      <c r="AG149" s="160"/>
      <c r="AH149" s="164"/>
      <c r="AI149" s="163"/>
      <c r="AJ149" s="161"/>
      <c r="AK149" s="161"/>
      <c r="AL149" s="160"/>
      <c r="AM149" s="165"/>
      <c r="AN149" s="166"/>
      <c r="AO149" s="10"/>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row>
    <row r="150" ht="25.15" customHeight="1">
      <c r="A150" s="155" cm="1">
        <f t="array" ref="A150">A149+1</f>
        <v>138</v>
      </c>
      <c r="B150" s="151"/>
      <c r="C150" s="170"/>
      <c r="D150" t="str" s="157" cm="1">
        <f t="array" ref="D150">IF(F150="","",F150-E150)</f>
      </c>
      <c r="E150" s="158"/>
      <c r="F150" t="str" s="159" cm="1">
        <f t="array" ref="F150">IF(I150="","",I150-H150)</f>
      </c>
      <c r="G150" s="160"/>
      <c r="H150" s="158"/>
      <c r="I150" t="str" s="159" cm="1">
        <f t="array" ref="I150">IF(P150="","",P150-K150)</f>
      </c>
      <c r="J150" s="160"/>
      <c r="K150" s="158"/>
      <c r="L150" s="161"/>
      <c r="M150" s="161"/>
      <c r="N150" s="161"/>
      <c r="O150" s="161"/>
      <c r="P150" t="str" s="159" cm="1">
        <f t="array" ref="P150">IF(AD150="","",AD150-R150-Q150)</f>
      </c>
      <c r="Q150" s="162"/>
      <c r="R150" s="162"/>
      <c r="S150" s="161"/>
      <c r="T150" s="161"/>
      <c r="U150" s="161"/>
      <c r="V150" s="161"/>
      <c r="W150" s="161"/>
      <c r="X150" s="161"/>
      <c r="Y150" s="161"/>
      <c r="Z150" s="161"/>
      <c r="AA150" s="161"/>
      <c r="AB150" s="160"/>
      <c r="AC150" s="163"/>
      <c r="AD150" t="str" s="159" cm="1">
        <f t="array" ref="AD150">IF(AG150="","",AG150-AF150)</f>
      </c>
      <c r="AE150" s="160"/>
      <c r="AF150" s="158"/>
      <c r="AG150" s="160"/>
      <c r="AH150" s="164"/>
      <c r="AI150" s="163"/>
      <c r="AJ150" s="161"/>
      <c r="AK150" s="161"/>
      <c r="AL150" s="160"/>
      <c r="AM150" s="165"/>
      <c r="AN150" s="166"/>
      <c r="AO150" s="10"/>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row>
    <row r="151" ht="25.5" customHeight="1">
      <c r="A151" s="155" cm="1">
        <f t="array" ref="A151">A150+1</f>
        <v>139</v>
      </c>
      <c r="B151" s="151"/>
      <c r="C151" s="170"/>
      <c r="D151" t="str" s="157" cm="1">
        <f t="array" ref="D151">IF(F151="","",F151-E151)</f>
      </c>
      <c r="E151" s="158"/>
      <c r="F151" t="str" s="159" cm="1">
        <f t="array" ref="F151">IF(I151="","",I151-H151)</f>
      </c>
      <c r="G151" s="160"/>
      <c r="H151" s="158"/>
      <c r="I151" t="str" s="159" cm="1">
        <f t="array" ref="I151">IF(P151="","",P151-K151)</f>
      </c>
      <c r="J151" s="160"/>
      <c r="K151" s="158"/>
      <c r="L151" s="161"/>
      <c r="M151" s="161"/>
      <c r="N151" s="161"/>
      <c r="O151" s="161"/>
      <c r="P151" t="str" s="159" cm="1">
        <f t="array" ref="P151">IF(AD151="","",AD151-R151-Q151)</f>
      </c>
      <c r="Q151" s="162"/>
      <c r="R151" s="162"/>
      <c r="S151" s="161"/>
      <c r="T151" s="161"/>
      <c r="U151" s="161"/>
      <c r="V151" s="161"/>
      <c r="W151" s="161"/>
      <c r="X151" s="161"/>
      <c r="Y151" s="161"/>
      <c r="Z151" s="161"/>
      <c r="AA151" s="161"/>
      <c r="AB151" s="160"/>
      <c r="AC151" s="163"/>
      <c r="AD151" t="str" s="159" cm="1">
        <f t="array" ref="AD151">IF(AG151="","",AG151-AF151)</f>
      </c>
      <c r="AE151" s="160"/>
      <c r="AF151" s="158"/>
      <c r="AG151" s="160"/>
      <c r="AH151" s="164"/>
      <c r="AI151" s="163"/>
      <c r="AJ151" s="161"/>
      <c r="AK151" s="161"/>
      <c r="AL151" s="160"/>
      <c r="AM151" s="165"/>
      <c r="AN151" s="166"/>
      <c r="AO151" s="10"/>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row>
    <row r="152" ht="25.5" customHeight="1">
      <c r="A152" s="155" cm="1">
        <f t="array" ref="A152">A151+1</f>
        <v>140</v>
      </c>
      <c r="B152" s="151"/>
      <c r="C152" s="170"/>
      <c r="D152" t="str" s="157" cm="1">
        <f t="array" ref="D152">IF(F152="","",F152-E152)</f>
      </c>
      <c r="E152" s="158"/>
      <c r="F152" t="str" s="159" cm="1">
        <f t="array" ref="F152">IF(I152="","",I152-H152)</f>
      </c>
      <c r="G152" s="160"/>
      <c r="H152" s="158"/>
      <c r="I152" t="str" s="159" cm="1">
        <f t="array" ref="I152">IF(P152="","",P152-K152)</f>
      </c>
      <c r="J152" s="160"/>
      <c r="K152" s="158"/>
      <c r="L152" s="161"/>
      <c r="M152" s="161"/>
      <c r="N152" s="161"/>
      <c r="O152" s="161"/>
      <c r="P152" t="str" s="159" cm="1">
        <f t="array" ref="P152">IF(AD152="","",AD152-R152-Q152)</f>
      </c>
      <c r="Q152" s="162"/>
      <c r="R152" s="162"/>
      <c r="S152" s="161"/>
      <c r="T152" s="161"/>
      <c r="U152" s="161"/>
      <c r="V152" s="161"/>
      <c r="W152" s="161"/>
      <c r="X152" s="161"/>
      <c r="Y152" s="161"/>
      <c r="Z152" s="161"/>
      <c r="AA152" s="161"/>
      <c r="AB152" s="160"/>
      <c r="AC152" s="163"/>
      <c r="AD152" t="str" s="159" cm="1">
        <f t="array" ref="AD152">IF(AG152="","",AG152-AF152)</f>
      </c>
      <c r="AE152" s="160"/>
      <c r="AF152" s="158"/>
      <c r="AG152" s="160"/>
      <c r="AH152" s="164"/>
      <c r="AI152" s="163"/>
      <c r="AJ152" s="161"/>
      <c r="AK152" s="161"/>
      <c r="AL152" s="160"/>
      <c r="AM152" s="165"/>
      <c r="AN152" s="166"/>
      <c r="AO152" s="10"/>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row>
    <row r="153" ht="25.5" customHeight="1">
      <c r="A153" s="155" cm="1">
        <f t="array" ref="A153">A152+1</f>
        <v>141</v>
      </c>
      <c r="B153" s="151"/>
      <c r="C153" s="170"/>
      <c r="D153" t="str" s="157" cm="1">
        <f t="array" ref="D153">IF(F153="","",F153-E153)</f>
      </c>
      <c r="E153" s="158"/>
      <c r="F153" t="str" s="159" cm="1">
        <f t="array" ref="F153">IF(I153="","",I153-H153)</f>
      </c>
      <c r="G153" s="160"/>
      <c r="H153" s="158"/>
      <c r="I153" t="str" s="159" cm="1">
        <f t="array" ref="I153">IF(P153="","",P153-K153)</f>
      </c>
      <c r="J153" s="160"/>
      <c r="K153" s="158"/>
      <c r="L153" s="161"/>
      <c r="M153" s="161"/>
      <c r="N153" s="161"/>
      <c r="O153" s="161"/>
      <c r="P153" t="str" s="159" cm="1">
        <f t="array" ref="P153">IF(AD153="","",AD153-R153-Q153)</f>
      </c>
      <c r="Q153" s="162"/>
      <c r="R153" s="162"/>
      <c r="S153" s="161"/>
      <c r="T153" s="161"/>
      <c r="U153" s="161"/>
      <c r="V153" s="161"/>
      <c r="W153" s="161"/>
      <c r="X153" s="161"/>
      <c r="Y153" s="161"/>
      <c r="Z153" s="161"/>
      <c r="AA153" s="161"/>
      <c r="AB153" s="160"/>
      <c r="AC153" s="163"/>
      <c r="AD153" t="str" s="159" cm="1">
        <f t="array" ref="AD153">IF(AG153="","",AG153-AF153)</f>
      </c>
      <c r="AE153" s="160"/>
      <c r="AF153" s="158"/>
      <c r="AG153" s="160"/>
      <c r="AH153" s="164"/>
      <c r="AI153" s="163"/>
      <c r="AJ153" s="161"/>
      <c r="AK153" s="161"/>
      <c r="AL153" s="160"/>
      <c r="AM153" s="165"/>
      <c r="AN153" s="166"/>
      <c r="AO153" s="10"/>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row>
    <row r="154" ht="25.5" customHeight="1">
      <c r="A154" s="155" cm="1">
        <f t="array" ref="A154">A153+1</f>
        <v>142</v>
      </c>
      <c r="B154" s="151"/>
      <c r="C154" s="170"/>
      <c r="D154" t="str" s="157" cm="1">
        <f t="array" ref="D154">IF(F154="","",F154-E154)</f>
      </c>
      <c r="E154" s="158"/>
      <c r="F154" t="str" s="159" cm="1">
        <f t="array" ref="F154">IF(I154="","",I154-H154)</f>
      </c>
      <c r="G154" s="160"/>
      <c r="H154" s="158"/>
      <c r="I154" t="str" s="159" cm="1">
        <f t="array" ref="I154">IF(P154="","",P154-K154)</f>
      </c>
      <c r="J154" s="160"/>
      <c r="K154" s="158"/>
      <c r="L154" s="161"/>
      <c r="M154" s="161"/>
      <c r="N154" s="161"/>
      <c r="O154" s="161"/>
      <c r="P154" t="str" s="159" cm="1">
        <f t="array" ref="P154">IF(AD154="","",AD154-R154-Q154)</f>
      </c>
      <c r="Q154" s="162"/>
      <c r="R154" s="162"/>
      <c r="S154" s="161"/>
      <c r="T154" s="161"/>
      <c r="U154" s="161"/>
      <c r="V154" s="161"/>
      <c r="W154" s="161"/>
      <c r="X154" s="161"/>
      <c r="Y154" s="161"/>
      <c r="Z154" s="161"/>
      <c r="AA154" s="161"/>
      <c r="AB154" s="160"/>
      <c r="AC154" s="163"/>
      <c r="AD154" t="str" s="159" cm="1">
        <f t="array" ref="AD154">IF(AG154="","",AG154-AF154)</f>
      </c>
      <c r="AE154" s="160"/>
      <c r="AF154" s="158"/>
      <c r="AG154" s="160"/>
      <c r="AH154" s="164"/>
      <c r="AI154" s="163"/>
      <c r="AJ154" s="161"/>
      <c r="AK154" s="161"/>
      <c r="AL154" s="160"/>
      <c r="AM154" s="165"/>
      <c r="AN154" s="166"/>
      <c r="AO154" s="10"/>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row>
    <row r="155" ht="25.5" customHeight="1">
      <c r="A155" s="155" cm="1">
        <f t="array" ref="A155">A154+1</f>
        <v>143</v>
      </c>
      <c r="B155" s="151"/>
      <c r="C155" s="170"/>
      <c r="D155" t="str" s="157" cm="1">
        <f t="array" ref="D155">IF(F155="","",F155-E155)</f>
      </c>
      <c r="E155" s="158"/>
      <c r="F155" t="str" s="159" cm="1">
        <f t="array" ref="F155">IF(I155="","",I155-H155)</f>
      </c>
      <c r="G155" s="160"/>
      <c r="H155" s="158"/>
      <c r="I155" t="str" s="159" cm="1">
        <f t="array" ref="I155">IF(P155="","",P155-K155)</f>
      </c>
      <c r="J155" s="160"/>
      <c r="K155" s="158"/>
      <c r="L155" s="161"/>
      <c r="M155" s="161"/>
      <c r="N155" s="161"/>
      <c r="O155" s="161"/>
      <c r="P155" t="str" s="159" cm="1">
        <f t="array" ref="P155">IF(AD155="","",AD155-R155-Q155)</f>
      </c>
      <c r="Q155" s="162"/>
      <c r="R155" s="162"/>
      <c r="S155" s="161"/>
      <c r="T155" s="161"/>
      <c r="U155" s="161"/>
      <c r="V155" s="161"/>
      <c r="W155" s="161"/>
      <c r="X155" s="161"/>
      <c r="Y155" s="161"/>
      <c r="Z155" s="161"/>
      <c r="AA155" s="161"/>
      <c r="AB155" s="160"/>
      <c r="AC155" s="163"/>
      <c r="AD155" t="str" s="159" cm="1">
        <f t="array" ref="AD155">IF(AG155="","",AG155-AF155)</f>
      </c>
      <c r="AE155" s="160"/>
      <c r="AF155" s="158"/>
      <c r="AG155" s="160"/>
      <c r="AH155" s="164"/>
      <c r="AI155" s="163"/>
      <c r="AJ155" s="161"/>
      <c r="AK155" s="161"/>
      <c r="AL155" s="160"/>
      <c r="AM155" s="165"/>
      <c r="AN155" s="166"/>
      <c r="AO155" s="10"/>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row>
    <row r="156" ht="25.5" customHeight="1">
      <c r="A156" s="155" cm="1">
        <f t="array" ref="A156">A155+1</f>
        <v>144</v>
      </c>
      <c r="B156" s="151"/>
      <c r="C156" s="170"/>
      <c r="D156" t="str" s="157" cm="1">
        <f t="array" ref="D156">IF(F156="","",F156-E156)</f>
      </c>
      <c r="E156" s="158"/>
      <c r="F156" t="str" s="159" cm="1">
        <f t="array" ref="F156">IF(I156="","",I156-H156)</f>
      </c>
      <c r="G156" s="160"/>
      <c r="H156" s="158"/>
      <c r="I156" t="str" s="159" cm="1">
        <f t="array" ref="I156">IF(P156="","",P156-K156)</f>
      </c>
      <c r="J156" s="160"/>
      <c r="K156" s="158"/>
      <c r="L156" s="161"/>
      <c r="M156" s="161"/>
      <c r="N156" s="161"/>
      <c r="O156" s="161"/>
      <c r="P156" t="str" s="159" cm="1">
        <f t="array" ref="P156">IF(AD156="","",AD156-R156-Q156)</f>
      </c>
      <c r="Q156" s="162"/>
      <c r="R156" s="162"/>
      <c r="S156" s="161"/>
      <c r="T156" s="161"/>
      <c r="U156" s="161"/>
      <c r="V156" s="161"/>
      <c r="W156" s="161"/>
      <c r="X156" s="161"/>
      <c r="Y156" s="161"/>
      <c r="Z156" s="161"/>
      <c r="AA156" s="161"/>
      <c r="AB156" s="160"/>
      <c r="AC156" s="163"/>
      <c r="AD156" t="str" s="159" cm="1">
        <f t="array" ref="AD156">IF(AG156="","",AG156-AF156)</f>
      </c>
      <c r="AE156" s="160"/>
      <c r="AF156" s="158"/>
      <c r="AG156" s="160"/>
      <c r="AH156" s="164"/>
      <c r="AI156" s="163"/>
      <c r="AJ156" s="161"/>
      <c r="AK156" s="161"/>
      <c r="AL156" s="160"/>
      <c r="AM156" s="165"/>
      <c r="AN156" s="166"/>
      <c r="AO156" s="10"/>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row>
    <row r="157" ht="25.5" customHeight="1">
      <c r="A157" s="155" cm="1">
        <f t="array" ref="A157">A156+1</f>
        <v>145</v>
      </c>
      <c r="B157" s="151"/>
      <c r="C157" s="170"/>
      <c r="D157" t="str" s="157" cm="1">
        <f t="array" ref="D157">IF(F157="","",F157-E157)</f>
      </c>
      <c r="E157" s="158"/>
      <c r="F157" t="str" s="159" cm="1">
        <f t="array" ref="F157">IF(I157="","",I157-H157)</f>
      </c>
      <c r="G157" s="160"/>
      <c r="H157" s="158"/>
      <c r="I157" t="str" s="159" cm="1">
        <f t="array" ref="I157">IF(P157="","",P157-K157)</f>
      </c>
      <c r="J157" s="160"/>
      <c r="K157" s="158"/>
      <c r="L157" s="161"/>
      <c r="M157" s="161"/>
      <c r="N157" s="161"/>
      <c r="O157" s="161"/>
      <c r="P157" t="str" s="159" cm="1">
        <f t="array" ref="P157">IF(AD157="","",AD157-R157-Q157)</f>
      </c>
      <c r="Q157" s="162"/>
      <c r="R157" s="162"/>
      <c r="S157" s="161"/>
      <c r="T157" s="161"/>
      <c r="U157" s="161"/>
      <c r="V157" s="161"/>
      <c r="W157" s="161"/>
      <c r="X157" s="161"/>
      <c r="Y157" s="161"/>
      <c r="Z157" s="161"/>
      <c r="AA157" s="161"/>
      <c r="AB157" s="160"/>
      <c r="AC157" s="163"/>
      <c r="AD157" t="str" s="159" cm="1">
        <f t="array" ref="AD157">IF(AG157="","",AG157-AF157)</f>
      </c>
      <c r="AE157" s="160"/>
      <c r="AF157" s="158"/>
      <c r="AG157" s="160"/>
      <c r="AH157" s="164"/>
      <c r="AI157" s="163"/>
      <c r="AJ157" s="161"/>
      <c r="AK157" s="161"/>
      <c r="AL157" s="160"/>
      <c r="AM157" s="165"/>
      <c r="AN157" s="166"/>
      <c r="AO157" s="10"/>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row>
    <row r="158" ht="25.5" customHeight="1">
      <c r="A158" s="155" cm="1">
        <f t="array" ref="A158">A157+1</f>
        <v>146</v>
      </c>
      <c r="B158" s="151"/>
      <c r="C158" s="170"/>
      <c r="D158" t="str" s="157" cm="1">
        <f t="array" ref="D158">IF(F158="","",F158-E158)</f>
      </c>
      <c r="E158" s="158"/>
      <c r="F158" t="str" s="159" cm="1">
        <f t="array" ref="F158">IF(I158="","",I158-H158)</f>
      </c>
      <c r="G158" s="160"/>
      <c r="H158" s="158"/>
      <c r="I158" t="str" s="159" cm="1">
        <f t="array" ref="I158">IF(P158="","",P158-K158)</f>
      </c>
      <c r="J158" s="160"/>
      <c r="K158" s="158"/>
      <c r="L158" s="161"/>
      <c r="M158" s="161"/>
      <c r="N158" s="161"/>
      <c r="O158" s="161"/>
      <c r="P158" t="str" s="159" cm="1">
        <f t="array" ref="P158">IF(AD158="","",AD158-R158-Q158)</f>
      </c>
      <c r="Q158" s="162"/>
      <c r="R158" s="162"/>
      <c r="S158" s="161"/>
      <c r="T158" s="161"/>
      <c r="U158" s="161"/>
      <c r="V158" s="161"/>
      <c r="W158" s="161"/>
      <c r="X158" s="161"/>
      <c r="Y158" s="161"/>
      <c r="Z158" s="161"/>
      <c r="AA158" s="161"/>
      <c r="AB158" s="160"/>
      <c r="AC158" s="163"/>
      <c r="AD158" t="str" s="159" cm="1">
        <f t="array" ref="AD158">IF(AG158="","",AG158-AF158)</f>
      </c>
      <c r="AE158" s="160"/>
      <c r="AF158" s="158"/>
      <c r="AG158" s="160"/>
      <c r="AH158" s="164"/>
      <c r="AI158" s="163"/>
      <c r="AJ158" s="161"/>
      <c r="AK158" s="161"/>
      <c r="AL158" s="160"/>
      <c r="AM158" s="165"/>
      <c r="AN158" s="166"/>
      <c r="AO158" s="10"/>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row>
    <row r="159" ht="25.5" customHeight="1">
      <c r="A159" s="155" cm="1">
        <f t="array" ref="A159">A158+1</f>
        <v>147</v>
      </c>
      <c r="B159" s="151"/>
      <c r="C159" s="170"/>
      <c r="D159" t="str" s="157" cm="1">
        <f t="array" ref="D159">IF(F159="","",F159-E159)</f>
      </c>
      <c r="E159" s="158"/>
      <c r="F159" t="str" s="159" cm="1">
        <f t="array" ref="F159">IF(I159="","",I159-H159)</f>
      </c>
      <c r="G159" s="160"/>
      <c r="H159" s="158"/>
      <c r="I159" t="str" s="159" cm="1">
        <f t="array" ref="I159">IF(P159="","",P159-K159)</f>
      </c>
      <c r="J159" s="160"/>
      <c r="K159" s="158"/>
      <c r="L159" s="161"/>
      <c r="M159" s="161"/>
      <c r="N159" s="161"/>
      <c r="O159" s="161"/>
      <c r="P159" t="str" s="159" cm="1">
        <f t="array" ref="P159">IF(AD159="","",AD159-R159-Q159)</f>
      </c>
      <c r="Q159" s="162"/>
      <c r="R159" s="162"/>
      <c r="S159" s="161"/>
      <c r="T159" s="161"/>
      <c r="U159" s="161"/>
      <c r="V159" s="161"/>
      <c r="W159" s="161"/>
      <c r="X159" s="161"/>
      <c r="Y159" s="161"/>
      <c r="Z159" s="161"/>
      <c r="AA159" s="161"/>
      <c r="AB159" s="160"/>
      <c r="AC159" s="163"/>
      <c r="AD159" t="str" s="159" cm="1">
        <f t="array" ref="AD159">IF(AG159="","",AG159-AF159)</f>
      </c>
      <c r="AE159" s="160"/>
      <c r="AF159" s="158"/>
      <c r="AG159" s="160"/>
      <c r="AH159" s="164"/>
      <c r="AI159" s="163"/>
      <c r="AJ159" s="161"/>
      <c r="AK159" s="161"/>
      <c r="AL159" s="160"/>
      <c r="AM159" s="165"/>
      <c r="AN159" s="166"/>
      <c r="AO159" s="10"/>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row>
  </sheetData>
  <mergeCells count="71">
    <mergeCell ref="A1:AH1"/>
    <mergeCell ref="C2:AH2"/>
    <mergeCell ref="L5:L9"/>
    <mergeCell ref="M5:M9"/>
    <mergeCell ref="L4:M4"/>
    <mergeCell ref="N4:O4"/>
    <mergeCell ref="S4:T4"/>
    <mergeCell ref="AC4:AC9"/>
    <mergeCell ref="AE4:AE9"/>
    <mergeCell ref="A2:B2"/>
    <mergeCell ref="B4:B9"/>
    <mergeCell ref="A4:A9"/>
    <mergeCell ref="A3:B3"/>
    <mergeCell ref="K4:K9"/>
    <mergeCell ref="AC3:AE3"/>
    <mergeCell ref="AF3:AF9"/>
    <mergeCell ref="AL1:AN1"/>
    <mergeCell ref="AI4:AJ4"/>
    <mergeCell ref="AL2:AN2"/>
    <mergeCell ref="AI3:AL3"/>
    <mergeCell ref="AI1:AK1"/>
    <mergeCell ref="AI2:AK2"/>
    <mergeCell ref="AM3:AM9"/>
    <mergeCell ref="AK5:AK9"/>
    <mergeCell ref="AL5:AL9"/>
    <mergeCell ref="AK4:AL4"/>
    <mergeCell ref="AN3:AN9"/>
    <mergeCell ref="AG3:AG6"/>
    <mergeCell ref="P4:P9"/>
    <mergeCell ref="AH3:AH6"/>
    <mergeCell ref="AI5:AI9"/>
    <mergeCell ref="AJ5:AJ9"/>
    <mergeCell ref="K3:T3"/>
    <mergeCell ref="Q4:Q9"/>
    <mergeCell ref="R4:R9"/>
    <mergeCell ref="N5:N9"/>
    <mergeCell ref="O5:O9"/>
    <mergeCell ref="S5:S9"/>
    <mergeCell ref="T5:T9"/>
    <mergeCell ref="AD4:AD9"/>
    <mergeCell ref="U4:V4"/>
    <mergeCell ref="U5:U9"/>
    <mergeCell ref="V5:V9"/>
    <mergeCell ref="H3:J3"/>
    <mergeCell ref="D4:D9"/>
    <mergeCell ref="E4:E9"/>
    <mergeCell ref="F4:F9"/>
    <mergeCell ref="J4:J9"/>
    <mergeCell ref="I4:I9"/>
    <mergeCell ref="H4:H9"/>
    <mergeCell ref="G4:G9"/>
    <mergeCell ref="D3:G3"/>
    <mergeCell ref="AQ3:AQ9"/>
    <mergeCell ref="AR3:AR9"/>
    <mergeCell ref="AS3:AS9"/>
    <mergeCell ref="AT3:AU4"/>
    <mergeCell ref="AV3:AW4"/>
    <mergeCell ref="AV5:AV9"/>
    <mergeCell ref="AW5:AW9"/>
    <mergeCell ref="AU5:AU9"/>
    <mergeCell ref="AT5:AT9"/>
    <mergeCell ref="W4:X4"/>
    <mergeCell ref="Y4:Z4"/>
    <mergeCell ref="AA4:AB4"/>
    <mergeCell ref="W5:W9"/>
    <mergeCell ref="X5:X9"/>
    <mergeCell ref="Y5:Y9"/>
    <mergeCell ref="Z5:Z9"/>
    <mergeCell ref="AA5:AA9"/>
    <mergeCell ref="AB5:AB9"/>
    <mergeCell ref="AP2:BD2"/>
  </mergeCells>
  <conditionalFormatting sqref="E11 H11 K11 Q11:R11 AF11 E12 H12 K12 Q12:R12 AF12 E13 H13 K13 Q13:R13 AF13 E14 H14 K14 Q14:R14 AF14 E15 H15 K15 Q15:R15 AF15 E16 H16 K16 Q16:R16 AF16 E17 H17 K17 Q17:R17 AF17 E18 H18 K18 Q18:R18 AF18 E19 H19 K19 Q19:R19 AF19 E20 H20 K20 Q20:R20 AF20 E21 H21 K21 Q21:R21 AF21 E22 H22 K22 Q22:R22 AF22 E23 H23 K23 Q23:R23 AF23 E24 H24 K24 Q24:R24 AF24 E25 H25 K25 Q25:R25 AF25 E26 H26 K26 Q26:R26 AF26 E27 H27 K27 Q27:R27 AF27 E28 H28 K28 Q28:R28 AF28 E29 H29 K29 Q29:R29 AF29 E30 H30 K30 Q30:R30 AF30 E31 H31 K31 Q31:R31 AF31 E32 H32 K32 Q32:R32 AF32 E33 H33 K33 Q33:R33 AF33 E34 H34 K34 Q34:R34 AF34 E35 H35 K35 Q35:R35 AF35 E36 H36 K36 Q36:R36 AF36 E37 H37 K37 Q37:R37 AF37 E38 H38 K38 Q38:R38 AF38 E39 H39 K39 Q39:R39 AF39 E40 H40 K40 Q40:R40 AF40 E41 H41 K41 Q41:R41 AF41 E42 H42 K42 Q42:R42 AF42 E43 H43 K43 Q43:R43 AF43 E44 H44 K44 Q44:R44 AF44 E45 H45 K45 Q45:R45 AF45 E46 H46 K46 Q46:R46 AF46 E47 H47 K47 Q47:R47 AF47 E48 H48 K48 Q48:R48 AF48 E49 H49 K49 Q49:R49 AF49 E50 H50 K50 Q50:R50 AF50 E51 H51 K51 Q51:R51 AF51 E52 H52 K52 Q52:R52 AF52 E53 H53 K53 Q53:R53 AF53 E54 H54 K54 Q54:R54 AF54 E55 H55 K55 Q55:R55 AF55 E56 H56 K56 Q56:R56 AF56 E57 H57 K57 Q57:R57 AF57 E58 H58 K58 Q58:R58 AF58 E59 H59 K59 Q59:R59 AF59 E60 H60 K60 Q60:R60 AF60 E61 H61 K61 Q61:R61 AF61 E62 H62 K62 Q62:R62 AF62 E63 H63 K63 Q63:R63 AF63 E64 H64 K64 Q64:R64 AF64 E65 H65 K65 Q65:R65 AF65 E66 H66 K66 Q66:R66 AF66 E67 H67 K67 Q67:R67 AF67 E68 H68 K68 Q68:R68 AF68 E69 H69 K69 Q69:R69 AF69 E70 H70 K70 Q70:R70 AF70 E71 H71 K71 Q71:R71 AF71 E72 H72 K72 Q72:R72 AF72 E73 H73 K73 Q73:R73 AF73 E74 H74 K74 Q74:R74 AF74 E75 H75 K75 Q75:R75 AF75 E76 H76 K76 Q76:R76 AF76 E77 H77 K77 Q77:R77 AF77 E78 H78 K78 Q78:R78 AF78 E79 H79 K79 Q79:R79 AF79 E80 H80 K80 Q80:R80 AF80 E81 H81 K81 Q81:R81 AF81 E82 H82 K82 Q82:R82 AF82 E83 H83 K83 Q83:R83 AF83 E84 H84 K84 Q84:R84 AF84 E85 H85 K85 Q85:R85 AF85 E86 H86 K86 Q86:R86 AF86 E87 H87 K87 Q87:R87 AF87 E88 H88 K88 Q88:R88 AF88 E89 H89 K89 Q89:R89 AF89 E90 H90 K90 Q90:R90 AF90 E91 H91 K91 Q91:R91 AF91 E92 H92 K92 Q92:R92 AF92 E93 H93 K93 Q93:R93 AF93 E94 H94 K94 Q94:R94 AF94 E95 H95 K95 Q95:R95 AF95 E96 H96 K96 Q96:R96 AF96 E97 H97 K97 Q97:R97 AF97 E98 H98 K98 Q98:R98 AF98 E99 H99 K99 Q99:R99 AF99 E100 H100 K100 Q100:R100 AF100 E101 H101 K101 Q101:R101 AF101 E102 H102 K102 Q102:R102 AF102 E103 H103 K103 Q103:R103 AF103 E104 H104 K104 Q104:R104 AF104 E105 H105 K105 Q105:R105 AF105 E106 H106 K106 Q106:R106 AF106 E107 H107 K107 Q107:R107 AF107 E108 H108 K108 Q108:R108 AF108 E109 H109 K109 Q109:R109 AF109 E110 H110 K110 Q110:R110 AF110 E111 H111 K111 Q111:R111 AF111 E112 H112 K112 Q112:R112 AF112 E113 H113 K113 Q113:R113 AF113 E114 H114 K114 Q114:R114 AF114 E115 H115 K115 Q115:R115 AF115 E116 H116 K116 Q116:R116 AF116 E117 H117 K117 Q117:R117 AF117 E118 H118 K118 Q118:R118 AF118 E119 H119 K119 Q119:R119 AF119 E120 H120 K120 Q120:R120 AF120 E121 H121 K121 Q121:R121 AF121 E122 H122 K122 Q122:R122 AF122 E123 H123 K123 Q123:R123 AF123 E124 H124 K124 Q124:R124 AF124 E125 H125 K125 Q125:R125 AF125 E126 H126 K126 Q126:R126 AF126 E127 H127 K127 Q127:R127 AF127 E128 H128 K128 Q128:R128 AF128 E129 H129 K129 Q129:R129 AF129 E130 H130 K130 Q130:R130 AF130 E131 H131 K131 Q131:R131 AF131 E132 H132 K132 Q132:R132 AF132 E133 H133 K133 Q133:R133 AF133 E134 H134 K134 Q134:R134 AF134 E135 H135 K135 Q135:R135 AF135 E136 H136 K136 Q136:R136 AF136 E137 H137 K137 Q137:R137 AF137 E138 H138 K138 Q138:R138 AF138 E139 H139 K139 Q139:R139 AF139 E140 H140 K140 Q140:R140 AF140 E141 H141 K141 Q141:R141 AF141 E142 H142 K142 Q142:R142 AF142 E143 H143 K143 Q143:R143 AF143 E144 H144 K144 Q144:R144 AF144 E145 H145 K145 Q145:R145 AF145 E146 H146 K146 Q146:R146 AF146 E147 H147 K147 Q147:R147 AF147 E148 H148 K148 Q148:R148 AF148 E149 H149 K149 Q149:R149 AF149 E150 H150 K150 Q150:R150 AF150 E151 H151 K151 Q151:R151 AF151 E152 H152 K152 Q152:R152 AF152 E153 H153 K153 Q153:R153 AF153 E154 H154 K154 Q154:R154 AF154 E155 H155 K155 Q155:R155 AF155 E156 H156 K156 Q156:R156 AF156 E157 H157 K157 Q157:R157 AF157 E158 H158 K158 Q158:R158 AF158 E159 H159 K159 Q159:R159 AF159">
    <cfRule type="cellIs" dxfId="0" priority="1" operator="lessThan" stopIfTrue="1">
      <formula>0</formula>
    </cfRule>
    <cfRule type="notContainsBlanks" dxfId="1" priority="2" stopIfTrue="1">
      <formula>NOT(ISBLANK(E11))</formula>
    </cfRule>
  </conditionalFormatting>
  <conditionalFormatting sqref="M11:O11 AI11:AL11 J12 L12:O12 AE12 AI12:AL12 J13 L13:O13 AE13 AI13:AL13 J14 L14:O14 AE14 AI14:AL14 J15 L15:O15 AE15 AI15:AL15 J16 L16:O16 AE16 AI16:AL16 J17 L17:O17 AE17 AI17:AL17 J18 L18:O18 AE18 AI18:AL18 J19 L19:O19 AE19 AI19:AL19 J20 L20:O20 AE20 AI20:AL20 J21 L21:O21 AE21 AI21:AL21 J22 L22:O22 AE22 AI22:AL22 J23 L23:O23 AE23 AI23:AL23 J24 L24:O24 AE24 AI24:AL24 J25 L25:O25 AE25 AI25:AL25 J26 L26:O26 AE26 AI26:AL26 J27 L27:O27 AE27 AI27:AL27 J28 L28:O28 AE28 AI28:AL28 J29 L29:O29 AE29 AI29:AL29 J30 L30:O30 AE30 AI30:AL30 J31 L31:O31 AE31 AI31:AL31 J32 L32:O32 AE32 AI32:AL32 J33 L33:O33 AE33 AI33:AL33 J34 L34:O34 AE34 AI34:AL34 J35 L35:O35 AE35 AI35:AL35 J36 L36:O36 AE36 AI36:AL36 J37 L37:O37 AE37 AI37:AL37 J38 L38:O38 AE38 AI38:AL38 J39 L39:O39 AE39 AI39:AL39 J40 L40:O40 AE40 AI40:AL40 J41 L41:O41 AE41 AI41:AL41 J42 L42:O42 AE42 AI42:AL42 J43 L43:O43 AE43 AI43:AL43 J44 L44:O44 AE44 AI44:AL44 J45 L45:O45 AE45 AI45:AL45 J46 L46:O46 AE46 AI46:AL46 J47 L47:O47 AE47 AI47:AL47 J48 L48:O48 AE48 AI48:AL48 J49 L49:O49 AE49 AI49:AL49 J50 L50:O50 AE50 AI50:AL50 J51 L51:O51 AE51 AI51:AL51 J52 L52:O52 AE52 AI52:AL52 J53 L53:O53 AE53 AI53:AL53 J54 L54:O54 AE54 AI54:AL54 J55 L55:O55 AE55 AI55:AL55 J56 L56:O56 AE56 AI56:AL56 J57 L57:O57 AE57 AI57:AL57 J58 L58:O58 AE58 AI58:AL58 J59 L59:O59 AE59 AI59:AL59 J60 L60:O60 AE60 AI60:AL60 J61 L61:O61 AE61 AI61:AL61 J62 L62:O62 AE62 AI62:AL62 J63 L63:O63 AE63 AI63:AL63 J64 L64:O64 AE64 AI64:AL64 J65 L65:O65 AE65 AI65:AL65 J66 L66:O66 AE66 AI66:AL66 J67 L67:O67 AE67 AI67:AL67 J68 L68:O68 AE68 AI68:AL68 J69 L69:O69 AE69 AI69:AL69 J70 L70:O70 AE70 AI70:AL70 J71 L71:O71 AE71 AI71:AL71 J72 L72:O72 AE72 AI72:AL72 J73 L73:O73 AE73 AI73:AL73 J74 L74:O74 AE74 AI74:AL74 J75 L75:O75 AE75 AI75:AL75 J76 L76:O76 AE76 AI76:AL76 J77 L77:O77 AE77 AI77:AL77 J78 L78:O78 AE78 AI78:AL78 J79 L79:O79 AE79 AI79:AL79 J80 L80:O80 AE80 AI80:AL80 J81 L81:O81 AE81 AI81:AL81 J82 L82:O82 AE82 AI82:AL82 J83 L83:O83 AE83 AI83:AL83 J84 L84:O84 AE84 AI84:AL84 J85 L85:O85 AE85 AI85:AL85 J86 L86:O86 AE86 AI86:AL86 J87 L87:O87 AE87 AI87:AL87 J88 L88:O88 AE88 AI88:AL88 J89 L89:O89 AE89 AI89:AL89 J90 L90:O90 AE90 AI90:AL90 J91 L91:O91 AE91 AI91:AL91 J92 L92:O92 AE92 AI92:AL92 J93 L93:O93 AE93 AI93:AL93 J94 L94:O94 AE94 AI94:AL94 J95 L95:O95 AE95 AI95:AL95 J96 L96:O96 AE96 AI96:AL96 J97 L97:O97 AE97 AI97:AL97 J98 L98:O98 AE98 AI98:AL98 J99 L99:O99 AE99 AI99:AL99 J100 L100:O100 AE100 AI100:AL100 J101 L101:O101 AE101 AI101:AL101 J102 L102:O102 AE102 AI102:AL102 J103 L103:O103 AE103 AI103:AL103 J104 L104:O104 AE104 AI104:AL104 J105 L105:O105 AE105 AI105:AL105 J106 L106:O106 AE106 AI106:AL106 J107 L107:O107 AE107 AI107:AL107 J108 L108:O108 AE108 AI108:AL108 J109 L109:O109 AE109 AI109:AL109 J110 L110:O110 AE110 AI110:AL110 J111 L111:O111 AE111 AI111:AL111 J112 L112:O112 AE112 AI112:AL112 J113 L113:O113 AE113 AI113:AL113 J114 L114:O114 AE114 AI114:AL114 J115 L115:O115 AE115 AI115:AL115 J116 L116:O116 AE116 AI116:AL116 J117 L117:O117 AE117 AI117:AL117 J118 L118:O118 AE118 AI118:AL118 J119 L119:O119 AE119 AI119:AL119 J120 L120:O120 AE120 AI120:AL120 J121 L121:O121 AE121 AI121:AL121 J122 L122:O122 AE122 AI122:AL122 J123 L123:O123 AE123 AI123:AL123 J124 L124:O124 AE124 AI124:AL124 J125 L125:O125 AE125 AI125:AL125 J126 L126:O126 AE126 AI126:AL126 J127 L127:O127 AE127 AI127:AL127 J128 L128:O128 AE128 AI128:AL128 J129 L129:O129 AE129 AI129:AL129 J130 L130:O130 AE130 AI130:AL130 J131 L131:O131 AE131 AI131:AL131 J132 L132:O132 AE132 AI132:AL132 J133 L133:O133 AE133 AI133:AL133 J134 L134:O134 AE134 AI134:AL134 J135 L135:O135 AE135 AI135:AL135 J136 L136:O136 AE136 AI136:AL136 J137 L137:O137 AE137 AI137:AL137 J138 L138:O138 AE138 AI138:AL138 J139 L139:O139 AE139 AI139:AL139 J140 L140:O140 AE140 AI140:AL140 J141 L141:O141 AE141 AI141:AL141 J142 L142:O142 AE142 AI142:AL142 J143 L143:O143 AE143 AI143:AL143 J144 L144:O144 AE144 AI144:AL144 J145 L145:O145 AE145 AI145:AL145 J146 L146:O146 AE146 AI146:AL146 J147 L147:O147 AE147 AI147:AL147 J148 L148:O148 AE148 AI148:AL148 J149 L149:O149 AE149 AI149:AL149 J150 L150:O150 AE150 AI150:AL150 J151 L151:O151 AE151 AI151:AL151 J152 L152:O152 AE152 AI152:AL152 J153 L153:O153 AE153 AI153:AL153 J154 L154:O154 AE154 AI154:AL154 J155 L155:O155 AE155 AI155:AL155 J156 L156:O156 AE156 AI156:AL156 J157 L157:O157 AE157 AI157:AL157 J158 L158:O158 AE158 AI158:AL158 J159 L159:O159 AE159 AI159:AL159">
    <cfRule type="notContainsBlanks" dxfId="2" priority="1" stopIfTrue="1">
      <formula>NOT(ISBLANK(M11))</formula>
    </cfRule>
  </conditionalFormatting>
  <conditionalFormatting sqref="S11:AB159">
    <cfRule type="notContainsBlanks" dxfId="3" priority="1" stopIfTrue="1">
      <formula>NOT(ISBLANK(S11))</formula>
    </cfRule>
  </conditionalFormatting>
  <pageMargins left="0.472441" right="0.19685" top="0.787402" bottom="0.19685" header="0.511811" footer="0.511811"/>
  <pageSetup firstPageNumber="1" fitToHeight="1" fitToWidth="1" scale="100" useFirstPageNumber="0" orientation="landscape" pageOrder="downThenOver"/>
  <headerFooter>
    <oddHeader>&amp;L&amp;"ヒラギノ角ゴ ProN W3,Regular"&amp;12&amp;K000000&amp;P</oddHeader>
    <oddFooter>&amp;C&amp;"ヒラギノ角ゴ ProN W3,Regular"&amp;12&amp;K000000&amp;P</oddFooter>
  </headerFooter>
  <drawing r:id="rId1"/>
  <legacyDrawing r:id="rId2"/>
</worksheet>
</file>

<file path=xl/worksheets/sheet2.xml><?xml version="1.0" encoding="utf-8"?>
<worksheet xmlns:r="http://schemas.openxmlformats.org/officeDocument/2006/relationships" xmlns="http://schemas.openxmlformats.org/spreadsheetml/2006/main">
  <sheetPr>
    <tabColor rgb="ff00b050"/>
    <pageSetUpPr fitToPage="1"/>
  </sheetPr>
  <dimension ref="A1:BL210"/>
  <sheetViews>
    <sheetView workbookViewId="0" showGridLines="0" defaultGridColor="1"/>
  </sheetViews>
  <sheetFormatPr defaultColWidth="6.71429" defaultRowHeight="24" customHeight="1" outlineLevelRow="0" outlineLevelCol="0"/>
  <cols>
    <col min="1" max="1" width="4.73438" style="171" customWidth="1"/>
    <col min="2" max="2" width="9.28906" style="171" customWidth="1"/>
    <col min="3" max="3" width="38.7344" style="171" customWidth="1"/>
    <col min="4" max="4" width="5.15625" style="171" customWidth="1"/>
    <col min="5" max="5" width="6" style="171" customWidth="1"/>
    <col min="6" max="7" width="4.73438" style="171" customWidth="1"/>
    <col min="8" max="8" width="4.28906" style="171" customWidth="1"/>
    <col min="9" max="11" width="4.73438" style="171" customWidth="1"/>
    <col min="12" max="15" width="4.28906" style="171" customWidth="1"/>
    <col min="16" max="18" width="4.73438" style="171" customWidth="1"/>
    <col min="19" max="28" width="4.28906" style="171" customWidth="1"/>
    <col min="29" max="33" width="4.73438" style="171" customWidth="1"/>
    <col min="34" max="34" width="10.7344" style="171" customWidth="1"/>
    <col min="35" max="39" width="4.28906" style="171" customWidth="1"/>
    <col min="40" max="40" width="31.2891" style="171" customWidth="1"/>
    <col min="41" max="41" width="1.15625" style="171" customWidth="1"/>
    <col min="42" max="42" width="5.73438" style="171" customWidth="1"/>
    <col min="43" max="52" width="7.28906" style="171" customWidth="1"/>
    <col min="53" max="58" width="5.73438" style="171" customWidth="1"/>
    <col min="59" max="59" width="3.73438" style="171" customWidth="1"/>
    <col min="60" max="62" width="6.73438" style="171" customWidth="1"/>
    <col min="63" max="63" width="8.28906" style="171" customWidth="1"/>
    <col min="64" max="64" width="6.73438" style="171" customWidth="1"/>
    <col min="65" max="16384" width="6.73438" style="171" customWidth="1"/>
  </cols>
  <sheetData>
    <row r="1" ht="24.75" customHeight="1">
      <c r="A1" t="str" s="172" cm="1">
        <f t="array" ref="A1">'①施工図リスト'!A1</f>
        <v>現場／統括：、現場責任者：新地工事長、主任：、担当：</v>
      </c>
      <c r="B1" s="3"/>
      <c r="C1" s="3"/>
      <c r="D1" s="3"/>
      <c r="E1" s="3"/>
      <c r="F1" s="3"/>
      <c r="G1" s="3"/>
      <c r="H1" s="3"/>
      <c r="I1" s="3"/>
      <c r="J1" s="3"/>
      <c r="K1" s="4"/>
      <c r="L1" s="5"/>
      <c r="M1" s="3"/>
      <c r="N1" s="3"/>
      <c r="O1" s="4"/>
      <c r="P1" s="6"/>
      <c r="Q1" s="6"/>
      <c r="R1" s="5"/>
      <c r="S1" s="3"/>
      <c r="T1" s="3"/>
      <c r="U1" s="3"/>
      <c r="V1" s="3"/>
      <c r="W1" s="3"/>
      <c r="X1" s="3"/>
      <c r="Y1" s="3"/>
      <c r="Z1" s="3"/>
      <c r="AA1" s="3"/>
      <c r="AB1" s="3"/>
      <c r="AC1" s="3"/>
      <c r="AD1" s="3"/>
      <c r="AE1" s="3"/>
      <c r="AF1" s="3"/>
      <c r="AG1" s="3"/>
      <c r="AH1" s="7"/>
      <c r="AI1" t="s" s="8">
        <v>1</v>
      </c>
      <c r="AJ1" s="9"/>
      <c r="AK1" s="9"/>
      <c r="AL1" t="s" s="8">
        <v>2</v>
      </c>
      <c r="AM1" s="9"/>
      <c r="AN1" s="9"/>
      <c r="AO1" s="10"/>
      <c r="AP1" s="11"/>
      <c r="AQ1" s="11"/>
      <c r="AR1" s="11"/>
      <c r="AS1" s="11"/>
      <c r="AT1" s="11"/>
      <c r="AU1" s="11"/>
      <c r="AV1" s="11"/>
      <c r="AW1" s="11"/>
      <c r="AX1" s="11"/>
      <c r="AY1" s="11"/>
      <c r="AZ1" s="11"/>
      <c r="BA1" s="11"/>
      <c r="BB1" s="11"/>
      <c r="BC1" s="11"/>
      <c r="BD1" s="11"/>
      <c r="BE1" s="12"/>
      <c r="BF1" s="12"/>
      <c r="BG1" s="12"/>
      <c r="BH1" s="12"/>
      <c r="BI1" s="12"/>
      <c r="BJ1" s="12"/>
      <c r="BK1" s="12"/>
      <c r="BL1" s="12"/>
    </row>
    <row r="2" ht="56.65" customHeight="1">
      <c r="A2" t="s" s="13">
        <v>3</v>
      </c>
      <c r="B2" s="14"/>
      <c r="C2" t="str" s="16" cm="1">
        <f t="array" ref="C2">'①施工図リスト'!C2</f>
        <v>椙山女学園　星が丘キャンパス大学会館食堂リニューアル工事</v>
      </c>
      <c r="D2" s="16"/>
      <c r="E2" s="16"/>
      <c r="F2" s="16"/>
      <c r="G2" s="16"/>
      <c r="H2" s="16"/>
      <c r="I2" s="16"/>
      <c r="J2" s="16"/>
      <c r="K2" s="17"/>
      <c r="L2" s="18"/>
      <c r="M2" s="16"/>
      <c r="N2" s="16"/>
      <c r="O2" s="17"/>
      <c r="P2" s="19"/>
      <c r="Q2" s="19"/>
      <c r="R2" s="18"/>
      <c r="S2" s="16"/>
      <c r="T2" s="16"/>
      <c r="U2" s="16"/>
      <c r="V2" s="16"/>
      <c r="W2" s="16"/>
      <c r="X2" s="16"/>
      <c r="Y2" s="16"/>
      <c r="Z2" s="16"/>
      <c r="AA2" s="16"/>
      <c r="AB2" s="16"/>
      <c r="AC2" s="16"/>
      <c r="AD2" s="16"/>
      <c r="AE2" s="16"/>
      <c r="AF2" s="16"/>
      <c r="AG2" s="16"/>
      <c r="AH2" s="20"/>
      <c r="AI2" s="21"/>
      <c r="AJ2" s="22"/>
      <c r="AK2" s="23"/>
      <c r="AL2" s="24"/>
      <c r="AM2" s="25"/>
      <c r="AN2" s="26"/>
      <c r="AO2" s="27"/>
      <c r="AP2" t="s" s="28">
        <v>5</v>
      </c>
      <c r="AQ2" s="29"/>
      <c r="AR2" s="29"/>
      <c r="AS2" s="29"/>
      <c r="AT2" s="29"/>
      <c r="AU2" s="29"/>
      <c r="AV2" s="29"/>
      <c r="AW2" s="29"/>
      <c r="AX2" s="29"/>
      <c r="AY2" s="29"/>
      <c r="AZ2" s="29"/>
      <c r="BA2" s="29"/>
      <c r="BB2" s="29"/>
      <c r="BC2" s="29"/>
      <c r="BD2" s="30"/>
      <c r="BE2" s="10"/>
      <c r="BF2" s="12"/>
      <c r="BG2" s="12"/>
      <c r="BH2" s="12"/>
      <c r="BI2" s="12"/>
      <c r="BJ2" t="s" s="31">
        <v>6</v>
      </c>
      <c r="BK2" s="32" cm="1">
        <f t="array" ref="BK2">BI3/BH3</f>
        <v>0.166666666666667</v>
      </c>
      <c r="BL2" s="33"/>
    </row>
    <row r="3" ht="30" customHeight="1">
      <c r="A3" s="24"/>
      <c r="B3" s="26"/>
      <c r="C3" t="s" s="34">
        <v>83</v>
      </c>
      <c r="D3" t="s" s="173">
        <v>84</v>
      </c>
      <c r="E3" t="s" s="174">
        <v>85</v>
      </c>
      <c r="F3" t="s" s="35">
        <v>86</v>
      </c>
      <c r="G3" s="37"/>
      <c r="H3" t="s" s="38">
        <v>9</v>
      </c>
      <c r="I3" s="39"/>
      <c r="J3" s="40"/>
      <c r="K3" t="s" s="41">
        <v>10</v>
      </c>
      <c r="L3" s="175"/>
      <c r="M3" s="39"/>
      <c r="N3" s="39"/>
      <c r="O3" s="176"/>
      <c r="P3" s="177"/>
      <c r="Q3" s="177"/>
      <c r="R3" s="175"/>
      <c r="S3" s="39"/>
      <c r="T3" s="39"/>
      <c r="U3" s="39"/>
      <c r="V3" s="39"/>
      <c r="W3" s="39"/>
      <c r="X3" s="39"/>
      <c r="Y3" s="39"/>
      <c r="Z3" s="39"/>
      <c r="AA3" s="39"/>
      <c r="AB3" s="40"/>
      <c r="AC3" t="s" s="47">
        <v>11</v>
      </c>
      <c r="AD3" s="48"/>
      <c r="AE3" s="49"/>
      <c r="AF3" t="s" s="50">
        <v>12</v>
      </c>
      <c r="AG3" t="s" s="178">
        <v>13</v>
      </c>
      <c r="AH3" t="s" s="52">
        <v>14</v>
      </c>
      <c r="AI3" t="s" s="47">
        <v>15</v>
      </c>
      <c r="AJ3" s="48"/>
      <c r="AK3" s="48"/>
      <c r="AL3" s="49"/>
      <c r="AM3" t="s" s="53">
        <v>16</v>
      </c>
      <c r="AN3" t="s" s="54">
        <v>87</v>
      </c>
      <c r="AO3" s="10"/>
      <c r="AP3" s="55"/>
      <c r="AQ3" t="s" s="54">
        <v>18</v>
      </c>
      <c r="AR3" t="s" s="54">
        <v>19</v>
      </c>
      <c r="AS3" t="s" s="54">
        <v>20</v>
      </c>
      <c r="AT3" t="s" s="56">
        <v>21</v>
      </c>
      <c r="AU3" s="57"/>
      <c r="AV3" t="s" s="56">
        <v>22</v>
      </c>
      <c r="AW3" s="57"/>
      <c r="AX3" s="58"/>
      <c r="AY3" s="59"/>
      <c r="AZ3" s="59"/>
      <c r="BA3" s="59"/>
      <c r="BB3" s="59"/>
      <c r="BC3" s="59"/>
      <c r="BD3" s="59"/>
      <c r="BE3" s="179"/>
      <c r="BF3" s="179"/>
      <c r="BG3" s="12"/>
      <c r="BH3" s="60" cm="1">
        <f t="array" ref="BH3">COUNTA($AG$10:$AG$210)*6</f>
        <v>90</v>
      </c>
      <c r="BI3" s="60" cm="1">
        <f t="array" ref="BI3">COUNTA($G$10:$G$210)+COUNTA($J$10:$J$210)+COUNTA($L$10:$L$210)+COUNTA($M$10:$M$210)+COUNTA($S$10:$S$210)+COUNTA($T$10:$T$210)</f>
        <v>15</v>
      </c>
      <c r="BJ3" t="s" s="31">
        <v>23</v>
      </c>
      <c r="BK3" s="33" cm="1">
        <f t="array" ref="BK3">1-BK2</f>
        <v>0.833333333333333</v>
      </c>
      <c r="BL3" s="33"/>
    </row>
    <row r="4" ht="15" customHeight="1">
      <c r="A4" t="s" s="61">
        <v>24</v>
      </c>
      <c r="B4" t="s" s="54">
        <v>25</v>
      </c>
      <c r="C4" t="s" s="62">
        <v>26</v>
      </c>
      <c r="D4" t="s" s="180">
        <v>88</v>
      </c>
      <c r="E4" t="s" s="181">
        <v>89</v>
      </c>
      <c r="F4" t="s" s="182">
        <v>29</v>
      </c>
      <c r="G4" t="s" s="66">
        <v>90</v>
      </c>
      <c r="H4" t="s" s="67">
        <v>28</v>
      </c>
      <c r="I4" t="s" s="65">
        <v>31</v>
      </c>
      <c r="J4" t="s" s="66">
        <v>32</v>
      </c>
      <c r="K4" t="s" s="68">
        <v>33</v>
      </c>
      <c r="L4" t="s" s="69">
        <v>34</v>
      </c>
      <c r="M4" s="70"/>
      <c r="N4" t="s" s="69">
        <v>35</v>
      </c>
      <c r="O4" s="70"/>
      <c r="P4" t="s" s="71">
        <v>36</v>
      </c>
      <c r="Q4" t="s" s="72">
        <v>37</v>
      </c>
      <c r="R4" t="s" s="72">
        <v>33</v>
      </c>
      <c r="S4" t="s" s="73">
        <v>91</v>
      </c>
      <c r="T4" s="74"/>
      <c r="U4" t="s" s="73">
        <v>92</v>
      </c>
      <c r="V4" s="183"/>
      <c r="W4" t="s" s="73">
        <v>93</v>
      </c>
      <c r="X4" s="183"/>
      <c r="Y4" t="s" s="73">
        <v>94</v>
      </c>
      <c r="Z4" s="183"/>
      <c r="AA4" t="s" s="73">
        <v>95</v>
      </c>
      <c r="AB4" s="184"/>
      <c r="AC4" t="s" s="76">
        <v>43</v>
      </c>
      <c r="AD4" t="s" s="65">
        <v>44</v>
      </c>
      <c r="AE4" t="s" s="77">
        <v>45</v>
      </c>
      <c r="AF4" s="78"/>
      <c r="AG4" s="185"/>
      <c r="AH4" s="80"/>
      <c r="AI4" s="81">
        <v>1</v>
      </c>
      <c r="AJ4" s="70"/>
      <c r="AK4" s="82">
        <v>2</v>
      </c>
      <c r="AL4" s="83"/>
      <c r="AM4" s="84"/>
      <c r="AN4" s="85"/>
      <c r="AO4" s="10"/>
      <c r="AP4" s="86"/>
      <c r="AQ4" s="87"/>
      <c r="AR4" s="87"/>
      <c r="AS4" s="87"/>
      <c r="AT4" s="88"/>
      <c r="AU4" s="89"/>
      <c r="AV4" s="88"/>
      <c r="AW4" s="89"/>
      <c r="AX4" s="90"/>
      <c r="AY4" s="91"/>
      <c r="AZ4" s="91"/>
      <c r="BA4" s="91"/>
      <c r="BB4" s="91"/>
      <c r="BC4" s="91"/>
      <c r="BD4" s="91"/>
      <c r="BE4" s="91"/>
      <c r="BF4" s="91"/>
      <c r="BG4" s="92"/>
      <c r="BH4" s="12"/>
      <c r="BI4" s="12"/>
      <c r="BJ4" t="s" s="31">
        <v>46</v>
      </c>
      <c r="BK4" s="60" cm="1">
        <f t="array" ref="BK4">_xlfn.COUNTIFS($F$10:$F$116,"&lt;="&amp;TODAY(),$F$10:$F$116,"&gt;"&amp;0,$G$10:$G$116,"="&amp;"")+_xlfn.COUNTIFS($I$10:$I$116,"&lt;="&amp;TODAY(),$I$10:$I$116,"&gt;"&amp;0,$J$10:$J$116,"="&amp;"")+_xlfn.COUNTIFS($P$10:$P$116,"&lt;="&amp;TODAY(),$P$10:$P$116,"&gt;"&amp;0,$L$10:$L$116,"="&amp;"")+_xlfn.COUNTIFS($P$10:$P$116,"&lt;="&amp;TODAY(),$P$10:$P$116,"&gt;"&amp;0,$M$10:$M$116,"="&amp;"")+_xlfn.COUNTIFS($AC$10:$AC$116,"&lt;="&amp;TODAY(),$AC$10:$AC$116,"&gt;"&amp;0,$S$10:$S$116,"="&amp;"")+_xlfn.COUNTIFS($AC$10:$AC$116,"&lt;="&amp;TODAY(),$AC$10:$AC$116,"&gt;"&amp;0,$T$10:$T$116,"="&amp;"")</f>
        <v>0</v>
      </c>
      <c r="BL4" t="str" s="12" cm="1">
        <f t="array" ref="BL4">BJ4&amp;": "&amp;BK4&amp;"個"</f>
        <v>赤色: 0個</v>
      </c>
    </row>
    <row r="5" ht="15" customHeight="1">
      <c r="A5" s="85"/>
      <c r="B5" s="93"/>
      <c r="C5" t="s" s="62">
        <v>48</v>
      </c>
      <c r="D5" s="186"/>
      <c r="E5" s="187"/>
      <c r="F5" s="188"/>
      <c r="G5" s="97"/>
      <c r="H5" s="98"/>
      <c r="I5" s="96"/>
      <c r="J5" s="97"/>
      <c r="K5" s="99"/>
      <c r="L5" t="s" s="100">
        <v>49</v>
      </c>
      <c r="M5" t="s" s="100">
        <v>50</v>
      </c>
      <c r="N5" t="s" s="100">
        <v>49</v>
      </c>
      <c r="O5" t="s" s="100">
        <v>50</v>
      </c>
      <c r="P5" s="101"/>
      <c r="Q5" s="102"/>
      <c r="R5" s="102"/>
      <c r="S5" t="s" s="103">
        <v>49</v>
      </c>
      <c r="T5" t="s" s="103">
        <v>50</v>
      </c>
      <c r="U5" t="s" s="103">
        <v>49</v>
      </c>
      <c r="V5" t="s" s="103">
        <v>50</v>
      </c>
      <c r="W5" t="s" s="103">
        <v>49</v>
      </c>
      <c r="X5" t="s" s="103">
        <v>50</v>
      </c>
      <c r="Y5" t="s" s="103">
        <v>49</v>
      </c>
      <c r="Z5" t="s" s="103">
        <v>50</v>
      </c>
      <c r="AA5" t="s" s="103">
        <v>49</v>
      </c>
      <c r="AB5" t="s" s="104">
        <v>50</v>
      </c>
      <c r="AC5" s="105"/>
      <c r="AD5" s="96"/>
      <c r="AE5" s="83"/>
      <c r="AF5" s="78"/>
      <c r="AG5" s="185"/>
      <c r="AH5" s="80"/>
      <c r="AI5" t="s" s="106">
        <v>49</v>
      </c>
      <c r="AJ5" t="s" s="100">
        <v>50</v>
      </c>
      <c r="AK5" t="s" s="100">
        <v>49</v>
      </c>
      <c r="AL5" t="s" s="66">
        <v>50</v>
      </c>
      <c r="AM5" s="84"/>
      <c r="AN5" s="85"/>
      <c r="AO5" s="10"/>
      <c r="AP5" s="86"/>
      <c r="AQ5" s="87"/>
      <c r="AR5" s="87"/>
      <c r="AS5" s="87"/>
      <c r="AT5" t="s" s="107">
        <v>51</v>
      </c>
      <c r="AU5" t="s" s="107">
        <v>52</v>
      </c>
      <c r="AV5" t="s" s="107">
        <v>51</v>
      </c>
      <c r="AW5" t="s" s="107">
        <v>52</v>
      </c>
      <c r="AX5" s="90"/>
      <c r="AY5" s="91"/>
      <c r="AZ5" s="91"/>
      <c r="BA5" s="91"/>
      <c r="BB5" s="91"/>
      <c r="BC5" s="91"/>
      <c r="BD5" s="91"/>
      <c r="BE5" s="91"/>
      <c r="BF5" s="91"/>
      <c r="BG5" s="92"/>
      <c r="BH5" s="12"/>
      <c r="BI5" s="12"/>
      <c r="BJ5" t="s" s="31">
        <v>53</v>
      </c>
      <c r="BK5" s="60" cm="1">
        <f t="array" ref="BK5">_xlfn.COUNTIFS($F$10:$F$116,"&lt;="&amp;TODAY()+7,$F$10:$F$116,"&gt;"&amp;0,$G$10:$G$116,"="&amp;"")+_xlfn.COUNTIFS($I$10:$I$116,"&lt;="&amp;TODAY()+7,$I$10:$I$116,"&gt;"&amp;0,$J$10:$J$116,"="&amp;"")+_xlfn.COUNTIFS($P$10:$P$116,"&lt;="&amp;TODAY()+7,$P$10:$P$116,"&gt;"&amp;0,$L$10:$L$116,"="&amp;"")+_xlfn.COUNTIFS($P$10:$P$116,"&lt;="&amp;TODAY()+7,$P$10:$P$116,"&gt;"&amp;0,$M$10:$M$116,"="&amp;"")+_xlfn.COUNTIFS($AC$10:$AC$116,"&lt;="&amp;TODAY()+7,$AC$10:$AC$116,"&gt;"&amp;0,$S$10:$S$116,"="&amp;"")+_xlfn.COUNTIFS($AC$10:$AC$116,"&lt;="&amp;TODAY()+7,$AC$10:$AC$116,"&gt;"&amp;0,$T$10:$T$116,"="&amp;"")-BK4</f>
        <v>0</v>
      </c>
      <c r="BL5" t="str" s="12" cm="1">
        <f t="array" ref="BL5">BJ5&amp;": "&amp;BK5&amp;"個"</f>
        <v>黄色: 0個</v>
      </c>
    </row>
    <row r="6" ht="15" customHeight="1">
      <c r="A6" s="85"/>
      <c r="B6" s="93"/>
      <c r="C6" t="s" s="62">
        <v>96</v>
      </c>
      <c r="D6" s="186"/>
      <c r="E6" s="187"/>
      <c r="F6" s="188"/>
      <c r="G6" s="97"/>
      <c r="H6" s="98"/>
      <c r="I6" s="96"/>
      <c r="J6" s="97"/>
      <c r="K6" s="99"/>
      <c r="L6" s="108"/>
      <c r="M6" s="108"/>
      <c r="N6" s="108"/>
      <c r="O6" s="108"/>
      <c r="P6" s="101"/>
      <c r="Q6" s="102"/>
      <c r="R6" s="102"/>
      <c r="S6" s="109"/>
      <c r="T6" s="109"/>
      <c r="U6" s="109"/>
      <c r="V6" s="109"/>
      <c r="W6" s="109"/>
      <c r="X6" s="109"/>
      <c r="Y6" s="109"/>
      <c r="Z6" s="109"/>
      <c r="AA6" s="109"/>
      <c r="AB6" s="110"/>
      <c r="AC6" s="105"/>
      <c r="AD6" s="96"/>
      <c r="AE6" s="83"/>
      <c r="AF6" s="78"/>
      <c r="AG6" s="189"/>
      <c r="AH6" s="112"/>
      <c r="AI6" s="113"/>
      <c r="AJ6" s="108"/>
      <c r="AK6" s="108"/>
      <c r="AL6" s="97"/>
      <c r="AM6" s="84"/>
      <c r="AN6" s="85"/>
      <c r="AO6" s="10"/>
      <c r="AP6" s="86"/>
      <c r="AQ6" s="87"/>
      <c r="AR6" s="87"/>
      <c r="AS6" s="87"/>
      <c r="AT6" s="114"/>
      <c r="AU6" s="114"/>
      <c r="AV6" s="114"/>
      <c r="AW6" s="114"/>
      <c r="AX6" s="90"/>
      <c r="AY6" s="91"/>
      <c r="AZ6" s="91"/>
      <c r="BA6" s="91"/>
      <c r="BB6" s="91"/>
      <c r="BC6" s="91"/>
      <c r="BD6" s="91"/>
      <c r="BE6" s="91"/>
      <c r="BF6" s="91"/>
      <c r="BG6" s="92"/>
      <c r="BH6" s="12"/>
      <c r="BI6" s="12"/>
      <c r="BJ6" s="12"/>
      <c r="BK6" s="12"/>
      <c r="BL6" s="12"/>
    </row>
    <row r="7" ht="15" customHeight="1">
      <c r="A7" s="85"/>
      <c r="B7" s="93"/>
      <c r="C7" t="s" s="62">
        <v>97</v>
      </c>
      <c r="D7" s="186"/>
      <c r="E7" s="187"/>
      <c r="F7" s="188"/>
      <c r="G7" s="97"/>
      <c r="H7" s="98"/>
      <c r="I7" s="96"/>
      <c r="J7" s="97"/>
      <c r="K7" s="99"/>
      <c r="L7" s="108"/>
      <c r="M7" s="108"/>
      <c r="N7" s="108"/>
      <c r="O7" s="108"/>
      <c r="P7" s="101"/>
      <c r="Q7" s="102"/>
      <c r="R7" s="102"/>
      <c r="S7" s="109"/>
      <c r="T7" s="109"/>
      <c r="U7" s="109"/>
      <c r="V7" s="109"/>
      <c r="W7" s="109"/>
      <c r="X7" s="109"/>
      <c r="Y7" s="109"/>
      <c r="Z7" s="109"/>
      <c r="AA7" s="109"/>
      <c r="AB7" s="110"/>
      <c r="AC7" s="105"/>
      <c r="AD7" s="96"/>
      <c r="AE7" s="83"/>
      <c r="AF7" s="78"/>
      <c r="AG7" s="115" cm="1">
        <f t="array" ref="AG7">AH7-2018</f>
        <v>7</v>
      </c>
      <c r="AH7" s="116">
        <v>2025</v>
      </c>
      <c r="AI7" s="113"/>
      <c r="AJ7" s="108"/>
      <c r="AK7" s="108"/>
      <c r="AL7" s="97"/>
      <c r="AM7" s="84"/>
      <c r="AN7" s="85"/>
      <c r="AO7" s="10"/>
      <c r="AP7" s="86"/>
      <c r="AQ7" s="87"/>
      <c r="AR7" s="87"/>
      <c r="AS7" s="87"/>
      <c r="AT7" s="87"/>
      <c r="AU7" s="87"/>
      <c r="AV7" s="87"/>
      <c r="AW7" s="87"/>
      <c r="AX7" s="90"/>
      <c r="AY7" s="91"/>
      <c r="AZ7" s="91"/>
      <c r="BA7" s="91"/>
      <c r="BB7" s="91"/>
      <c r="BC7" s="91"/>
      <c r="BD7" s="91"/>
      <c r="BE7" s="91"/>
      <c r="BF7" s="91"/>
      <c r="BG7" s="92"/>
      <c r="BH7" s="12"/>
      <c r="BI7" s="12"/>
      <c r="BJ7" s="12"/>
      <c r="BK7" s="12"/>
      <c r="BL7" s="12"/>
    </row>
    <row r="8" ht="15" customHeight="1">
      <c r="A8" s="85"/>
      <c r="B8" s="93"/>
      <c r="C8" t="s" s="117">
        <v>98</v>
      </c>
      <c r="D8" s="186"/>
      <c r="E8" s="187"/>
      <c r="F8" s="188"/>
      <c r="G8" s="97"/>
      <c r="H8" s="98"/>
      <c r="I8" s="96"/>
      <c r="J8" s="97"/>
      <c r="K8" s="99"/>
      <c r="L8" s="108"/>
      <c r="M8" s="108"/>
      <c r="N8" s="108"/>
      <c r="O8" s="108"/>
      <c r="P8" s="101"/>
      <c r="Q8" s="102"/>
      <c r="R8" s="102"/>
      <c r="S8" s="109"/>
      <c r="T8" s="109"/>
      <c r="U8" s="109"/>
      <c r="V8" s="109"/>
      <c r="W8" s="109"/>
      <c r="X8" s="109"/>
      <c r="Y8" s="109"/>
      <c r="Z8" s="109"/>
      <c r="AA8" s="109"/>
      <c r="AB8" s="110"/>
      <c r="AC8" s="105"/>
      <c r="AD8" s="96"/>
      <c r="AE8" s="83"/>
      <c r="AF8" s="78"/>
      <c r="AG8" s="118" cm="1">
        <f t="array" ref="AG8">AH8-2018</f>
        <v>8</v>
      </c>
      <c r="AH8" s="119" cm="1">
        <f t="array" ref="AH8">AH7+1</f>
        <v>2026</v>
      </c>
      <c r="AI8" s="113"/>
      <c r="AJ8" s="108"/>
      <c r="AK8" s="108"/>
      <c r="AL8" s="97"/>
      <c r="AM8" s="84"/>
      <c r="AN8" s="85"/>
      <c r="AO8" s="10"/>
      <c r="AP8" s="86"/>
      <c r="AQ8" s="87"/>
      <c r="AR8" s="87"/>
      <c r="AS8" s="87"/>
      <c r="AT8" s="87"/>
      <c r="AU8" s="87"/>
      <c r="AV8" s="87"/>
      <c r="AW8" s="87"/>
      <c r="AX8" s="90"/>
      <c r="AY8" s="91"/>
      <c r="AZ8" s="91"/>
      <c r="BA8" s="91"/>
      <c r="BB8" s="91"/>
      <c r="BC8" s="91"/>
      <c r="BD8" s="91"/>
      <c r="BE8" s="91"/>
      <c r="BF8" s="91"/>
      <c r="BG8" s="92"/>
      <c r="BH8" s="12"/>
      <c r="BI8" s="12"/>
      <c r="BJ8" s="12"/>
      <c r="BK8" s="12"/>
      <c r="BL8" s="12"/>
    </row>
    <row r="9" ht="15" customHeight="1">
      <c r="A9" s="120"/>
      <c r="B9" s="121"/>
      <c r="C9" t="s" s="8">
        <v>58</v>
      </c>
      <c r="D9" s="190"/>
      <c r="E9" s="191"/>
      <c r="F9" s="192"/>
      <c r="G9" s="125"/>
      <c r="H9" s="126"/>
      <c r="I9" s="124"/>
      <c r="J9" s="125"/>
      <c r="K9" s="127"/>
      <c r="L9" s="128"/>
      <c r="M9" s="128"/>
      <c r="N9" s="128"/>
      <c r="O9" s="128"/>
      <c r="P9" s="129"/>
      <c r="Q9" s="130"/>
      <c r="R9" s="130"/>
      <c r="S9" s="131"/>
      <c r="T9" s="131"/>
      <c r="U9" s="131"/>
      <c r="V9" s="131"/>
      <c r="W9" s="131"/>
      <c r="X9" s="131"/>
      <c r="Y9" s="131"/>
      <c r="Z9" s="131"/>
      <c r="AA9" s="131"/>
      <c r="AB9" s="132"/>
      <c r="AC9" s="133"/>
      <c r="AD9" s="124"/>
      <c r="AE9" s="134"/>
      <c r="AF9" s="135"/>
      <c r="AG9" s="136" cm="1">
        <f t="array" ref="AG9">AH9-2018</f>
        <v>9</v>
      </c>
      <c r="AH9" s="137" cm="1">
        <f t="array" ref="AH9">AH8+1</f>
        <v>2027</v>
      </c>
      <c r="AI9" s="138"/>
      <c r="AJ9" s="128"/>
      <c r="AK9" s="128"/>
      <c r="AL9" s="125"/>
      <c r="AM9" s="139"/>
      <c r="AN9" s="120"/>
      <c r="AO9" s="10"/>
      <c r="AP9" s="86"/>
      <c r="AQ9" s="140"/>
      <c r="AR9" s="140"/>
      <c r="AS9" s="140"/>
      <c r="AT9" s="140"/>
      <c r="AU9" s="140"/>
      <c r="AV9" s="140"/>
      <c r="AW9" s="140"/>
      <c r="AX9" s="90"/>
      <c r="AY9" s="91"/>
      <c r="AZ9" s="91"/>
      <c r="BA9" s="91"/>
      <c r="BB9" s="91"/>
      <c r="BC9" s="91"/>
      <c r="BD9" s="91"/>
      <c r="BE9" s="91"/>
      <c r="BF9" s="91"/>
      <c r="BG9" s="92"/>
      <c r="BH9" s="12"/>
      <c r="BI9" s="12"/>
      <c r="BJ9" s="12"/>
      <c r="BK9" s="12"/>
      <c r="BL9" s="12"/>
    </row>
    <row r="10" ht="8" customHeight="1">
      <c r="A10" s="9"/>
      <c r="B10" s="141"/>
      <c r="C10" s="9"/>
      <c r="D10" s="193"/>
      <c r="E10" s="194"/>
      <c r="F10" s="142"/>
      <c r="G10" s="144"/>
      <c r="H10" s="142"/>
      <c r="I10" s="143"/>
      <c r="J10" s="144"/>
      <c r="K10" s="145"/>
      <c r="L10" s="143"/>
      <c r="M10" s="143"/>
      <c r="N10" s="143"/>
      <c r="O10" s="143"/>
      <c r="P10" s="143"/>
      <c r="Q10" s="146"/>
      <c r="R10" s="146"/>
      <c r="S10" s="143"/>
      <c r="T10" s="143"/>
      <c r="U10" s="143"/>
      <c r="V10" s="143"/>
      <c r="W10" s="143"/>
      <c r="X10" s="143"/>
      <c r="Y10" s="143"/>
      <c r="Z10" s="143"/>
      <c r="AA10" s="143"/>
      <c r="AB10" s="144"/>
      <c r="AC10" s="142"/>
      <c r="AD10" s="143"/>
      <c r="AE10" s="144"/>
      <c r="AF10" s="9"/>
      <c r="AG10" s="149"/>
      <c r="AH10" s="150"/>
      <c r="AI10" s="142"/>
      <c r="AJ10" s="143"/>
      <c r="AK10" s="143"/>
      <c r="AL10" s="144"/>
      <c r="AM10" s="151"/>
      <c r="AN10" s="9"/>
      <c r="AO10" s="10"/>
      <c r="AP10" s="152"/>
      <c r="AQ10" s="153"/>
      <c r="AR10" s="153"/>
      <c r="AS10" s="153"/>
      <c r="AT10" s="153"/>
      <c r="AU10" s="153"/>
      <c r="AV10" s="153"/>
      <c r="AW10" s="153"/>
      <c r="AX10" s="154"/>
      <c r="AY10" s="154"/>
      <c r="AZ10" s="154"/>
      <c r="BA10" s="154"/>
      <c r="BB10" s="154"/>
      <c r="BC10" s="154"/>
      <c r="BD10" s="154"/>
      <c r="BE10" s="154"/>
      <c r="BF10" s="154"/>
      <c r="BG10" s="12"/>
      <c r="BH10" s="12"/>
      <c r="BI10" s="12"/>
      <c r="BJ10" s="12"/>
      <c r="BK10" s="12"/>
      <c r="BL10" s="12"/>
    </row>
    <row r="11" ht="25.5" customHeight="1">
      <c r="A11" s="155">
        <v>0</v>
      </c>
      <c r="B11" s="151"/>
      <c r="C11" t="s" s="156">
        <v>99</v>
      </c>
      <c r="D11" s="165"/>
      <c r="E11" s="164"/>
      <c r="F11" t="str" s="195" cm="1">
        <f t="array" ref="F11">IF(AG11="","",I11-H11)</f>
      </c>
      <c r="G11" s="160"/>
      <c r="H11" s="158"/>
      <c r="I11" t="str" s="159" cm="1">
        <f t="array" ref="I11">IF(AG11="","",P11-K11)</f>
      </c>
      <c r="J11" s="160"/>
      <c r="K11" s="158"/>
      <c r="L11" s="161"/>
      <c r="M11" s="161"/>
      <c r="N11" s="161"/>
      <c r="O11" s="161"/>
      <c r="P11" t="str" s="159" cm="1">
        <f t="array" ref="P11">IF(AG11="","",AC11-R11-Q11)</f>
      </c>
      <c r="Q11" s="162"/>
      <c r="R11" s="162"/>
      <c r="S11" s="161"/>
      <c r="T11" s="161"/>
      <c r="U11" s="161"/>
      <c r="V11" s="161"/>
      <c r="W11" s="161"/>
      <c r="X11" s="161"/>
      <c r="Y11" s="161"/>
      <c r="Z11" s="161"/>
      <c r="AA11" s="161"/>
      <c r="AB11" s="160"/>
      <c r="AC11" s="163"/>
      <c r="AD11" t="str" s="159" cm="1">
        <f t="array" ref="AD11">IF(AG11="","",$AG11-$AF11)</f>
      </c>
      <c r="AE11" s="160"/>
      <c r="AF11" s="196"/>
      <c r="AG11" s="165"/>
      <c r="AH11" s="164"/>
      <c r="AI11" s="163"/>
      <c r="AJ11" s="161"/>
      <c r="AK11" s="161"/>
      <c r="AL11" s="160"/>
      <c r="AM11" s="165"/>
      <c r="AN11" s="166"/>
      <c r="AO11" s="10"/>
      <c r="AP11" s="12"/>
      <c r="AQ11" s="12"/>
      <c r="AR11" s="12"/>
      <c r="AS11" s="12"/>
      <c r="AT11" s="12"/>
      <c r="AU11" s="12"/>
      <c r="AV11" s="12"/>
      <c r="AW11" s="12"/>
      <c r="AX11" s="12"/>
      <c r="AY11" s="12"/>
      <c r="AZ11" s="12"/>
      <c r="BA11" s="12"/>
      <c r="BB11" s="12"/>
      <c r="BC11" s="12"/>
      <c r="BD11" s="12"/>
      <c r="BE11" s="12"/>
      <c r="BF11" s="12"/>
      <c r="BG11" s="12"/>
      <c r="BH11" s="12"/>
      <c r="BI11" s="12"/>
      <c r="BJ11" s="12"/>
      <c r="BK11" s="12"/>
      <c r="BL11" s="12"/>
    </row>
    <row r="12" ht="25.5" customHeight="1">
      <c r="A12" s="155" cm="1">
        <f t="array" ref="A12">A11+1</f>
        <v>1</v>
      </c>
      <c r="B12" t="s" s="167">
        <v>100</v>
      </c>
      <c r="C12" t="s" s="156">
        <v>101</v>
      </c>
      <c r="D12" s="165"/>
      <c r="E12" s="164"/>
      <c r="F12" s="163" cm="1">
        <f t="array" ref="F12">IF(AG12="","",I12-H12)</f>
        <v>46308</v>
      </c>
      <c r="G12" s="160"/>
      <c r="H12" s="158">
        <v>7</v>
      </c>
      <c r="I12" s="161" cm="1">
        <f t="array" ref="I12">IF(AG12="","",P12-K12)</f>
        <v>46315</v>
      </c>
      <c r="J12" s="160"/>
      <c r="K12" s="158">
        <v>7</v>
      </c>
      <c r="L12" s="161"/>
      <c r="M12" s="161"/>
      <c r="N12" s="161"/>
      <c r="O12" s="161"/>
      <c r="P12" s="161" cm="1">
        <f t="array" ref="P12">IF(AG12="","",AC12-R12-Q12)</f>
        <v>46322</v>
      </c>
      <c r="Q12" s="162">
        <v>7</v>
      </c>
      <c r="R12" s="162">
        <v>14</v>
      </c>
      <c r="S12" s="161"/>
      <c r="T12" s="161"/>
      <c r="U12" s="161"/>
      <c r="V12" s="161"/>
      <c r="W12" s="161"/>
      <c r="X12" s="161"/>
      <c r="Y12" s="161"/>
      <c r="Z12" s="161"/>
      <c r="AA12" s="161"/>
      <c r="AB12" s="160"/>
      <c r="AC12" s="163">
        <v>46343</v>
      </c>
      <c r="AD12" s="161" cm="1">
        <f t="array" ref="AD12">IF(AG12="","",$AG12-$AF12)</f>
        <v>46343</v>
      </c>
      <c r="AE12" s="160"/>
      <c r="AF12" s="196">
        <v>14</v>
      </c>
      <c r="AG12" s="165">
        <v>46357</v>
      </c>
      <c r="AH12" s="164"/>
      <c r="AI12" s="163"/>
      <c r="AJ12" s="161"/>
      <c r="AK12" s="161"/>
      <c r="AL12" s="160"/>
      <c r="AM12" s="165"/>
      <c r="AN12" t="s" s="169">
        <v>102</v>
      </c>
      <c r="AO12" s="10"/>
      <c r="AP12" s="12"/>
      <c r="AQ12" s="12"/>
      <c r="AR12" s="12"/>
      <c r="AS12" s="12"/>
      <c r="AT12" s="12"/>
      <c r="AU12" s="12"/>
      <c r="AV12" s="12"/>
      <c r="AW12" s="12"/>
      <c r="AX12" s="12"/>
      <c r="AY12" s="12"/>
      <c r="AZ12" s="12"/>
      <c r="BA12" s="12"/>
      <c r="BB12" s="12"/>
      <c r="BC12" s="12"/>
      <c r="BD12" s="12"/>
      <c r="BE12" s="12"/>
      <c r="BF12" s="12"/>
      <c r="BG12" s="12"/>
      <c r="BH12" s="12"/>
      <c r="BI12" s="12"/>
      <c r="BJ12" s="12"/>
      <c r="BK12" s="12"/>
      <c r="BL12" s="12"/>
    </row>
    <row r="13" ht="25.5" customHeight="1">
      <c r="A13" s="155" cm="1">
        <f t="array" ref="A13">A12+1</f>
        <v>2</v>
      </c>
      <c r="B13" t="s" s="167">
        <v>103</v>
      </c>
      <c r="C13" t="s" s="197">
        <v>104</v>
      </c>
      <c r="D13" s="165"/>
      <c r="E13" s="164"/>
      <c r="F13" s="163" cm="1">
        <f t="array" ref="F13">IF(AG13="","",I13-H13)</f>
        <v>46289</v>
      </c>
      <c r="G13" s="160"/>
      <c r="H13" s="158">
        <v>7</v>
      </c>
      <c r="I13" s="161" cm="1">
        <f t="array" ref="I13">IF(AG13="","",P13-K13)</f>
        <v>46296</v>
      </c>
      <c r="J13" s="160"/>
      <c r="K13" s="158">
        <v>7</v>
      </c>
      <c r="L13" s="161">
        <v>46302</v>
      </c>
      <c r="M13" s="161"/>
      <c r="N13" s="161"/>
      <c r="O13" s="161"/>
      <c r="P13" s="161" cm="1">
        <f t="array" ref="P13">IF(AG13="","",AC13-R13-Q13)</f>
        <v>46303</v>
      </c>
      <c r="Q13" s="162">
        <v>7</v>
      </c>
      <c r="R13" s="162">
        <v>7</v>
      </c>
      <c r="S13" s="161"/>
      <c r="T13" s="161"/>
      <c r="U13" s="161"/>
      <c r="V13" s="161"/>
      <c r="W13" s="161"/>
      <c r="X13" s="161"/>
      <c r="Y13" s="161"/>
      <c r="Z13" s="161"/>
      <c r="AA13" s="161"/>
      <c r="AB13" s="160"/>
      <c r="AC13" s="163">
        <v>46317</v>
      </c>
      <c r="AD13" s="161" cm="1">
        <f t="array" ref="AD13">IF(AG13="","",$AG13-$AF13)</f>
        <v>46317</v>
      </c>
      <c r="AE13" s="160"/>
      <c r="AF13" s="196">
        <v>60</v>
      </c>
      <c r="AG13" s="165">
        <v>46377</v>
      </c>
      <c r="AH13" s="164"/>
      <c r="AI13" s="163"/>
      <c r="AJ13" s="161"/>
      <c r="AK13" s="161"/>
      <c r="AL13" s="160"/>
      <c r="AM13" s="165"/>
      <c r="AN13" t="s" s="198">
        <v>105</v>
      </c>
      <c r="AO13" s="10"/>
      <c r="AP13" s="12"/>
      <c r="AQ13" s="12"/>
      <c r="AR13" s="12"/>
      <c r="AS13" s="12"/>
      <c r="AT13" s="12"/>
      <c r="AU13" s="12"/>
      <c r="AV13" s="12"/>
      <c r="AW13" s="12"/>
      <c r="AX13" s="12"/>
      <c r="AY13" s="12"/>
      <c r="AZ13" s="12"/>
      <c r="BA13" s="12"/>
      <c r="BB13" s="12"/>
      <c r="BC13" s="12"/>
      <c r="BD13" s="12"/>
      <c r="BE13" s="12"/>
      <c r="BF13" s="12"/>
      <c r="BG13" s="12"/>
      <c r="BH13" s="12"/>
      <c r="BI13" s="12"/>
      <c r="BJ13" s="12"/>
      <c r="BK13" s="12"/>
      <c r="BL13" s="12"/>
    </row>
    <row r="14" ht="25.5" customHeight="1">
      <c r="A14" s="155" cm="1">
        <f t="array" ref="A14">A13+1</f>
        <v>3</v>
      </c>
      <c r="B14" t="s" s="167">
        <v>106</v>
      </c>
      <c r="C14" t="s" s="156">
        <v>107</v>
      </c>
      <c r="D14" s="165"/>
      <c r="E14" s="164"/>
      <c r="F14" s="163" cm="1">
        <f t="array" ref="F14">IF(AG14="","",I14-H14)</f>
        <v>46343</v>
      </c>
      <c r="G14" s="160"/>
      <c r="H14" s="158">
        <v>7</v>
      </c>
      <c r="I14" s="161" cm="1">
        <f t="array" ref="I14">IF(AG14="","",P14-K14)</f>
        <v>46350</v>
      </c>
      <c r="J14" s="160"/>
      <c r="K14" s="158">
        <v>7</v>
      </c>
      <c r="L14" s="161"/>
      <c r="M14" s="161"/>
      <c r="N14" s="161"/>
      <c r="O14" s="161"/>
      <c r="P14" s="161" cm="1">
        <f t="array" ref="P14">IF(AG14="","",AC14-R14-Q14)</f>
        <v>46357</v>
      </c>
      <c r="Q14" s="162">
        <v>7</v>
      </c>
      <c r="R14" s="162">
        <v>14</v>
      </c>
      <c r="S14" s="161"/>
      <c r="T14" s="161"/>
      <c r="U14" s="161"/>
      <c r="V14" s="161"/>
      <c r="W14" s="161"/>
      <c r="X14" s="161"/>
      <c r="Y14" s="161"/>
      <c r="Z14" s="161"/>
      <c r="AA14" s="161"/>
      <c r="AB14" s="160"/>
      <c r="AC14" s="163">
        <v>46378</v>
      </c>
      <c r="AD14" s="161" cm="1">
        <f t="array" ref="AD14">IF(AG14="","",$AG14-$AF14)</f>
        <v>46378</v>
      </c>
      <c r="AE14" s="160"/>
      <c r="AF14" s="196">
        <v>14</v>
      </c>
      <c r="AG14" s="165">
        <v>46392</v>
      </c>
      <c r="AH14" s="164"/>
      <c r="AI14" s="163"/>
      <c r="AJ14" s="161"/>
      <c r="AK14" s="161"/>
      <c r="AL14" s="160"/>
      <c r="AM14" s="165"/>
      <c r="AN14" s="166"/>
      <c r="AO14" s="10"/>
      <c r="AP14" s="12"/>
      <c r="AQ14" s="12"/>
      <c r="AR14" s="12"/>
      <c r="AS14" s="12"/>
      <c r="AT14" s="12"/>
      <c r="AU14" s="12"/>
      <c r="AV14" s="12"/>
      <c r="AW14" s="12"/>
      <c r="AX14" s="12"/>
      <c r="AY14" s="12"/>
      <c r="AZ14" s="12"/>
      <c r="BA14" s="12"/>
      <c r="BB14" s="12"/>
      <c r="BC14" s="12"/>
      <c r="BD14" s="12"/>
      <c r="BE14" s="12"/>
      <c r="BF14" s="12"/>
      <c r="BG14" s="12"/>
      <c r="BH14" s="12"/>
      <c r="BI14" s="12"/>
      <c r="BJ14" s="12"/>
      <c r="BK14" s="12"/>
      <c r="BL14" s="12"/>
    </row>
    <row r="15" ht="25.5" customHeight="1">
      <c r="A15" s="155" cm="1">
        <f t="array" ref="A15">A14+1</f>
        <v>4</v>
      </c>
      <c r="B15" t="s" s="167">
        <v>108</v>
      </c>
      <c r="C15" t="s" s="156">
        <v>109</v>
      </c>
      <c r="D15" s="165"/>
      <c r="E15" s="164"/>
      <c r="F15" s="163" cm="1">
        <f t="array" ref="F15">IF(AG15="","",I15-H15)</f>
        <v>46346</v>
      </c>
      <c r="G15" s="160"/>
      <c r="H15" s="158">
        <v>7</v>
      </c>
      <c r="I15" s="161" cm="1">
        <f t="array" ref="I15">IF(AG15="","",P15-K15)</f>
        <v>46353</v>
      </c>
      <c r="J15" s="160"/>
      <c r="K15" s="158">
        <v>7</v>
      </c>
      <c r="L15" s="161">
        <v>46302</v>
      </c>
      <c r="M15" s="161"/>
      <c r="N15" s="161"/>
      <c r="O15" s="161"/>
      <c r="P15" s="161" cm="1">
        <f t="array" ref="P15">IF(AG15="","",AC15-R15-Q15)</f>
        <v>46360</v>
      </c>
      <c r="Q15" s="162">
        <v>7</v>
      </c>
      <c r="R15" s="162">
        <v>14</v>
      </c>
      <c r="S15" s="161"/>
      <c r="T15" s="161"/>
      <c r="U15" s="161"/>
      <c r="V15" s="161"/>
      <c r="W15" s="161"/>
      <c r="X15" s="161"/>
      <c r="Y15" s="161"/>
      <c r="Z15" s="161"/>
      <c r="AA15" s="161"/>
      <c r="AB15" s="160"/>
      <c r="AC15" s="163">
        <v>46381</v>
      </c>
      <c r="AD15" s="161" cm="1">
        <f t="array" ref="AD15">IF(AG15="","",$AG15-$AF15)</f>
        <v>46385</v>
      </c>
      <c r="AE15" s="160"/>
      <c r="AF15" s="196">
        <v>14</v>
      </c>
      <c r="AG15" s="165">
        <v>46399</v>
      </c>
      <c r="AH15" s="164"/>
      <c r="AI15" s="163"/>
      <c r="AJ15" s="161"/>
      <c r="AK15" s="161"/>
      <c r="AL15" s="160"/>
      <c r="AM15" s="165"/>
      <c r="AN15" t="s" s="169">
        <v>102</v>
      </c>
      <c r="AO15" s="10"/>
      <c r="AP15" s="12"/>
      <c r="AQ15" s="12"/>
      <c r="AR15" s="12"/>
      <c r="AS15" s="12"/>
      <c r="AT15" s="12"/>
      <c r="AU15" s="12"/>
      <c r="AV15" s="12"/>
      <c r="AW15" s="12"/>
      <c r="AX15" s="12"/>
      <c r="AY15" s="12"/>
      <c r="AZ15" s="12"/>
      <c r="BA15" s="12"/>
      <c r="BB15" s="12"/>
      <c r="BC15" s="12"/>
      <c r="BD15" s="12"/>
      <c r="BE15" s="12"/>
      <c r="BF15" s="12"/>
      <c r="BG15" s="12"/>
      <c r="BH15" s="12"/>
      <c r="BI15" s="12"/>
      <c r="BJ15" s="12"/>
      <c r="BK15" s="12"/>
      <c r="BL15" s="12"/>
    </row>
    <row r="16" ht="25.5" customHeight="1">
      <c r="A16" s="155" cm="1">
        <f t="array" ref="A16">A15+1</f>
        <v>5</v>
      </c>
      <c r="B16" t="s" s="167">
        <v>110</v>
      </c>
      <c r="C16" t="s" s="156">
        <v>111</v>
      </c>
      <c r="D16" s="165"/>
      <c r="E16" s="164"/>
      <c r="F16" s="163" cm="1">
        <f t="array" ref="F16">IF(AG16="","",I16-H16)</f>
        <v>46367</v>
      </c>
      <c r="G16" s="160"/>
      <c r="H16" s="158">
        <v>7</v>
      </c>
      <c r="I16" s="161" cm="1">
        <f t="array" ref="I16">IF(AG16="","",P16-K16)</f>
        <v>46374</v>
      </c>
      <c r="J16" s="160"/>
      <c r="K16" s="158">
        <v>7</v>
      </c>
      <c r="L16" s="161"/>
      <c r="M16" s="161"/>
      <c r="N16" s="161"/>
      <c r="O16" s="161"/>
      <c r="P16" s="161" cm="1">
        <f t="array" ref="P16">IF(AG16="","",AC16-R16-Q16)</f>
        <v>46381</v>
      </c>
      <c r="Q16" s="162">
        <v>7</v>
      </c>
      <c r="R16" s="162">
        <v>14</v>
      </c>
      <c r="S16" s="161"/>
      <c r="T16" s="161"/>
      <c r="U16" s="161"/>
      <c r="V16" s="161"/>
      <c r="W16" s="161"/>
      <c r="X16" s="161"/>
      <c r="Y16" s="161"/>
      <c r="Z16" s="161"/>
      <c r="AA16" s="161"/>
      <c r="AB16" s="160"/>
      <c r="AC16" s="163">
        <v>46402</v>
      </c>
      <c r="AD16" s="161" cm="1">
        <f t="array" ref="AD16">IF(AG16="","",$AG16-$AF16)</f>
        <v>46402</v>
      </c>
      <c r="AE16" s="160"/>
      <c r="AF16" s="196">
        <v>21</v>
      </c>
      <c r="AG16" s="165">
        <v>46423</v>
      </c>
      <c r="AH16" s="164"/>
      <c r="AI16" s="163"/>
      <c r="AJ16" s="161"/>
      <c r="AK16" s="161"/>
      <c r="AL16" s="160"/>
      <c r="AM16" s="165"/>
      <c r="AN16" t="s" s="169">
        <v>112</v>
      </c>
      <c r="AO16" s="10"/>
      <c r="AP16" s="12"/>
      <c r="AQ16" s="12"/>
      <c r="AR16" s="12"/>
      <c r="AS16" s="12"/>
      <c r="AT16" s="12"/>
      <c r="AU16" s="12"/>
      <c r="AV16" s="12"/>
      <c r="AW16" s="12"/>
      <c r="AX16" s="12"/>
      <c r="AY16" s="12"/>
      <c r="AZ16" s="12"/>
      <c r="BA16" s="12"/>
      <c r="BB16" s="12"/>
      <c r="BC16" s="12"/>
      <c r="BD16" s="12"/>
      <c r="BE16" s="12"/>
      <c r="BF16" s="12"/>
      <c r="BG16" s="12"/>
      <c r="BH16" s="12"/>
      <c r="BI16" s="12"/>
      <c r="BJ16" s="12"/>
      <c r="BK16" s="12"/>
      <c r="BL16" s="12"/>
    </row>
    <row r="17" ht="25.5" customHeight="1">
      <c r="A17" s="155" cm="1">
        <f t="array" ref="A17">A16+1</f>
        <v>6</v>
      </c>
      <c r="B17" t="s" s="167">
        <v>113</v>
      </c>
      <c r="C17" t="s" s="156">
        <v>114</v>
      </c>
      <c r="D17" s="165"/>
      <c r="E17" s="164"/>
      <c r="F17" t="str" s="195" cm="1">
        <f t="array" ref="F17">IF(AG17="","",I17-H17)</f>
      </c>
      <c r="G17" s="160"/>
      <c r="H17" s="158"/>
      <c r="I17" t="str" s="159" cm="1">
        <f t="array" ref="I17">IF(AG17="","",P17-K17)</f>
      </c>
      <c r="J17" s="160"/>
      <c r="K17" s="158"/>
      <c r="L17" s="161"/>
      <c r="M17" s="161"/>
      <c r="N17" s="161"/>
      <c r="O17" s="161"/>
      <c r="P17" t="str" s="159" cm="1">
        <f t="array" ref="P17">IF(AG17="","",AC17-R17-Q17)</f>
      </c>
      <c r="Q17" s="162"/>
      <c r="R17" s="162"/>
      <c r="S17" s="161"/>
      <c r="T17" s="161"/>
      <c r="U17" s="161"/>
      <c r="V17" s="161"/>
      <c r="W17" s="161"/>
      <c r="X17" s="161"/>
      <c r="Y17" s="161"/>
      <c r="Z17" s="161"/>
      <c r="AA17" s="161"/>
      <c r="AB17" s="160"/>
      <c r="AC17" s="163"/>
      <c r="AD17" t="str" s="159" cm="1">
        <f t="array" ref="AD17">IF(AG17="","",$AG17-$AF17)</f>
      </c>
      <c r="AE17" s="160"/>
      <c r="AF17" s="196"/>
      <c r="AG17" s="165"/>
      <c r="AH17" s="164"/>
      <c r="AI17" s="163"/>
      <c r="AJ17" s="161"/>
      <c r="AK17" s="161"/>
      <c r="AL17" s="160"/>
      <c r="AM17" s="165"/>
      <c r="AN17" s="166"/>
      <c r="AO17" s="10"/>
      <c r="AP17" s="12"/>
      <c r="AQ17" s="12"/>
      <c r="AR17" s="12"/>
      <c r="AS17" s="12"/>
      <c r="AT17" s="12"/>
      <c r="AU17" s="12"/>
      <c r="AV17" s="12"/>
      <c r="AW17" s="12"/>
      <c r="AX17" s="12"/>
      <c r="AY17" s="12"/>
      <c r="AZ17" s="12"/>
      <c r="BA17" s="12"/>
      <c r="BB17" s="12"/>
      <c r="BC17" s="12"/>
      <c r="BD17" s="12"/>
      <c r="BE17" s="12"/>
      <c r="BF17" s="12"/>
      <c r="BG17" s="12"/>
      <c r="BH17" s="12"/>
      <c r="BI17" s="12"/>
      <c r="BJ17" s="12"/>
      <c r="BK17" s="12"/>
      <c r="BL17" s="12"/>
    </row>
    <row r="18" ht="25.5" customHeight="1">
      <c r="A18" s="155" cm="1">
        <f t="array" ref="A18">A17+1</f>
        <v>7</v>
      </c>
      <c r="B18" s="151"/>
      <c r="C18" t="s" s="156">
        <v>115</v>
      </c>
      <c r="D18" s="165"/>
      <c r="E18" s="164"/>
      <c r="F18" t="str" s="195" cm="1">
        <f t="array" ref="F18">IF(AG18="","",I18-H18)</f>
      </c>
      <c r="G18" s="160"/>
      <c r="H18" s="158"/>
      <c r="I18" t="str" s="159" cm="1">
        <f t="array" ref="I18">IF(AG18="","",P18-K18)</f>
      </c>
      <c r="J18" s="160"/>
      <c r="K18" s="158"/>
      <c r="L18" s="161"/>
      <c r="M18" s="161"/>
      <c r="N18" s="161"/>
      <c r="O18" s="161"/>
      <c r="P18" t="str" s="159" cm="1">
        <f t="array" ref="P18">IF(AG18="","",AC18-R18-Q18)</f>
      </c>
      <c r="Q18" s="162"/>
      <c r="R18" s="162"/>
      <c r="S18" s="161"/>
      <c r="T18" s="161"/>
      <c r="U18" s="161"/>
      <c r="V18" s="161"/>
      <c r="W18" s="161"/>
      <c r="X18" s="161"/>
      <c r="Y18" s="161"/>
      <c r="Z18" s="161"/>
      <c r="AA18" s="161"/>
      <c r="AB18" s="160"/>
      <c r="AC18" s="163"/>
      <c r="AD18" t="str" s="159" cm="1">
        <f t="array" ref="AD18">IF(AG18="","",$AG18-$AF18)</f>
      </c>
      <c r="AE18" s="160"/>
      <c r="AF18" s="196"/>
      <c r="AG18" s="165"/>
      <c r="AH18" s="164"/>
      <c r="AI18" s="163"/>
      <c r="AJ18" s="161"/>
      <c r="AK18" s="161"/>
      <c r="AL18" s="160"/>
      <c r="AM18" s="165"/>
      <c r="AN18" s="166"/>
      <c r="AO18" s="10"/>
      <c r="AP18" s="12"/>
      <c r="AQ18" s="12"/>
      <c r="AR18" s="12"/>
      <c r="AS18" s="12"/>
      <c r="AT18" s="12"/>
      <c r="AU18" s="12"/>
      <c r="AV18" s="12"/>
      <c r="AW18" s="12"/>
      <c r="AX18" s="12"/>
      <c r="AY18" s="12"/>
      <c r="AZ18" s="12"/>
      <c r="BA18" s="12"/>
      <c r="BB18" s="12"/>
      <c r="BC18" s="12"/>
      <c r="BD18" s="12"/>
      <c r="BE18" s="12"/>
      <c r="BF18" s="12"/>
      <c r="BG18" s="12"/>
      <c r="BH18" s="12"/>
      <c r="BI18" s="12"/>
      <c r="BJ18" s="12"/>
      <c r="BK18" s="12"/>
      <c r="BL18" s="12"/>
    </row>
    <row r="19" ht="25.5" customHeight="1">
      <c r="A19" s="155" cm="1">
        <f t="array" ref="A19">A18+1</f>
        <v>8</v>
      </c>
      <c r="B19" t="s" s="167">
        <v>116</v>
      </c>
      <c r="C19" t="s" s="156">
        <v>117</v>
      </c>
      <c r="D19" s="165"/>
      <c r="E19" s="164"/>
      <c r="F19" s="163" cm="1">
        <f t="array" ref="F19">IF(AG19="","",I19-H19)</f>
        <v>46275</v>
      </c>
      <c r="G19" s="160">
        <v>46301</v>
      </c>
      <c r="H19" s="158">
        <v>7</v>
      </c>
      <c r="I19" s="161" cm="1">
        <f t="array" ref="I19">IF(AG19="","",P19-K19)</f>
        <v>46282</v>
      </c>
      <c r="J19" s="160">
        <v>46302</v>
      </c>
      <c r="K19" s="158">
        <v>7</v>
      </c>
      <c r="L19" s="161">
        <v>46302</v>
      </c>
      <c r="M19" s="161"/>
      <c r="N19" s="161"/>
      <c r="O19" s="161"/>
      <c r="P19" s="161" cm="1">
        <f t="array" ref="P19">IF(AG19="","",AC19-R19-Q19)</f>
        <v>46289</v>
      </c>
      <c r="Q19" s="162">
        <v>7</v>
      </c>
      <c r="R19" s="162">
        <v>14</v>
      </c>
      <c r="S19" s="161"/>
      <c r="T19" s="161"/>
      <c r="U19" s="161"/>
      <c r="V19" s="161"/>
      <c r="W19" s="161"/>
      <c r="X19" s="161"/>
      <c r="Y19" s="161"/>
      <c r="Z19" s="161"/>
      <c r="AA19" s="161"/>
      <c r="AB19" s="160"/>
      <c r="AC19" s="163">
        <v>46310</v>
      </c>
      <c r="AD19" s="161" cm="1">
        <f t="array" ref="AD19">IF(AG19="","",$AG19-$AF19)</f>
        <v>46310</v>
      </c>
      <c r="AE19" s="160"/>
      <c r="AF19" s="196">
        <v>60</v>
      </c>
      <c r="AG19" s="165">
        <v>46370</v>
      </c>
      <c r="AH19" s="164"/>
      <c r="AI19" s="163"/>
      <c r="AJ19" s="161"/>
      <c r="AK19" s="161"/>
      <c r="AL19" s="160"/>
      <c r="AM19" s="165"/>
      <c r="AN19" t="s" s="198">
        <v>118</v>
      </c>
      <c r="AO19" s="10"/>
      <c r="AP19" s="12"/>
      <c r="AQ19" s="12"/>
      <c r="AR19" s="12"/>
      <c r="AS19" s="12"/>
      <c r="AT19" s="12"/>
      <c r="AU19" s="12"/>
      <c r="AV19" s="12"/>
      <c r="AW19" s="12"/>
      <c r="AX19" s="12"/>
      <c r="AY19" s="12"/>
      <c r="AZ19" s="12"/>
      <c r="BA19" s="12"/>
      <c r="BB19" s="12"/>
      <c r="BC19" s="12"/>
      <c r="BD19" s="12"/>
      <c r="BE19" s="12"/>
      <c r="BF19" s="12"/>
      <c r="BG19" s="12"/>
      <c r="BH19" s="12"/>
      <c r="BI19" s="12"/>
      <c r="BJ19" s="12"/>
      <c r="BK19" s="12"/>
      <c r="BL19" s="12"/>
    </row>
    <row r="20" ht="25.5" customHeight="1">
      <c r="A20" s="155" cm="1">
        <f t="array" ref="A20">A19+1</f>
        <v>9</v>
      </c>
      <c r="B20" t="s" s="167">
        <v>119</v>
      </c>
      <c r="C20" t="s" s="197">
        <v>120</v>
      </c>
      <c r="D20" s="165"/>
      <c r="E20" s="164"/>
      <c r="F20" t="str" s="195" cm="1">
        <f t="array" ref="F20">IF(AG20="","",I20-H20)</f>
      </c>
      <c r="G20" s="160"/>
      <c r="H20" s="158"/>
      <c r="I20" t="str" s="159" cm="1">
        <f t="array" ref="I20">IF(AG20="","",P20-K20)</f>
      </c>
      <c r="J20" s="160"/>
      <c r="K20" s="158"/>
      <c r="L20" s="161"/>
      <c r="M20" s="161"/>
      <c r="N20" s="161"/>
      <c r="O20" s="161"/>
      <c r="P20" t="str" s="159" cm="1">
        <f t="array" ref="P20">IF(AG20="","",AC20-R20-Q20)</f>
      </c>
      <c r="Q20" s="162"/>
      <c r="R20" s="162"/>
      <c r="S20" s="161"/>
      <c r="T20" s="161"/>
      <c r="U20" s="161"/>
      <c r="V20" s="161"/>
      <c r="W20" s="161"/>
      <c r="X20" s="161"/>
      <c r="Y20" s="161"/>
      <c r="Z20" s="161"/>
      <c r="AA20" s="161"/>
      <c r="AB20" s="160"/>
      <c r="AC20" s="163"/>
      <c r="AD20" t="str" s="159" cm="1">
        <f t="array" ref="AD20">IF(AG20="","",$AG20-$AF20)</f>
      </c>
      <c r="AE20" s="160"/>
      <c r="AF20" s="196"/>
      <c r="AG20" s="165"/>
      <c r="AH20" s="164"/>
      <c r="AI20" s="163"/>
      <c r="AJ20" s="161"/>
      <c r="AK20" s="161"/>
      <c r="AL20" s="160"/>
      <c r="AM20" s="165"/>
      <c r="AN20" t="s" s="198">
        <v>121</v>
      </c>
      <c r="AO20" s="10"/>
      <c r="AP20" s="12"/>
      <c r="AQ20" s="12"/>
      <c r="AR20" s="12"/>
      <c r="AS20" s="12"/>
      <c r="AT20" s="12"/>
      <c r="AU20" s="12"/>
      <c r="AV20" s="12"/>
      <c r="AW20" s="12"/>
      <c r="AX20" s="12"/>
      <c r="AY20" s="12"/>
      <c r="AZ20" s="12"/>
      <c r="BA20" s="12"/>
      <c r="BB20" s="12"/>
      <c r="BC20" s="12"/>
      <c r="BD20" s="12"/>
      <c r="BE20" s="12"/>
      <c r="BF20" s="12"/>
      <c r="BG20" s="12"/>
      <c r="BH20" s="12"/>
      <c r="BI20" s="12"/>
      <c r="BJ20" s="12"/>
      <c r="BK20" s="12"/>
      <c r="BL20" s="12"/>
    </row>
    <row r="21" ht="25.5" customHeight="1">
      <c r="A21" s="155" cm="1">
        <f t="array" ref="A21">A20+1</f>
        <v>10</v>
      </c>
      <c r="B21" t="s" s="167">
        <v>122</v>
      </c>
      <c r="C21" t="s" s="197">
        <v>123</v>
      </c>
      <c r="D21" s="165"/>
      <c r="E21" s="164"/>
      <c r="F21" s="163" cm="1">
        <f t="array" ref="F21">IF(AG21="","",I21-H21)</f>
        <v>46275</v>
      </c>
      <c r="G21" s="160">
        <v>46290</v>
      </c>
      <c r="H21" s="158">
        <v>7</v>
      </c>
      <c r="I21" s="161" cm="1">
        <f t="array" ref="I21">IF(AG21="","",P21-K21)</f>
        <v>46282</v>
      </c>
      <c r="J21" s="160">
        <v>46290</v>
      </c>
      <c r="K21" s="158">
        <v>7</v>
      </c>
      <c r="L21" s="161">
        <v>46293</v>
      </c>
      <c r="M21" s="161"/>
      <c r="N21" s="161">
        <v>46297</v>
      </c>
      <c r="O21" s="161">
        <v>46304</v>
      </c>
      <c r="P21" s="161" cm="1">
        <f t="array" ref="P21">IF(AG21="","",AC21-R21-Q21)</f>
        <v>46289</v>
      </c>
      <c r="Q21" s="162">
        <v>7</v>
      </c>
      <c r="R21" s="162">
        <v>14</v>
      </c>
      <c r="S21" s="161"/>
      <c r="T21" s="161"/>
      <c r="U21" s="161"/>
      <c r="V21" s="161"/>
      <c r="W21" s="161"/>
      <c r="X21" s="161"/>
      <c r="Y21" s="161"/>
      <c r="Z21" s="161"/>
      <c r="AA21" s="161"/>
      <c r="AB21" s="160"/>
      <c r="AC21" s="163">
        <v>46310</v>
      </c>
      <c r="AD21" s="161" cm="1">
        <f t="array" ref="AD21">IF(AG21="","",$AG21-$AF21)</f>
        <v>46310</v>
      </c>
      <c r="AE21" s="160"/>
      <c r="AF21" s="196">
        <v>60</v>
      </c>
      <c r="AG21" s="165">
        <v>46370</v>
      </c>
      <c r="AH21" s="164"/>
      <c r="AI21" s="163"/>
      <c r="AJ21" s="161"/>
      <c r="AK21" s="161"/>
      <c r="AL21" s="160"/>
      <c r="AM21" s="165"/>
      <c r="AN21" t="s" s="198">
        <v>124</v>
      </c>
      <c r="AO21" s="10"/>
      <c r="AP21" s="12"/>
      <c r="AQ21" s="12"/>
      <c r="AR21" s="12"/>
      <c r="AS21" s="12"/>
      <c r="AT21" s="12"/>
      <c r="AU21" s="12"/>
      <c r="AV21" s="12"/>
      <c r="AW21" s="12"/>
      <c r="AX21" s="12"/>
      <c r="AY21" s="12"/>
      <c r="AZ21" s="12"/>
      <c r="BA21" s="12"/>
      <c r="BB21" s="12"/>
      <c r="BC21" s="12"/>
      <c r="BD21" s="12"/>
      <c r="BE21" s="12"/>
      <c r="BF21" s="12"/>
      <c r="BG21" s="12"/>
      <c r="BH21" s="12"/>
      <c r="BI21" s="12"/>
      <c r="BJ21" s="12"/>
      <c r="BK21" s="12"/>
      <c r="BL21" s="12"/>
    </row>
    <row r="22" ht="25.5" customHeight="1">
      <c r="A22" s="155" cm="1">
        <f t="array" ref="A22">A21+1</f>
        <v>11</v>
      </c>
      <c r="B22" t="s" s="167">
        <v>125</v>
      </c>
      <c r="C22" t="s" s="199">
        <v>126</v>
      </c>
      <c r="D22" s="165"/>
      <c r="E22" s="164"/>
      <c r="F22" t="str" s="195" cm="1">
        <f t="array" ref="F22">IF(AG22="","",I22-H22)</f>
      </c>
      <c r="G22" s="160"/>
      <c r="H22" s="158"/>
      <c r="I22" t="str" s="159" cm="1">
        <f t="array" ref="I22">IF(AG22="","",P22-K22)</f>
      </c>
      <c r="J22" s="160"/>
      <c r="K22" s="158"/>
      <c r="L22" s="161"/>
      <c r="M22" s="161"/>
      <c r="N22" s="161"/>
      <c r="O22" s="161"/>
      <c r="P22" t="str" s="159" cm="1">
        <f t="array" ref="P22">IF(AG22="","",AC22-R22-Q22)</f>
      </c>
      <c r="Q22" s="162"/>
      <c r="R22" s="162"/>
      <c r="S22" s="161"/>
      <c r="T22" s="161"/>
      <c r="U22" s="161"/>
      <c r="V22" s="161"/>
      <c r="W22" s="161"/>
      <c r="X22" s="161"/>
      <c r="Y22" s="161"/>
      <c r="Z22" s="161"/>
      <c r="AA22" s="161"/>
      <c r="AB22" s="160"/>
      <c r="AC22" s="163"/>
      <c r="AD22" t="str" s="159" cm="1">
        <f t="array" ref="AD22">IF(AG22="","",$AG22-$AF22)</f>
      </c>
      <c r="AE22" s="160"/>
      <c r="AF22" s="196"/>
      <c r="AG22" s="165"/>
      <c r="AH22" s="164"/>
      <c r="AI22" s="163"/>
      <c r="AJ22" s="161"/>
      <c r="AK22" s="161"/>
      <c r="AL22" s="160"/>
      <c r="AM22" s="165"/>
      <c r="AN22" t="s" s="169">
        <v>127</v>
      </c>
      <c r="AO22" s="10"/>
      <c r="AP22" s="12"/>
      <c r="AQ22" s="12"/>
      <c r="AR22" s="12"/>
      <c r="AS22" s="12"/>
      <c r="AT22" s="12"/>
      <c r="AU22" s="12"/>
      <c r="AV22" s="12"/>
      <c r="AW22" s="12"/>
      <c r="AX22" s="12"/>
      <c r="AY22" s="12"/>
      <c r="AZ22" s="12"/>
      <c r="BA22" s="12"/>
      <c r="BB22" s="12"/>
      <c r="BC22" s="12"/>
      <c r="BD22" s="12"/>
      <c r="BE22" s="12"/>
      <c r="BF22" s="12"/>
      <c r="BG22" s="12"/>
      <c r="BH22" s="12"/>
      <c r="BI22" s="12"/>
      <c r="BJ22" s="12"/>
      <c r="BK22" s="12"/>
      <c r="BL22" s="12"/>
    </row>
    <row r="23" ht="25.5" customHeight="1">
      <c r="A23" s="155" cm="1">
        <f t="array" ref="A23">A22+1</f>
        <v>12</v>
      </c>
      <c r="B23" s="151"/>
      <c r="C23" t="s" s="156">
        <v>128</v>
      </c>
      <c r="D23" s="165"/>
      <c r="E23" s="164"/>
      <c r="F23" t="str" s="195" cm="1">
        <f t="array" ref="F23">IF(AG23="","",I23-H23)</f>
      </c>
      <c r="G23" s="160"/>
      <c r="H23" s="158"/>
      <c r="I23" t="str" s="159" cm="1">
        <f t="array" ref="I23">IF(AG23="","",P23-K23)</f>
      </c>
      <c r="J23" s="160"/>
      <c r="K23" s="158"/>
      <c r="L23" s="161"/>
      <c r="M23" s="161"/>
      <c r="N23" s="161"/>
      <c r="O23" s="161"/>
      <c r="P23" t="str" s="159" cm="1">
        <f t="array" ref="P23">IF(AG23="","",AC23-R23-Q23)</f>
      </c>
      <c r="Q23" s="162"/>
      <c r="R23" s="162"/>
      <c r="S23" s="161"/>
      <c r="T23" s="161"/>
      <c r="U23" s="161"/>
      <c r="V23" s="161"/>
      <c r="W23" s="161"/>
      <c r="X23" s="161"/>
      <c r="Y23" s="161"/>
      <c r="Z23" s="161"/>
      <c r="AA23" s="161"/>
      <c r="AB23" s="160"/>
      <c r="AC23" s="163"/>
      <c r="AD23" t="str" s="159" cm="1">
        <f t="array" ref="AD23">IF(AG23="","",$AG23-$AF23)</f>
      </c>
      <c r="AE23" s="160"/>
      <c r="AF23" s="196"/>
      <c r="AG23" s="165"/>
      <c r="AH23" s="164"/>
      <c r="AI23" s="163"/>
      <c r="AJ23" s="161"/>
      <c r="AK23" s="161"/>
      <c r="AL23" s="160"/>
      <c r="AM23" s="165"/>
      <c r="AN23" s="166"/>
      <c r="AO23" s="10"/>
      <c r="AP23" s="12"/>
      <c r="AQ23" s="12"/>
      <c r="AR23" s="12"/>
      <c r="AS23" s="12"/>
      <c r="AT23" s="12"/>
      <c r="AU23" s="12"/>
      <c r="AV23" s="12"/>
      <c r="AW23" s="12"/>
      <c r="AX23" s="12"/>
      <c r="AY23" s="12"/>
      <c r="AZ23" s="12"/>
      <c r="BA23" s="12"/>
      <c r="BB23" s="12"/>
      <c r="BC23" s="12"/>
      <c r="BD23" s="12"/>
      <c r="BE23" s="12"/>
      <c r="BF23" s="12"/>
      <c r="BG23" s="12"/>
      <c r="BH23" s="12"/>
      <c r="BI23" s="12"/>
      <c r="BJ23" s="12"/>
      <c r="BK23" s="12"/>
      <c r="BL23" s="12"/>
    </row>
    <row r="24" ht="25.5" customHeight="1">
      <c r="A24" s="155" cm="1">
        <f t="array" ref="A24">A23+1</f>
        <v>13</v>
      </c>
      <c r="B24" t="s" s="167">
        <v>129</v>
      </c>
      <c r="C24" t="s" s="197">
        <v>130</v>
      </c>
      <c r="D24" s="165"/>
      <c r="E24" s="164"/>
      <c r="F24" s="163" cm="1">
        <f t="array" ref="F24">IF(AG24="","",I24-H24)</f>
        <v>46269</v>
      </c>
      <c r="G24" s="160">
        <v>46282</v>
      </c>
      <c r="H24" s="158">
        <v>7</v>
      </c>
      <c r="I24" s="161" cm="1">
        <f t="array" ref="I24">IF(AG24="","",P24-K24)</f>
        <v>46276</v>
      </c>
      <c r="J24" s="160">
        <v>46289</v>
      </c>
      <c r="K24" s="158">
        <v>7</v>
      </c>
      <c r="L24" s="161">
        <v>46293</v>
      </c>
      <c r="M24" s="161"/>
      <c r="N24" s="161">
        <v>46297</v>
      </c>
      <c r="O24" s="161">
        <v>46304</v>
      </c>
      <c r="P24" s="161" cm="1">
        <f t="array" ref="P24">IF(AG24="","",AC24-R24-Q24)</f>
        <v>46283</v>
      </c>
      <c r="Q24" s="162">
        <v>7</v>
      </c>
      <c r="R24" s="162">
        <v>7</v>
      </c>
      <c r="S24" s="161"/>
      <c r="T24" s="161"/>
      <c r="U24" s="161"/>
      <c r="V24" s="161"/>
      <c r="W24" s="161"/>
      <c r="X24" s="161"/>
      <c r="Y24" s="161"/>
      <c r="Z24" s="161"/>
      <c r="AA24" s="161"/>
      <c r="AB24" s="160"/>
      <c r="AC24" s="163">
        <v>46297</v>
      </c>
      <c r="AD24" s="161" cm="1">
        <f t="array" ref="AD24">IF(AG24="","",$AG24-$AF24)</f>
        <v>46299</v>
      </c>
      <c r="AE24" s="160"/>
      <c r="AF24" s="196">
        <v>80</v>
      </c>
      <c r="AG24" s="165">
        <v>46379</v>
      </c>
      <c r="AH24" s="164"/>
      <c r="AI24" s="163"/>
      <c r="AJ24" s="161"/>
      <c r="AK24" s="161"/>
      <c r="AL24" s="160"/>
      <c r="AM24" s="165"/>
      <c r="AN24" t="s" s="198">
        <v>131</v>
      </c>
      <c r="AO24" s="10"/>
      <c r="AP24" s="12"/>
      <c r="AQ24" s="12"/>
      <c r="AR24" s="12"/>
      <c r="AS24" s="12"/>
      <c r="AT24" s="12"/>
      <c r="AU24" s="12"/>
      <c r="AV24" s="12"/>
      <c r="AW24" s="12"/>
      <c r="AX24" s="12"/>
      <c r="AY24" s="12"/>
      <c r="AZ24" s="12"/>
      <c r="BA24" s="12"/>
      <c r="BB24" s="12"/>
      <c r="BC24" s="12"/>
      <c r="BD24" s="12"/>
      <c r="BE24" s="12"/>
      <c r="BF24" s="12"/>
      <c r="BG24" s="12"/>
      <c r="BH24" s="12"/>
      <c r="BI24" s="12"/>
      <c r="BJ24" s="12"/>
      <c r="BK24" s="12"/>
      <c r="BL24" s="12"/>
    </row>
    <row r="25" ht="25.5" customHeight="1">
      <c r="A25" s="155" cm="1">
        <f t="array" ref="A25">A24+1</f>
        <v>14</v>
      </c>
      <c r="B25" s="151"/>
      <c r="C25" t="s" s="156">
        <v>132</v>
      </c>
      <c r="D25" s="165"/>
      <c r="E25" s="164"/>
      <c r="F25" t="str" s="195" cm="1">
        <f t="array" ref="F25">IF(AG25="","",I25-H25)</f>
      </c>
      <c r="G25" s="160"/>
      <c r="H25" s="158"/>
      <c r="I25" t="str" s="159" cm="1">
        <f t="array" ref="I25">IF(AG25="","",P25-K25)</f>
      </c>
      <c r="J25" s="160"/>
      <c r="K25" s="158"/>
      <c r="L25" s="161"/>
      <c r="M25" s="161"/>
      <c r="N25" s="161"/>
      <c r="O25" s="161"/>
      <c r="P25" t="str" s="159" cm="1">
        <f t="array" ref="P25">IF(AG25="","",AC25-R25-Q25)</f>
      </c>
      <c r="Q25" s="162"/>
      <c r="R25" s="162"/>
      <c r="S25" s="161"/>
      <c r="T25" s="161"/>
      <c r="U25" s="161"/>
      <c r="V25" s="161"/>
      <c r="W25" s="161"/>
      <c r="X25" s="161"/>
      <c r="Y25" s="161"/>
      <c r="Z25" s="161"/>
      <c r="AA25" s="161"/>
      <c r="AB25" s="160"/>
      <c r="AC25" s="163"/>
      <c r="AD25" t="str" s="159" cm="1">
        <f t="array" ref="AD25">IF(AG25="","",$AG25-$AF25)</f>
      </c>
      <c r="AE25" s="160"/>
      <c r="AF25" s="196"/>
      <c r="AG25" s="165"/>
      <c r="AH25" s="164"/>
      <c r="AI25" s="163"/>
      <c r="AJ25" s="161"/>
      <c r="AK25" s="161"/>
      <c r="AL25" s="160"/>
      <c r="AM25" s="165"/>
      <c r="AN25" s="200"/>
      <c r="AO25" s="10"/>
      <c r="AP25" s="12"/>
      <c r="AQ25" s="12"/>
      <c r="AR25" s="12"/>
      <c r="AS25" s="12"/>
      <c r="AT25" s="12"/>
      <c r="AU25" s="12"/>
      <c r="AV25" s="12"/>
      <c r="AW25" s="12"/>
      <c r="AX25" s="12"/>
      <c r="AY25" s="12"/>
      <c r="AZ25" s="12"/>
      <c r="BA25" s="12"/>
      <c r="BB25" s="12"/>
      <c r="BC25" s="12"/>
      <c r="BD25" s="12"/>
      <c r="BE25" s="12"/>
      <c r="BF25" s="12"/>
      <c r="BG25" s="12"/>
      <c r="BH25" s="12"/>
      <c r="BI25" s="12"/>
      <c r="BJ25" s="12"/>
      <c r="BK25" s="12"/>
      <c r="BL25" s="12"/>
    </row>
    <row r="26" ht="25.5" customHeight="1">
      <c r="A26" s="155" cm="1">
        <f t="array" ref="A26">A25+1</f>
        <v>15</v>
      </c>
      <c r="B26" t="s" s="167">
        <v>133</v>
      </c>
      <c r="C26" t="s" s="197">
        <v>134</v>
      </c>
      <c r="D26" s="165"/>
      <c r="E26" s="164"/>
      <c r="F26" s="163" cm="1">
        <f t="array" ref="F26">IF(AG26="","",I26-H26)</f>
        <v>46293</v>
      </c>
      <c r="G26" s="160">
        <v>46300</v>
      </c>
      <c r="H26" s="158">
        <v>7</v>
      </c>
      <c r="I26" s="161" cm="1">
        <f t="array" ref="I26">IF(AG26="","",P26-K26)</f>
        <v>46300</v>
      </c>
      <c r="J26" s="160">
        <v>46302</v>
      </c>
      <c r="K26" s="158">
        <v>7</v>
      </c>
      <c r="L26" s="161">
        <v>46301</v>
      </c>
      <c r="M26" s="161"/>
      <c r="N26" s="161"/>
      <c r="O26" s="161"/>
      <c r="P26" s="161" cm="1">
        <f t="array" ref="P26">IF(AG26="","",AC26-R26-Q26)</f>
        <v>46307</v>
      </c>
      <c r="Q26" s="162">
        <v>7</v>
      </c>
      <c r="R26" s="162">
        <v>14</v>
      </c>
      <c r="S26" s="161"/>
      <c r="T26" s="161"/>
      <c r="U26" s="161"/>
      <c r="V26" s="161"/>
      <c r="W26" s="161"/>
      <c r="X26" s="161"/>
      <c r="Y26" s="161"/>
      <c r="Z26" s="161"/>
      <c r="AA26" s="161"/>
      <c r="AB26" s="160"/>
      <c r="AC26" s="163">
        <v>46328</v>
      </c>
      <c r="AD26" s="161" cm="1">
        <f t="array" ref="AD26">IF(AG26="","",$AG26-$AF26)</f>
        <v>46329</v>
      </c>
      <c r="AE26" s="160"/>
      <c r="AF26" s="196">
        <v>90</v>
      </c>
      <c r="AG26" s="165">
        <v>46419</v>
      </c>
      <c r="AH26" s="164"/>
      <c r="AI26" s="163"/>
      <c r="AJ26" s="161"/>
      <c r="AK26" s="161"/>
      <c r="AL26" s="160"/>
      <c r="AM26" s="165"/>
      <c r="AN26" t="s" s="198">
        <v>135</v>
      </c>
      <c r="AO26" s="10"/>
      <c r="AP26" s="12"/>
      <c r="AQ26" s="12"/>
      <c r="AR26" s="12"/>
      <c r="AS26" s="12"/>
      <c r="AT26" s="12"/>
      <c r="AU26" s="12"/>
      <c r="AV26" s="12"/>
      <c r="AW26" s="12"/>
      <c r="AX26" s="12"/>
      <c r="AY26" s="12"/>
      <c r="AZ26" s="12"/>
      <c r="BA26" s="12"/>
      <c r="BB26" s="12"/>
      <c r="BC26" s="12"/>
      <c r="BD26" s="12"/>
      <c r="BE26" s="12"/>
      <c r="BF26" s="12"/>
      <c r="BG26" s="12"/>
      <c r="BH26" s="12"/>
      <c r="BI26" s="12"/>
      <c r="BJ26" s="12"/>
      <c r="BK26" s="12"/>
      <c r="BL26" s="12"/>
    </row>
    <row r="27" ht="25.5" customHeight="1">
      <c r="A27" s="155" cm="1">
        <f t="array" ref="A27">A26+1</f>
        <v>16</v>
      </c>
      <c r="B27" t="s" s="167">
        <v>136</v>
      </c>
      <c r="C27" t="s" s="156">
        <v>137</v>
      </c>
      <c r="D27" s="165"/>
      <c r="E27" s="164"/>
      <c r="F27" s="163" cm="1">
        <f t="array" ref="F27">IF(AG27="","",I27-H27)</f>
        <v>46346</v>
      </c>
      <c r="G27" s="160"/>
      <c r="H27" s="158">
        <v>7</v>
      </c>
      <c r="I27" s="161" cm="1">
        <f t="array" ref="I27">IF(AG27="","",P27-K27)</f>
        <v>46353</v>
      </c>
      <c r="J27" s="160"/>
      <c r="K27" s="158">
        <v>7</v>
      </c>
      <c r="L27" s="161"/>
      <c r="M27" s="161"/>
      <c r="N27" s="161"/>
      <c r="O27" s="161"/>
      <c r="P27" s="161" cm="1">
        <f t="array" ref="P27">IF(AG27="","",AC27-R27-Q27)</f>
        <v>46360</v>
      </c>
      <c r="Q27" s="162">
        <v>7</v>
      </c>
      <c r="R27" s="162">
        <v>14</v>
      </c>
      <c r="S27" s="161"/>
      <c r="T27" s="161"/>
      <c r="U27" s="161"/>
      <c r="V27" s="161"/>
      <c r="W27" s="161"/>
      <c r="X27" s="161"/>
      <c r="Y27" s="161"/>
      <c r="Z27" s="161"/>
      <c r="AA27" s="161"/>
      <c r="AB27" s="160"/>
      <c r="AC27" s="163">
        <v>46381</v>
      </c>
      <c r="AD27" s="161" cm="1">
        <f t="array" ref="AD27">IF(AG27="","",$AG27-$AF27)</f>
        <v>46389</v>
      </c>
      <c r="AE27" s="160"/>
      <c r="AF27" s="196">
        <v>30</v>
      </c>
      <c r="AG27" s="165">
        <v>46419</v>
      </c>
      <c r="AH27" s="164"/>
      <c r="AI27" s="163"/>
      <c r="AJ27" s="161"/>
      <c r="AK27" s="161"/>
      <c r="AL27" s="160"/>
      <c r="AM27" s="165"/>
      <c r="AN27" t="s" s="169">
        <v>138</v>
      </c>
      <c r="AO27" s="10"/>
      <c r="AP27" s="12"/>
      <c r="AQ27" s="12"/>
      <c r="AR27" s="12"/>
      <c r="AS27" s="12"/>
      <c r="AT27" s="12"/>
      <c r="AU27" s="12"/>
      <c r="AV27" s="12"/>
      <c r="AW27" s="12"/>
      <c r="AX27" s="12"/>
      <c r="AY27" s="12"/>
      <c r="AZ27" s="12"/>
      <c r="BA27" s="12"/>
      <c r="BB27" s="12"/>
      <c r="BC27" s="12"/>
      <c r="BD27" s="12"/>
      <c r="BE27" s="12"/>
      <c r="BF27" s="12"/>
      <c r="BG27" s="12"/>
      <c r="BH27" s="12"/>
      <c r="BI27" s="12"/>
      <c r="BJ27" s="12"/>
      <c r="BK27" s="12"/>
      <c r="BL27" s="12"/>
    </row>
    <row r="28" ht="25.5" customHeight="1">
      <c r="A28" s="155" cm="1">
        <f t="array" ref="A28">A27+1</f>
        <v>17</v>
      </c>
      <c r="B28" t="s" s="167">
        <v>139</v>
      </c>
      <c r="C28" t="s" s="156">
        <v>140</v>
      </c>
      <c r="D28" s="165"/>
      <c r="E28" s="164"/>
      <c r="F28" s="163" cm="1">
        <f t="array" ref="F28">IF(AG28="","",I28-H28)</f>
        <v>46346</v>
      </c>
      <c r="G28" s="160"/>
      <c r="H28" s="158">
        <v>7</v>
      </c>
      <c r="I28" s="161" cm="1">
        <f t="array" ref="I28">IF(AG28="","",P28-K28)</f>
        <v>46353</v>
      </c>
      <c r="J28" s="160"/>
      <c r="K28" s="158">
        <v>7</v>
      </c>
      <c r="L28" s="161"/>
      <c r="M28" s="161"/>
      <c r="N28" s="161"/>
      <c r="O28" s="161"/>
      <c r="P28" s="161" cm="1">
        <f t="array" ref="P28">IF(AG28="","",AC28-R28-Q28)</f>
        <v>46360</v>
      </c>
      <c r="Q28" s="162">
        <v>7</v>
      </c>
      <c r="R28" s="162">
        <v>14</v>
      </c>
      <c r="S28" s="161"/>
      <c r="T28" s="161"/>
      <c r="U28" s="161"/>
      <c r="V28" s="161"/>
      <c r="W28" s="161"/>
      <c r="X28" s="161"/>
      <c r="Y28" s="161"/>
      <c r="Z28" s="161"/>
      <c r="AA28" s="161"/>
      <c r="AB28" s="160"/>
      <c r="AC28" s="163">
        <v>46381</v>
      </c>
      <c r="AD28" s="161" cm="1">
        <f t="array" ref="AD28">IF(AG28="","",$AG28-$AF28)</f>
        <v>46389</v>
      </c>
      <c r="AE28" s="160"/>
      <c r="AF28" s="196">
        <v>30</v>
      </c>
      <c r="AG28" s="165">
        <v>46419</v>
      </c>
      <c r="AH28" s="164"/>
      <c r="AI28" s="163"/>
      <c r="AJ28" s="161"/>
      <c r="AK28" s="161"/>
      <c r="AL28" s="160"/>
      <c r="AM28" s="165"/>
      <c r="AN28" t="s" s="169">
        <v>138</v>
      </c>
      <c r="AO28" s="10"/>
      <c r="AP28" s="12"/>
      <c r="AQ28" s="12"/>
      <c r="AR28" s="12"/>
      <c r="AS28" s="12"/>
      <c r="AT28" s="12"/>
      <c r="AU28" s="12"/>
      <c r="AV28" s="12"/>
      <c r="AW28" s="12"/>
      <c r="AX28" s="12"/>
      <c r="AY28" s="12"/>
      <c r="AZ28" s="12"/>
      <c r="BA28" s="12"/>
      <c r="BB28" s="12"/>
      <c r="BC28" s="12"/>
      <c r="BD28" s="12"/>
      <c r="BE28" s="12"/>
      <c r="BF28" s="12"/>
      <c r="BG28" s="12"/>
      <c r="BH28" s="12"/>
      <c r="BI28" s="12"/>
      <c r="BJ28" s="12"/>
      <c r="BK28" s="12"/>
      <c r="BL28" s="12"/>
    </row>
    <row r="29" ht="25.5" customHeight="1">
      <c r="A29" s="155" cm="1">
        <f t="array" ref="A29">A28+1</f>
        <v>18</v>
      </c>
      <c r="B29" t="s" s="167">
        <v>141</v>
      </c>
      <c r="C29" t="s" s="156">
        <v>142</v>
      </c>
      <c r="D29" s="165"/>
      <c r="E29" s="164"/>
      <c r="F29" s="163" cm="1">
        <f t="array" ref="F29">IF(AG29="","",I29-H29)</f>
        <v>46346</v>
      </c>
      <c r="G29" s="160"/>
      <c r="H29" s="158">
        <v>7</v>
      </c>
      <c r="I29" s="161" cm="1">
        <f t="array" ref="I29">IF(AG29="","",P29-K29)</f>
        <v>46353</v>
      </c>
      <c r="J29" s="160"/>
      <c r="K29" s="158">
        <v>7</v>
      </c>
      <c r="L29" s="161"/>
      <c r="M29" s="161"/>
      <c r="N29" s="161"/>
      <c r="O29" s="161"/>
      <c r="P29" s="161" cm="1">
        <f t="array" ref="P29">IF(AG29="","",AC29-R29-Q29)</f>
        <v>46360</v>
      </c>
      <c r="Q29" s="162">
        <v>7</v>
      </c>
      <c r="R29" s="162">
        <v>14</v>
      </c>
      <c r="S29" s="161"/>
      <c r="T29" s="161"/>
      <c r="U29" s="161"/>
      <c r="V29" s="161"/>
      <c r="W29" s="161"/>
      <c r="X29" s="161"/>
      <c r="Y29" s="161"/>
      <c r="Z29" s="161"/>
      <c r="AA29" s="161"/>
      <c r="AB29" s="160"/>
      <c r="AC29" s="163">
        <v>46381</v>
      </c>
      <c r="AD29" s="161" cm="1">
        <f t="array" ref="AD29">IF(AG29="","",$AG29-$AF29)</f>
        <v>46389</v>
      </c>
      <c r="AE29" s="160"/>
      <c r="AF29" s="196">
        <v>30</v>
      </c>
      <c r="AG29" s="165">
        <v>46419</v>
      </c>
      <c r="AH29" s="164"/>
      <c r="AI29" s="163"/>
      <c r="AJ29" s="161"/>
      <c r="AK29" s="161"/>
      <c r="AL29" s="160"/>
      <c r="AM29" s="165"/>
      <c r="AN29" t="s" s="169">
        <v>138</v>
      </c>
      <c r="AO29" s="10"/>
      <c r="AP29" s="12"/>
      <c r="AQ29" s="12"/>
      <c r="AR29" s="12"/>
      <c r="AS29" s="12"/>
      <c r="AT29" s="12"/>
      <c r="AU29" s="12"/>
      <c r="AV29" s="12"/>
      <c r="AW29" s="12"/>
      <c r="AX29" s="12"/>
      <c r="AY29" s="12"/>
      <c r="AZ29" s="12"/>
      <c r="BA29" s="12"/>
      <c r="BB29" s="12"/>
      <c r="BC29" s="12"/>
      <c r="BD29" s="12"/>
      <c r="BE29" s="12"/>
      <c r="BF29" s="12"/>
      <c r="BG29" s="12"/>
      <c r="BH29" s="12"/>
      <c r="BI29" s="12"/>
      <c r="BJ29" s="12"/>
      <c r="BK29" s="12"/>
      <c r="BL29" s="12"/>
    </row>
    <row r="30" ht="25.5" customHeight="1">
      <c r="A30" s="155" cm="1">
        <f t="array" ref="A30">A29+1</f>
        <v>19</v>
      </c>
      <c r="B30" s="151"/>
      <c r="C30" t="s" s="156">
        <v>143</v>
      </c>
      <c r="D30" s="165"/>
      <c r="E30" s="164"/>
      <c r="F30" t="str" s="195" cm="1">
        <f t="array" ref="F30">IF(AG30="","",I30-H30)</f>
      </c>
      <c r="G30" s="160"/>
      <c r="H30" s="158"/>
      <c r="I30" t="str" s="159" cm="1">
        <f t="array" ref="I30">IF(AG30="","",P30-K30)</f>
      </c>
      <c r="J30" s="160"/>
      <c r="K30" s="158"/>
      <c r="L30" s="161"/>
      <c r="M30" s="161"/>
      <c r="N30" s="161"/>
      <c r="O30" s="161"/>
      <c r="P30" t="str" s="159" cm="1">
        <f t="array" ref="P30">IF(AG30="","",AC30-R30-Q30)</f>
      </c>
      <c r="Q30" s="162"/>
      <c r="R30" s="162"/>
      <c r="S30" s="161"/>
      <c r="T30" s="161"/>
      <c r="U30" s="161"/>
      <c r="V30" s="161"/>
      <c r="W30" s="161"/>
      <c r="X30" s="161"/>
      <c r="Y30" s="161"/>
      <c r="Z30" s="161"/>
      <c r="AA30" s="161"/>
      <c r="AB30" s="160"/>
      <c r="AC30" s="163"/>
      <c r="AD30" t="str" s="159" cm="1">
        <f t="array" ref="AD30">IF(AG30="","",$AG30-$AF30)</f>
      </c>
      <c r="AE30" s="160"/>
      <c r="AF30" s="196"/>
      <c r="AG30" s="165"/>
      <c r="AH30" s="164"/>
      <c r="AI30" s="163"/>
      <c r="AJ30" s="161"/>
      <c r="AK30" s="161"/>
      <c r="AL30" s="160"/>
      <c r="AM30" s="165"/>
      <c r="AN30" s="166"/>
      <c r="AO30" s="10"/>
      <c r="AP30" s="12"/>
      <c r="AQ30" s="12"/>
      <c r="AR30" s="12"/>
      <c r="AS30" s="12"/>
      <c r="AT30" s="12"/>
      <c r="AU30" s="12"/>
      <c r="AV30" s="12"/>
      <c r="AW30" s="12"/>
      <c r="AX30" s="12"/>
      <c r="AY30" s="12"/>
      <c r="AZ30" s="12"/>
      <c r="BA30" s="12"/>
      <c r="BB30" s="12"/>
      <c r="BC30" s="12"/>
      <c r="BD30" s="12"/>
      <c r="BE30" s="12"/>
      <c r="BF30" s="12"/>
      <c r="BG30" s="12"/>
      <c r="BH30" s="12"/>
      <c r="BI30" s="12"/>
      <c r="BJ30" s="12"/>
      <c r="BK30" s="12"/>
      <c r="BL30" s="12"/>
    </row>
    <row r="31" ht="25.5" customHeight="1">
      <c r="A31" s="155" cm="1">
        <f t="array" ref="A31">A30+1</f>
        <v>20</v>
      </c>
      <c r="B31" t="s" s="167">
        <v>144</v>
      </c>
      <c r="C31" t="s" s="156">
        <v>145</v>
      </c>
      <c r="D31" s="165"/>
      <c r="E31" s="164"/>
      <c r="F31" s="163" cm="1">
        <f t="array" ref="F31">IF(AG31="","",I31-H31)</f>
        <v>46345</v>
      </c>
      <c r="G31" s="160">
        <v>46276</v>
      </c>
      <c r="H31" s="158">
        <v>7</v>
      </c>
      <c r="I31" s="161" cm="1">
        <f t="array" ref="I31">IF(AG31="","",P31-K31)</f>
        <v>46352</v>
      </c>
      <c r="J31" s="160">
        <v>46291</v>
      </c>
      <c r="K31" s="158">
        <v>7</v>
      </c>
      <c r="L31" s="161">
        <v>46293</v>
      </c>
      <c r="M31" s="161">
        <v>46303</v>
      </c>
      <c r="N31" s="161"/>
      <c r="O31" s="161"/>
      <c r="P31" s="161" cm="1">
        <f t="array" ref="P31">IF(AG31="","",AC31-R31-Q31)</f>
        <v>46359</v>
      </c>
      <c r="Q31" s="162">
        <v>7</v>
      </c>
      <c r="R31" s="162">
        <v>14</v>
      </c>
      <c r="S31" s="161"/>
      <c r="T31" s="161"/>
      <c r="U31" s="161"/>
      <c r="V31" s="161"/>
      <c r="W31" s="161"/>
      <c r="X31" s="161"/>
      <c r="Y31" s="161"/>
      <c r="Z31" s="161"/>
      <c r="AA31" s="161"/>
      <c r="AB31" s="160"/>
      <c r="AC31" s="163">
        <v>46380</v>
      </c>
      <c r="AD31" s="161" cm="1">
        <f t="array" ref="AD31">IF(AG31="","",$AG31-$AF31)</f>
        <v>46380</v>
      </c>
      <c r="AE31" s="160"/>
      <c r="AF31" s="196">
        <v>60</v>
      </c>
      <c r="AG31" s="165">
        <v>46440</v>
      </c>
      <c r="AH31" s="164"/>
      <c r="AI31" s="163"/>
      <c r="AJ31" s="161"/>
      <c r="AK31" s="161"/>
      <c r="AL31" s="160"/>
      <c r="AM31" s="165"/>
      <c r="AN31" t="s" s="169">
        <v>146</v>
      </c>
      <c r="AO31" s="10"/>
      <c r="AP31" s="12"/>
      <c r="AQ31" s="12"/>
      <c r="AR31" s="12"/>
      <c r="AS31" s="12"/>
      <c r="AT31" s="12"/>
      <c r="AU31" s="12"/>
      <c r="AV31" s="12"/>
      <c r="AW31" s="12"/>
      <c r="AX31" s="12"/>
      <c r="AY31" s="12"/>
      <c r="AZ31" s="12"/>
      <c r="BA31" s="12"/>
      <c r="BB31" s="12"/>
      <c r="BC31" s="12"/>
      <c r="BD31" s="12"/>
      <c r="BE31" s="12"/>
      <c r="BF31" s="12"/>
      <c r="BG31" s="12"/>
      <c r="BH31" s="12"/>
      <c r="BI31" s="12"/>
      <c r="BJ31" s="12"/>
      <c r="BK31" s="12"/>
      <c r="BL31" s="12"/>
    </row>
    <row r="32" ht="25.5" customHeight="1">
      <c r="A32" s="155" cm="1">
        <f t="array" ref="A32">A31+1</f>
        <v>21</v>
      </c>
      <c r="B32" s="151"/>
      <c r="C32" t="s" s="156">
        <v>147</v>
      </c>
      <c r="D32" s="165"/>
      <c r="E32" s="164"/>
      <c r="F32" t="str" s="195" cm="1">
        <f t="array" ref="F32">IF(AG32="","",I32-H32)</f>
      </c>
      <c r="G32" s="160"/>
      <c r="H32" s="158"/>
      <c r="I32" t="str" s="159" cm="1">
        <f t="array" ref="I32">IF(AG32="","",P32-K32)</f>
      </c>
      <c r="J32" s="160"/>
      <c r="K32" s="158"/>
      <c r="L32" s="161"/>
      <c r="M32" s="161"/>
      <c r="N32" s="161"/>
      <c r="O32" s="161"/>
      <c r="P32" t="str" s="159" cm="1">
        <f t="array" ref="P32">IF(AG32="","",AC32-R32-Q32)</f>
      </c>
      <c r="Q32" s="162"/>
      <c r="R32" s="162"/>
      <c r="S32" s="161"/>
      <c r="T32" s="161"/>
      <c r="U32" s="161"/>
      <c r="V32" s="161"/>
      <c r="W32" s="161"/>
      <c r="X32" s="161"/>
      <c r="Y32" s="161"/>
      <c r="Z32" s="161"/>
      <c r="AA32" s="161"/>
      <c r="AB32" s="160"/>
      <c r="AC32" s="163"/>
      <c r="AD32" t="str" s="159" cm="1">
        <f t="array" ref="AD32">IF(AG32="","",$AG32-$AF32)</f>
      </c>
      <c r="AE32" s="160"/>
      <c r="AF32" s="196"/>
      <c r="AG32" s="165"/>
      <c r="AH32" s="164"/>
      <c r="AI32" s="163"/>
      <c r="AJ32" s="161"/>
      <c r="AK32" s="161"/>
      <c r="AL32" s="160"/>
      <c r="AM32" s="165"/>
      <c r="AN32" s="166"/>
      <c r="AO32" s="10"/>
      <c r="AP32" s="12"/>
      <c r="AQ32" s="12"/>
      <c r="AR32" s="12"/>
      <c r="AS32" s="12"/>
      <c r="AT32" s="12"/>
      <c r="AU32" s="12"/>
      <c r="AV32" s="12"/>
      <c r="AW32" s="12"/>
      <c r="AX32" s="12"/>
      <c r="AY32" s="12"/>
      <c r="AZ32" s="12"/>
      <c r="BA32" s="12"/>
      <c r="BB32" s="12"/>
      <c r="BC32" s="12"/>
      <c r="BD32" s="12"/>
      <c r="BE32" s="12"/>
      <c r="BF32" s="12"/>
      <c r="BG32" s="12"/>
      <c r="BH32" s="12"/>
      <c r="BI32" s="12"/>
      <c r="BJ32" s="12"/>
      <c r="BK32" s="12"/>
      <c r="BL32" s="12"/>
    </row>
    <row r="33" ht="25.5" customHeight="1">
      <c r="A33" s="155" cm="1">
        <f t="array" ref="A33">A32+1</f>
        <v>22</v>
      </c>
      <c r="B33" t="s" s="167">
        <v>148</v>
      </c>
      <c r="C33" t="s" s="156">
        <v>149</v>
      </c>
      <c r="D33" s="165"/>
      <c r="E33" s="164"/>
      <c r="F33" s="163" cm="1">
        <f t="array" ref="F33">IF(AG33="","",I33-H33)</f>
        <v>46381</v>
      </c>
      <c r="G33" s="160">
        <v>46297</v>
      </c>
      <c r="H33" s="158">
        <v>7</v>
      </c>
      <c r="I33" s="161" cm="1">
        <f t="array" ref="I33">IF(AG33="","",P33-K33)</f>
        <v>46388</v>
      </c>
      <c r="J33" s="160">
        <v>46302</v>
      </c>
      <c r="K33" s="158">
        <v>7</v>
      </c>
      <c r="L33" s="161">
        <v>46296</v>
      </c>
      <c r="M33" s="161"/>
      <c r="N33" s="161"/>
      <c r="O33" s="161"/>
      <c r="P33" s="161" cm="1">
        <f t="array" ref="P33">IF(AG33="","",AC33-R33-Q33)</f>
        <v>46395</v>
      </c>
      <c r="Q33" s="162">
        <v>7</v>
      </c>
      <c r="R33" s="162">
        <v>14</v>
      </c>
      <c r="S33" s="161"/>
      <c r="T33" s="161"/>
      <c r="U33" s="161"/>
      <c r="V33" s="161"/>
      <c r="W33" s="161"/>
      <c r="X33" s="161"/>
      <c r="Y33" s="161"/>
      <c r="Z33" s="161"/>
      <c r="AA33" s="161"/>
      <c r="AB33" s="160"/>
      <c r="AC33" s="163">
        <v>46416</v>
      </c>
      <c r="AD33" s="161" cm="1">
        <f t="array" ref="AD33">IF(AG33="","",$AG33-$AF33)</f>
        <v>46417</v>
      </c>
      <c r="AE33" s="160"/>
      <c r="AF33" s="196">
        <v>30</v>
      </c>
      <c r="AG33" s="165">
        <v>46447</v>
      </c>
      <c r="AH33" s="164"/>
      <c r="AI33" s="163"/>
      <c r="AJ33" s="161"/>
      <c r="AK33" s="161"/>
      <c r="AL33" s="160"/>
      <c r="AM33" s="165"/>
      <c r="AN33" t="s" s="169">
        <v>138</v>
      </c>
      <c r="AO33" s="10"/>
      <c r="AP33" s="12"/>
      <c r="AQ33" s="12"/>
      <c r="AR33" s="12"/>
      <c r="AS33" s="12"/>
      <c r="AT33" s="12"/>
      <c r="AU33" s="12"/>
      <c r="AV33" s="12"/>
      <c r="AW33" s="12"/>
      <c r="AX33" s="12"/>
      <c r="AY33" s="12"/>
      <c r="AZ33" s="12"/>
      <c r="BA33" s="12"/>
      <c r="BB33" s="12"/>
      <c r="BC33" s="12"/>
      <c r="BD33" s="12"/>
      <c r="BE33" s="12"/>
      <c r="BF33" s="12"/>
      <c r="BG33" s="12"/>
      <c r="BH33" s="12"/>
      <c r="BI33" s="12"/>
      <c r="BJ33" s="12"/>
      <c r="BK33" s="12"/>
      <c r="BL33" s="12"/>
    </row>
    <row r="34" ht="25.5" customHeight="1">
      <c r="A34" s="155" cm="1">
        <f t="array" ref="A34">A33+1</f>
        <v>23</v>
      </c>
      <c r="B34" s="151"/>
      <c r="C34" t="s" s="156">
        <v>150</v>
      </c>
      <c r="D34" s="165"/>
      <c r="E34" s="164"/>
      <c r="F34" t="str" s="195" cm="1">
        <f t="array" ref="F34">IF(AG34="","",I34-H34)</f>
      </c>
      <c r="G34" s="160"/>
      <c r="H34" s="158"/>
      <c r="I34" t="str" s="159" cm="1">
        <f t="array" ref="I34">IF(AG34="","",P34-K34)</f>
      </c>
      <c r="J34" s="160"/>
      <c r="K34" s="158"/>
      <c r="L34" s="161"/>
      <c r="M34" s="161"/>
      <c r="N34" s="161"/>
      <c r="O34" s="161"/>
      <c r="P34" t="str" s="159" cm="1">
        <f t="array" ref="P34">IF(AG34="","",AC34-R34-Q34)</f>
      </c>
      <c r="Q34" s="162"/>
      <c r="R34" s="162"/>
      <c r="S34" s="161"/>
      <c r="T34" s="161"/>
      <c r="U34" s="161"/>
      <c r="V34" s="161"/>
      <c r="W34" s="161"/>
      <c r="X34" s="161"/>
      <c r="Y34" s="161"/>
      <c r="Z34" s="161"/>
      <c r="AA34" s="161"/>
      <c r="AB34" s="160"/>
      <c r="AC34" s="163"/>
      <c r="AD34" t="str" s="159" cm="1">
        <f t="array" ref="AD34">IF(AG34="","",$AG34-$AF34)</f>
      </c>
      <c r="AE34" s="160"/>
      <c r="AF34" s="196"/>
      <c r="AG34" s="165"/>
      <c r="AH34" s="164"/>
      <c r="AI34" s="163"/>
      <c r="AJ34" s="161"/>
      <c r="AK34" s="161"/>
      <c r="AL34" s="160"/>
      <c r="AM34" s="165"/>
      <c r="AN34" s="166"/>
      <c r="AO34" s="10"/>
      <c r="AP34" s="12"/>
      <c r="AQ34" s="12"/>
      <c r="AR34" s="12"/>
      <c r="AS34" s="12"/>
      <c r="AT34" s="12"/>
      <c r="AU34" s="12"/>
      <c r="AV34" s="12"/>
      <c r="AW34" s="12"/>
      <c r="AX34" s="12"/>
      <c r="AY34" s="12"/>
      <c r="AZ34" s="12"/>
      <c r="BA34" s="12"/>
      <c r="BB34" s="12"/>
      <c r="BC34" s="12"/>
      <c r="BD34" s="12"/>
      <c r="BE34" s="12"/>
      <c r="BF34" s="12"/>
      <c r="BG34" s="12"/>
      <c r="BH34" s="12"/>
      <c r="BI34" s="12"/>
      <c r="BJ34" s="12"/>
      <c r="BK34" s="12"/>
      <c r="BL34" s="12"/>
    </row>
    <row r="35" ht="25.5" customHeight="1">
      <c r="A35" s="155" cm="1">
        <f t="array" ref="A35">A34+1</f>
        <v>24</v>
      </c>
      <c r="B35" t="s" s="167">
        <v>151</v>
      </c>
      <c r="C35" t="s" s="156">
        <v>152</v>
      </c>
      <c r="D35" s="165"/>
      <c r="E35" s="164"/>
      <c r="F35" s="163" cm="1">
        <f t="array" ref="F35">IF(AG35="","",I35-H35)</f>
        <v>46395</v>
      </c>
      <c r="G35" s="160"/>
      <c r="H35" s="158">
        <v>7</v>
      </c>
      <c r="I35" s="161" cm="1">
        <f t="array" ref="I35">IF(AG35="","",P35-K35)</f>
        <v>46402</v>
      </c>
      <c r="J35" s="160"/>
      <c r="K35" s="158">
        <v>7</v>
      </c>
      <c r="L35" s="161"/>
      <c r="M35" s="161"/>
      <c r="N35" s="161"/>
      <c r="O35" s="161"/>
      <c r="P35" s="161" cm="1">
        <f t="array" ref="P35">IF(AG35="","",AC35-R35-Q35)</f>
        <v>46409</v>
      </c>
      <c r="Q35" s="162">
        <v>7</v>
      </c>
      <c r="R35" s="162">
        <v>14</v>
      </c>
      <c r="S35" s="161"/>
      <c r="T35" s="161"/>
      <c r="U35" s="161"/>
      <c r="V35" s="161"/>
      <c r="W35" s="161"/>
      <c r="X35" s="161"/>
      <c r="Y35" s="161"/>
      <c r="Z35" s="161"/>
      <c r="AA35" s="161"/>
      <c r="AB35" s="160"/>
      <c r="AC35" s="163">
        <v>46430</v>
      </c>
      <c r="AD35" s="161" cm="1">
        <f t="array" ref="AD35">IF(AG35="","",$AG35-$AF35)</f>
        <v>46432</v>
      </c>
      <c r="AE35" s="160"/>
      <c r="AF35" s="196">
        <v>30</v>
      </c>
      <c r="AG35" s="165">
        <v>46462</v>
      </c>
      <c r="AH35" s="164"/>
      <c r="AI35" s="163"/>
      <c r="AJ35" s="161"/>
      <c r="AK35" s="161"/>
      <c r="AL35" s="160"/>
      <c r="AM35" s="165"/>
      <c r="AN35" t="s" s="169">
        <v>153</v>
      </c>
      <c r="AO35" s="10"/>
      <c r="AP35" s="12"/>
      <c r="AQ35" s="12"/>
      <c r="AR35" s="12"/>
      <c r="AS35" s="12"/>
      <c r="AT35" s="12"/>
      <c r="AU35" s="12"/>
      <c r="AV35" s="12"/>
      <c r="AW35" s="12"/>
      <c r="AX35" s="12"/>
      <c r="AY35" s="12"/>
      <c r="AZ35" s="12"/>
      <c r="BA35" s="12"/>
      <c r="BB35" s="12"/>
      <c r="BC35" s="12"/>
      <c r="BD35" s="12"/>
      <c r="BE35" s="12"/>
      <c r="BF35" s="12"/>
      <c r="BG35" s="12"/>
      <c r="BH35" s="12"/>
      <c r="BI35" s="12"/>
      <c r="BJ35" s="12"/>
      <c r="BK35" s="12"/>
      <c r="BL35" s="12"/>
    </row>
    <row r="36" ht="25.5" customHeight="1">
      <c r="A36" s="155" cm="1">
        <f t="array" ref="A36">A35+1</f>
        <v>25</v>
      </c>
      <c r="B36" s="151"/>
      <c r="C36" s="170"/>
      <c r="D36" s="165"/>
      <c r="E36" s="164"/>
      <c r="F36" t="str" s="195" cm="1">
        <f t="array" ref="F36">IF(AG36="","",I36-H36)</f>
      </c>
      <c r="G36" s="160"/>
      <c r="H36" s="158"/>
      <c r="I36" t="str" s="159" cm="1">
        <f t="array" ref="I36">IF(AG36="","",P36-K36)</f>
      </c>
      <c r="J36" s="160"/>
      <c r="K36" s="158"/>
      <c r="L36" s="161"/>
      <c r="M36" s="161"/>
      <c r="N36" s="161"/>
      <c r="O36" s="161"/>
      <c r="P36" t="str" s="159" cm="1">
        <f t="array" ref="P36">IF(AG36="","",AC36-R36-Q36)</f>
      </c>
      <c r="Q36" s="162"/>
      <c r="R36" s="162"/>
      <c r="S36" s="161"/>
      <c r="T36" s="161"/>
      <c r="U36" s="161"/>
      <c r="V36" s="161"/>
      <c r="W36" s="161"/>
      <c r="X36" s="161"/>
      <c r="Y36" s="161"/>
      <c r="Z36" s="161"/>
      <c r="AA36" s="161"/>
      <c r="AB36" s="160"/>
      <c r="AC36" s="163"/>
      <c r="AD36" t="str" s="159" cm="1">
        <f t="array" ref="AD36">IF(AG36="","",$AG36-$AF36)</f>
      </c>
      <c r="AE36" s="160"/>
      <c r="AF36" s="196"/>
      <c r="AG36" s="165"/>
      <c r="AH36" s="164"/>
      <c r="AI36" s="163"/>
      <c r="AJ36" s="161"/>
      <c r="AK36" s="161"/>
      <c r="AL36" s="160"/>
      <c r="AM36" s="165"/>
      <c r="AN36" s="166"/>
      <c r="AO36" s="10"/>
      <c r="AP36" s="12"/>
      <c r="AQ36" s="12"/>
      <c r="AR36" s="12"/>
      <c r="AS36" s="12"/>
      <c r="AT36" s="12"/>
      <c r="AU36" s="12"/>
      <c r="AV36" s="12"/>
      <c r="AW36" s="12"/>
      <c r="AX36" s="12"/>
      <c r="AY36" s="12"/>
      <c r="AZ36" s="12"/>
      <c r="BA36" s="12"/>
      <c r="BB36" s="12"/>
      <c r="BC36" s="12"/>
      <c r="BD36" s="12"/>
      <c r="BE36" s="12"/>
      <c r="BF36" s="12"/>
      <c r="BG36" s="12"/>
      <c r="BH36" s="12"/>
      <c r="BI36" s="12"/>
      <c r="BJ36" s="12"/>
      <c r="BK36" s="12"/>
      <c r="BL36" s="12"/>
    </row>
    <row r="37" ht="25.5" customHeight="1">
      <c r="A37" s="155" cm="1">
        <f t="array" ref="A37">A36+1</f>
        <v>26</v>
      </c>
      <c r="B37" s="151"/>
      <c r="C37" t="s" s="156">
        <v>154</v>
      </c>
      <c r="D37" s="165"/>
      <c r="E37" s="164"/>
      <c r="F37" t="str" s="195" cm="1">
        <f t="array" ref="F37">IF(AG37="","",I37-H37)</f>
      </c>
      <c r="G37" s="160"/>
      <c r="H37" s="158"/>
      <c r="I37" t="str" s="159" cm="1">
        <f t="array" ref="I37">IF(AG37="","",P37-K37)</f>
      </c>
      <c r="J37" s="160"/>
      <c r="K37" s="158"/>
      <c r="L37" s="161"/>
      <c r="M37" s="161"/>
      <c r="N37" s="161"/>
      <c r="O37" s="161"/>
      <c r="P37" t="str" s="159" cm="1">
        <f t="array" ref="P37">IF(AG37="","",AC37-R37-Q37)</f>
      </c>
      <c r="Q37" s="162"/>
      <c r="R37" s="162"/>
      <c r="S37" s="161"/>
      <c r="T37" s="161"/>
      <c r="U37" s="161"/>
      <c r="V37" s="161"/>
      <c r="W37" s="161"/>
      <c r="X37" s="161"/>
      <c r="Y37" s="161"/>
      <c r="Z37" s="161"/>
      <c r="AA37" s="161"/>
      <c r="AB37" s="160"/>
      <c r="AC37" s="163"/>
      <c r="AD37" t="str" s="159" cm="1">
        <f t="array" ref="AD37">IF(AG37="","",$AG37-$AF37)</f>
      </c>
      <c r="AE37" s="160"/>
      <c r="AF37" s="196"/>
      <c r="AG37" s="165"/>
      <c r="AH37" s="164"/>
      <c r="AI37" s="163"/>
      <c r="AJ37" s="161"/>
      <c r="AK37" s="161"/>
      <c r="AL37" s="160"/>
      <c r="AM37" s="165"/>
      <c r="AN37" s="166"/>
      <c r="AO37" s="10"/>
      <c r="AP37" s="12"/>
      <c r="AQ37" s="12"/>
      <c r="AR37" s="12"/>
      <c r="AS37" s="12"/>
      <c r="AT37" s="12"/>
      <c r="AU37" s="12"/>
      <c r="AV37" s="12"/>
      <c r="AW37" s="12"/>
      <c r="AX37" s="12"/>
      <c r="AY37" s="12"/>
      <c r="AZ37" s="12"/>
      <c r="BA37" s="12"/>
      <c r="BB37" s="12"/>
      <c r="BC37" s="12"/>
      <c r="BD37" s="12"/>
      <c r="BE37" s="12"/>
      <c r="BF37" s="12"/>
      <c r="BG37" s="12"/>
      <c r="BH37" s="12"/>
      <c r="BI37" s="12"/>
      <c r="BJ37" s="12"/>
      <c r="BK37" s="12"/>
      <c r="BL37" s="12"/>
    </row>
    <row r="38" ht="25.5" customHeight="1">
      <c r="A38" s="155" cm="1">
        <f t="array" ref="A38">A37+1</f>
        <v>27</v>
      </c>
      <c r="B38" s="151"/>
      <c r="C38" s="170"/>
      <c r="D38" s="165"/>
      <c r="E38" s="164"/>
      <c r="F38" t="str" s="195" cm="1">
        <f t="array" ref="F38">IF(AG38="","",I38-H38)</f>
      </c>
      <c r="G38" s="160"/>
      <c r="H38" s="158"/>
      <c r="I38" t="str" s="159" cm="1">
        <f t="array" ref="I38">IF(AG38="","",P38-K38)</f>
      </c>
      <c r="J38" s="160"/>
      <c r="K38" s="158"/>
      <c r="L38" s="161"/>
      <c r="M38" s="161"/>
      <c r="N38" s="161"/>
      <c r="O38" s="161"/>
      <c r="P38" t="str" s="159" cm="1">
        <f t="array" ref="P38">IF(AG38="","",AC38-R38-Q38)</f>
      </c>
      <c r="Q38" s="162"/>
      <c r="R38" s="162"/>
      <c r="S38" s="161"/>
      <c r="T38" s="161"/>
      <c r="U38" s="161"/>
      <c r="V38" s="161"/>
      <c r="W38" s="161"/>
      <c r="X38" s="161"/>
      <c r="Y38" s="161"/>
      <c r="Z38" s="161"/>
      <c r="AA38" s="161"/>
      <c r="AB38" s="160"/>
      <c r="AC38" s="163"/>
      <c r="AD38" t="str" s="159" cm="1">
        <f t="array" ref="AD38">IF(AG38="","",$AG38-$AF38)</f>
      </c>
      <c r="AE38" s="160"/>
      <c r="AF38" s="196"/>
      <c r="AG38" s="165"/>
      <c r="AH38" s="164"/>
      <c r="AI38" s="163"/>
      <c r="AJ38" s="161"/>
      <c r="AK38" s="161"/>
      <c r="AL38" s="160"/>
      <c r="AM38" s="165"/>
      <c r="AN38" s="166"/>
      <c r="AO38" s="10"/>
      <c r="AP38" s="12"/>
      <c r="AQ38" s="12"/>
      <c r="AR38" s="12"/>
      <c r="AS38" s="12"/>
      <c r="AT38" s="12"/>
      <c r="AU38" s="12"/>
      <c r="AV38" s="12"/>
      <c r="AW38" s="12"/>
      <c r="AX38" s="12"/>
      <c r="AY38" s="12"/>
      <c r="AZ38" s="12"/>
      <c r="BA38" s="12"/>
      <c r="BB38" s="12"/>
      <c r="BC38" s="12"/>
      <c r="BD38" s="12"/>
      <c r="BE38" s="12"/>
      <c r="BF38" s="12"/>
      <c r="BG38" s="12"/>
      <c r="BH38" s="12"/>
      <c r="BI38" s="12"/>
      <c r="BJ38" s="12"/>
      <c r="BK38" s="12"/>
      <c r="BL38" s="12"/>
    </row>
    <row r="39" ht="25.5" customHeight="1">
      <c r="A39" s="155" cm="1">
        <f t="array" ref="A39">A38+1</f>
        <v>28</v>
      </c>
      <c r="B39" s="151"/>
      <c r="C39" s="170"/>
      <c r="D39" s="165"/>
      <c r="E39" s="164"/>
      <c r="F39" t="str" s="195" cm="1">
        <f t="array" ref="F39">IF(AG39="","",I39-H39)</f>
      </c>
      <c r="G39" s="160"/>
      <c r="H39" s="158"/>
      <c r="I39" t="str" s="159" cm="1">
        <f t="array" ref="I39">IF(AG39="","",P39-K39)</f>
      </c>
      <c r="J39" s="160"/>
      <c r="K39" s="158"/>
      <c r="L39" s="161"/>
      <c r="M39" s="161"/>
      <c r="N39" s="161"/>
      <c r="O39" s="161"/>
      <c r="P39" t="str" s="159" cm="1">
        <f t="array" ref="P39">IF(AG39="","",AC39-R39-Q39)</f>
      </c>
      <c r="Q39" s="162"/>
      <c r="R39" s="162"/>
      <c r="S39" s="161"/>
      <c r="T39" s="161"/>
      <c r="U39" s="161"/>
      <c r="V39" s="161"/>
      <c r="W39" s="161"/>
      <c r="X39" s="161"/>
      <c r="Y39" s="161"/>
      <c r="Z39" s="161"/>
      <c r="AA39" s="161"/>
      <c r="AB39" s="160"/>
      <c r="AC39" s="163"/>
      <c r="AD39" t="str" s="159" cm="1">
        <f t="array" ref="AD39">IF(AG39="","",$AG39-$AF39)</f>
      </c>
      <c r="AE39" s="160"/>
      <c r="AF39" s="196"/>
      <c r="AG39" s="165"/>
      <c r="AH39" s="164"/>
      <c r="AI39" s="163"/>
      <c r="AJ39" s="161"/>
      <c r="AK39" s="161"/>
      <c r="AL39" s="160"/>
      <c r="AM39" s="165"/>
      <c r="AN39" s="166"/>
      <c r="AO39" s="10"/>
      <c r="AP39" s="12"/>
      <c r="AQ39" s="12"/>
      <c r="AR39" s="12"/>
      <c r="AS39" s="12"/>
      <c r="AT39" s="12"/>
      <c r="AU39" s="12"/>
      <c r="AV39" s="12"/>
      <c r="AW39" s="12"/>
      <c r="AX39" s="12"/>
      <c r="AY39" s="12"/>
      <c r="AZ39" s="12"/>
      <c r="BA39" s="12"/>
      <c r="BB39" s="12"/>
      <c r="BC39" s="12"/>
      <c r="BD39" s="12"/>
      <c r="BE39" s="12"/>
      <c r="BF39" s="12"/>
      <c r="BG39" s="12"/>
      <c r="BH39" s="12"/>
      <c r="BI39" s="12"/>
      <c r="BJ39" s="12"/>
      <c r="BK39" s="12"/>
      <c r="BL39" s="12"/>
    </row>
    <row r="40" ht="25.5" customHeight="1">
      <c r="A40" s="155" cm="1">
        <f t="array" ref="A40">A39+1</f>
        <v>29</v>
      </c>
      <c r="B40" s="151"/>
      <c r="C40" s="170"/>
      <c r="D40" s="165"/>
      <c r="E40" s="164"/>
      <c r="F40" t="str" s="195" cm="1">
        <f t="array" ref="F40">IF(AG40="","",I40-H40)</f>
      </c>
      <c r="G40" s="160"/>
      <c r="H40" s="158"/>
      <c r="I40" t="str" s="159" cm="1">
        <f t="array" ref="I40">IF(AG40="","",P40-K40)</f>
      </c>
      <c r="J40" s="160"/>
      <c r="K40" s="158"/>
      <c r="L40" s="161"/>
      <c r="M40" s="161"/>
      <c r="N40" s="161"/>
      <c r="O40" s="161"/>
      <c r="P40" t="str" s="159" cm="1">
        <f t="array" ref="P40">IF(AG40="","",AC40-R40-Q40)</f>
      </c>
      <c r="Q40" s="162"/>
      <c r="R40" s="162"/>
      <c r="S40" s="161"/>
      <c r="T40" s="161"/>
      <c r="U40" s="161"/>
      <c r="V40" s="161"/>
      <c r="W40" s="161"/>
      <c r="X40" s="161"/>
      <c r="Y40" s="161"/>
      <c r="Z40" s="161"/>
      <c r="AA40" s="161"/>
      <c r="AB40" s="160"/>
      <c r="AC40" s="163"/>
      <c r="AD40" t="str" s="159" cm="1">
        <f t="array" ref="AD40">IF(AG40="","",$AG40-$AF40)</f>
      </c>
      <c r="AE40" s="160"/>
      <c r="AF40" s="196"/>
      <c r="AG40" s="165"/>
      <c r="AH40" s="164"/>
      <c r="AI40" s="163"/>
      <c r="AJ40" s="161"/>
      <c r="AK40" s="161"/>
      <c r="AL40" s="160"/>
      <c r="AM40" s="165"/>
      <c r="AN40" s="166"/>
      <c r="AO40" s="10"/>
      <c r="AP40" s="12"/>
      <c r="AQ40" s="12"/>
      <c r="AR40" s="12"/>
      <c r="AS40" s="12"/>
      <c r="AT40" s="12"/>
      <c r="AU40" s="12"/>
      <c r="AV40" s="12"/>
      <c r="AW40" s="12"/>
      <c r="AX40" s="12"/>
      <c r="AY40" s="12"/>
      <c r="AZ40" s="12"/>
      <c r="BA40" s="12"/>
      <c r="BB40" s="12"/>
      <c r="BC40" s="12"/>
      <c r="BD40" s="12"/>
      <c r="BE40" s="12"/>
      <c r="BF40" s="12"/>
      <c r="BG40" s="12"/>
      <c r="BH40" s="12"/>
      <c r="BI40" s="12"/>
      <c r="BJ40" s="12"/>
      <c r="BK40" s="12"/>
      <c r="BL40" s="12"/>
    </row>
    <row r="41" ht="25.5" customHeight="1">
      <c r="A41" s="155" cm="1">
        <f t="array" ref="A41">A40+1</f>
        <v>30</v>
      </c>
      <c r="B41" s="151"/>
      <c r="C41" s="170"/>
      <c r="D41" s="165"/>
      <c r="E41" s="164"/>
      <c r="F41" t="str" s="195" cm="1">
        <f t="array" ref="F41">IF(AG41="","",I41-H41)</f>
      </c>
      <c r="G41" s="160"/>
      <c r="H41" s="158"/>
      <c r="I41" t="str" s="159" cm="1">
        <f t="array" ref="I41">IF(AG41="","",P41-K41)</f>
      </c>
      <c r="J41" s="160"/>
      <c r="K41" s="158"/>
      <c r="L41" s="161"/>
      <c r="M41" s="161"/>
      <c r="N41" s="161"/>
      <c r="O41" s="161"/>
      <c r="P41" t="str" s="159" cm="1">
        <f t="array" ref="P41">IF(AG41="","",AC41-R41-Q41)</f>
      </c>
      <c r="Q41" s="162"/>
      <c r="R41" s="162"/>
      <c r="S41" s="161"/>
      <c r="T41" s="161"/>
      <c r="U41" s="161"/>
      <c r="V41" s="161"/>
      <c r="W41" s="161"/>
      <c r="X41" s="161"/>
      <c r="Y41" s="161"/>
      <c r="Z41" s="161"/>
      <c r="AA41" s="161"/>
      <c r="AB41" s="160"/>
      <c r="AC41" s="163"/>
      <c r="AD41" t="str" s="159" cm="1">
        <f t="array" ref="AD41">IF(AG41="","",$AG41-$AF41)</f>
      </c>
      <c r="AE41" s="160"/>
      <c r="AF41" s="196"/>
      <c r="AG41" s="165"/>
      <c r="AH41" s="164"/>
      <c r="AI41" s="163"/>
      <c r="AJ41" s="161"/>
      <c r="AK41" s="161"/>
      <c r="AL41" s="160"/>
      <c r="AM41" s="165"/>
      <c r="AN41" s="166"/>
      <c r="AO41" s="10"/>
      <c r="AP41" s="12"/>
      <c r="AQ41" s="12"/>
      <c r="AR41" s="12"/>
      <c r="AS41" s="12"/>
      <c r="AT41" s="12"/>
      <c r="AU41" s="12"/>
      <c r="AV41" s="12"/>
      <c r="AW41" s="12"/>
      <c r="AX41" s="12"/>
      <c r="AY41" s="12"/>
      <c r="AZ41" s="12"/>
      <c r="BA41" s="12"/>
      <c r="BB41" s="12"/>
      <c r="BC41" s="12"/>
      <c r="BD41" s="12"/>
      <c r="BE41" s="12"/>
      <c r="BF41" s="12"/>
      <c r="BG41" s="12"/>
      <c r="BH41" s="12"/>
      <c r="BI41" s="12"/>
      <c r="BJ41" s="12"/>
      <c r="BK41" s="12"/>
      <c r="BL41" s="12"/>
    </row>
    <row r="42" ht="25.5" customHeight="1">
      <c r="A42" s="155" cm="1">
        <f t="array" ref="A42">A41+1</f>
        <v>31</v>
      </c>
      <c r="B42" s="151"/>
      <c r="C42" s="170"/>
      <c r="D42" s="165"/>
      <c r="E42" s="164"/>
      <c r="F42" t="str" s="195" cm="1">
        <f t="array" ref="F42">IF(AG42="","",I42-H42)</f>
      </c>
      <c r="G42" s="160"/>
      <c r="H42" s="158"/>
      <c r="I42" t="str" s="159" cm="1">
        <f t="array" ref="I42">IF(AG42="","",P42-K42)</f>
      </c>
      <c r="J42" s="160"/>
      <c r="K42" s="158"/>
      <c r="L42" s="161"/>
      <c r="M42" s="161"/>
      <c r="N42" s="161"/>
      <c r="O42" s="161"/>
      <c r="P42" t="str" s="159" cm="1">
        <f t="array" ref="P42">IF(AG42="","",AC42-R42-Q42)</f>
      </c>
      <c r="Q42" s="162"/>
      <c r="R42" s="162"/>
      <c r="S42" s="161"/>
      <c r="T42" s="161"/>
      <c r="U42" s="161"/>
      <c r="V42" s="161"/>
      <c r="W42" s="161"/>
      <c r="X42" s="161"/>
      <c r="Y42" s="161"/>
      <c r="Z42" s="161"/>
      <c r="AA42" s="161"/>
      <c r="AB42" s="160"/>
      <c r="AC42" s="163"/>
      <c r="AD42" t="str" s="159" cm="1">
        <f t="array" ref="AD42">IF(AG42="","",$AG42-$AF42)</f>
      </c>
      <c r="AE42" s="160"/>
      <c r="AF42" s="196"/>
      <c r="AG42" s="165"/>
      <c r="AH42" s="164"/>
      <c r="AI42" s="163"/>
      <c r="AJ42" s="161"/>
      <c r="AK42" s="161"/>
      <c r="AL42" s="160"/>
      <c r="AM42" s="165"/>
      <c r="AN42" s="166"/>
      <c r="AO42" s="10"/>
      <c r="AP42" s="12"/>
      <c r="AQ42" s="12"/>
      <c r="AR42" s="12"/>
      <c r="AS42" s="12"/>
      <c r="AT42" s="12"/>
      <c r="AU42" s="12"/>
      <c r="AV42" s="12"/>
      <c r="AW42" s="12"/>
      <c r="AX42" s="12"/>
      <c r="AY42" s="12"/>
      <c r="AZ42" s="12"/>
      <c r="BA42" s="12"/>
      <c r="BB42" s="12"/>
      <c r="BC42" s="12"/>
      <c r="BD42" s="12"/>
      <c r="BE42" s="12"/>
      <c r="BF42" s="12"/>
      <c r="BG42" s="12"/>
      <c r="BH42" s="12"/>
      <c r="BI42" s="12"/>
      <c r="BJ42" s="12"/>
      <c r="BK42" s="12"/>
      <c r="BL42" s="12"/>
    </row>
    <row r="43" ht="25.5" customHeight="1">
      <c r="A43" s="155" cm="1">
        <f t="array" ref="A43">A42+1</f>
        <v>32</v>
      </c>
      <c r="B43" s="151"/>
      <c r="C43" s="170"/>
      <c r="D43" s="165"/>
      <c r="E43" s="164"/>
      <c r="F43" t="str" s="195" cm="1">
        <f t="array" ref="F43">IF(AG43="","",I43-H43)</f>
      </c>
      <c r="G43" s="160"/>
      <c r="H43" s="158"/>
      <c r="I43" t="str" s="159" cm="1">
        <f t="array" ref="I43">IF(AG43="","",P43-K43)</f>
      </c>
      <c r="J43" s="160"/>
      <c r="K43" s="158"/>
      <c r="L43" s="161"/>
      <c r="M43" s="161"/>
      <c r="N43" s="161"/>
      <c r="O43" s="161"/>
      <c r="P43" t="str" s="159" cm="1">
        <f t="array" ref="P43">IF(AG43="","",AC43-R43-Q43)</f>
      </c>
      <c r="Q43" s="162"/>
      <c r="R43" s="162"/>
      <c r="S43" s="161"/>
      <c r="T43" s="161"/>
      <c r="U43" s="161"/>
      <c r="V43" s="161"/>
      <c r="W43" s="161"/>
      <c r="X43" s="161"/>
      <c r="Y43" s="161"/>
      <c r="Z43" s="161"/>
      <c r="AA43" s="161"/>
      <c r="AB43" s="160"/>
      <c r="AC43" s="163"/>
      <c r="AD43" t="str" s="159" cm="1">
        <f t="array" ref="AD43">IF(AG43="","",$AG43-$AF43)</f>
      </c>
      <c r="AE43" s="160"/>
      <c r="AF43" s="196"/>
      <c r="AG43" s="165"/>
      <c r="AH43" s="164"/>
      <c r="AI43" s="163"/>
      <c r="AJ43" s="161"/>
      <c r="AK43" s="161"/>
      <c r="AL43" s="160"/>
      <c r="AM43" s="165"/>
      <c r="AN43" s="166"/>
      <c r="AO43" s="10"/>
      <c r="AP43" s="12"/>
      <c r="AQ43" s="12"/>
      <c r="AR43" s="12"/>
      <c r="AS43" s="12"/>
      <c r="AT43" s="12"/>
      <c r="AU43" s="12"/>
      <c r="AV43" s="12"/>
      <c r="AW43" s="12"/>
      <c r="AX43" s="12"/>
      <c r="AY43" s="12"/>
      <c r="AZ43" s="12"/>
      <c r="BA43" s="12"/>
      <c r="BB43" s="12"/>
      <c r="BC43" s="12"/>
      <c r="BD43" s="12"/>
      <c r="BE43" s="12"/>
      <c r="BF43" s="12"/>
      <c r="BG43" s="12"/>
      <c r="BH43" s="12"/>
      <c r="BI43" s="12"/>
      <c r="BJ43" s="12"/>
      <c r="BK43" s="12"/>
      <c r="BL43" s="12"/>
    </row>
    <row r="44" ht="25.5" customHeight="1">
      <c r="A44" s="155" cm="1">
        <f t="array" ref="A44">A43+1</f>
        <v>33</v>
      </c>
      <c r="B44" s="151"/>
      <c r="C44" s="170"/>
      <c r="D44" s="165"/>
      <c r="E44" s="164"/>
      <c r="F44" t="str" s="195" cm="1">
        <f t="array" ref="F44">IF(AG44="","",I44-H44)</f>
      </c>
      <c r="G44" s="160"/>
      <c r="H44" s="158"/>
      <c r="I44" t="str" s="159" cm="1">
        <f t="array" ref="I44">IF(AG44="","",P44-K44)</f>
      </c>
      <c r="J44" s="160"/>
      <c r="K44" s="158"/>
      <c r="L44" s="161"/>
      <c r="M44" s="161"/>
      <c r="N44" s="161"/>
      <c r="O44" s="161"/>
      <c r="P44" t="str" s="159" cm="1">
        <f t="array" ref="P44">IF(AG44="","",AC44-R44-Q44)</f>
      </c>
      <c r="Q44" s="162"/>
      <c r="R44" s="162"/>
      <c r="S44" s="161"/>
      <c r="T44" s="161"/>
      <c r="U44" s="161"/>
      <c r="V44" s="161"/>
      <c r="W44" s="161"/>
      <c r="X44" s="161"/>
      <c r="Y44" s="161"/>
      <c r="Z44" s="161"/>
      <c r="AA44" s="161"/>
      <c r="AB44" s="160"/>
      <c r="AC44" s="163"/>
      <c r="AD44" t="str" s="159" cm="1">
        <f t="array" ref="AD44">IF(AG44="","",$AG44-$AF44)</f>
      </c>
      <c r="AE44" s="160"/>
      <c r="AF44" s="196"/>
      <c r="AG44" s="165"/>
      <c r="AH44" s="164"/>
      <c r="AI44" s="163"/>
      <c r="AJ44" s="161"/>
      <c r="AK44" s="161"/>
      <c r="AL44" s="160"/>
      <c r="AM44" s="165"/>
      <c r="AN44" s="166"/>
      <c r="AO44" s="10"/>
      <c r="AP44" s="12"/>
      <c r="AQ44" s="12"/>
      <c r="AR44" s="12"/>
      <c r="AS44" s="12"/>
      <c r="AT44" s="12"/>
      <c r="AU44" s="12"/>
      <c r="AV44" s="12"/>
      <c r="AW44" s="12"/>
      <c r="AX44" s="12"/>
      <c r="AY44" s="12"/>
      <c r="AZ44" s="12"/>
      <c r="BA44" s="12"/>
      <c r="BB44" s="12"/>
      <c r="BC44" s="12"/>
      <c r="BD44" s="12"/>
      <c r="BE44" s="12"/>
      <c r="BF44" s="12"/>
      <c r="BG44" s="12"/>
      <c r="BH44" s="12"/>
      <c r="BI44" s="12"/>
      <c r="BJ44" s="12"/>
      <c r="BK44" s="12"/>
      <c r="BL44" s="12"/>
    </row>
    <row r="45" ht="25.5" customHeight="1">
      <c r="A45" s="155" cm="1">
        <f t="array" ref="A45">A44+1</f>
        <v>34</v>
      </c>
      <c r="B45" s="151"/>
      <c r="C45" s="170"/>
      <c r="D45" s="165"/>
      <c r="E45" s="164"/>
      <c r="F45" t="str" s="195" cm="1">
        <f t="array" ref="F45">IF(AG45="","",I45-H45)</f>
      </c>
      <c r="G45" s="160"/>
      <c r="H45" s="158"/>
      <c r="I45" t="str" s="159" cm="1">
        <f t="array" ref="I45">IF(AG45="","",P45-K45)</f>
      </c>
      <c r="J45" s="160"/>
      <c r="K45" s="158"/>
      <c r="L45" s="161"/>
      <c r="M45" s="161"/>
      <c r="N45" s="161"/>
      <c r="O45" s="161"/>
      <c r="P45" t="str" s="159" cm="1">
        <f t="array" ref="P45">IF(AG45="","",AC45-R45-Q45)</f>
      </c>
      <c r="Q45" s="162"/>
      <c r="R45" s="162"/>
      <c r="S45" s="161"/>
      <c r="T45" s="161"/>
      <c r="U45" s="161"/>
      <c r="V45" s="161"/>
      <c r="W45" s="161"/>
      <c r="X45" s="161"/>
      <c r="Y45" s="161"/>
      <c r="Z45" s="161"/>
      <c r="AA45" s="161"/>
      <c r="AB45" s="160"/>
      <c r="AC45" s="163"/>
      <c r="AD45" t="str" s="159" cm="1">
        <f t="array" ref="AD45">IF(AG45="","",$AG45-$AF45)</f>
      </c>
      <c r="AE45" s="160"/>
      <c r="AF45" s="196"/>
      <c r="AG45" s="165"/>
      <c r="AH45" s="164"/>
      <c r="AI45" s="163"/>
      <c r="AJ45" s="161"/>
      <c r="AK45" s="161"/>
      <c r="AL45" s="160"/>
      <c r="AM45" s="165"/>
      <c r="AN45" s="166"/>
      <c r="AO45" s="10"/>
      <c r="AP45" s="12"/>
      <c r="AQ45" s="12"/>
      <c r="AR45" s="12"/>
      <c r="AS45" s="12"/>
      <c r="AT45" s="12"/>
      <c r="AU45" s="12"/>
      <c r="AV45" s="12"/>
      <c r="AW45" s="12"/>
      <c r="AX45" s="12"/>
      <c r="AY45" s="12"/>
      <c r="AZ45" s="12"/>
      <c r="BA45" s="12"/>
      <c r="BB45" s="12"/>
      <c r="BC45" s="12"/>
      <c r="BD45" s="12"/>
      <c r="BE45" s="12"/>
      <c r="BF45" s="12"/>
      <c r="BG45" s="12"/>
      <c r="BH45" s="12"/>
      <c r="BI45" s="12"/>
      <c r="BJ45" s="12"/>
      <c r="BK45" s="12"/>
      <c r="BL45" s="12"/>
    </row>
    <row r="46" ht="25.5" customHeight="1">
      <c r="A46" s="155" cm="1">
        <f t="array" ref="A46">A45+1</f>
        <v>35</v>
      </c>
      <c r="B46" s="151"/>
      <c r="C46" t="s" s="156">
        <v>155</v>
      </c>
      <c r="D46" s="165"/>
      <c r="E46" s="164"/>
      <c r="F46" t="str" s="195" cm="1">
        <f t="array" ref="F46">IF(AG46="","",I46-H46)</f>
      </c>
      <c r="G46" s="160"/>
      <c r="H46" s="158"/>
      <c r="I46" t="str" s="159" cm="1">
        <f t="array" ref="I46">IF(AG46="","",P46-K46)</f>
      </c>
      <c r="J46" s="160"/>
      <c r="K46" s="158"/>
      <c r="L46" s="161"/>
      <c r="M46" s="161"/>
      <c r="N46" s="161"/>
      <c r="O46" s="161"/>
      <c r="P46" t="str" s="159" cm="1">
        <f t="array" ref="P46">IF(AG46="","",AC46-R46-Q46)</f>
      </c>
      <c r="Q46" s="162"/>
      <c r="R46" s="162"/>
      <c r="S46" s="161"/>
      <c r="T46" s="161"/>
      <c r="U46" s="161"/>
      <c r="V46" s="161"/>
      <c r="W46" s="161"/>
      <c r="X46" s="161"/>
      <c r="Y46" s="161"/>
      <c r="Z46" s="161"/>
      <c r="AA46" s="161"/>
      <c r="AB46" s="160"/>
      <c r="AC46" s="163"/>
      <c r="AD46" t="str" s="159" cm="1">
        <f t="array" ref="AD46">IF(AG46="","",$AG46-$AF46)</f>
      </c>
      <c r="AE46" s="160"/>
      <c r="AF46" s="196"/>
      <c r="AG46" s="165"/>
      <c r="AH46" s="164"/>
      <c r="AI46" s="163"/>
      <c r="AJ46" s="161"/>
      <c r="AK46" s="161"/>
      <c r="AL46" s="160"/>
      <c r="AM46" s="165"/>
      <c r="AN46" s="166"/>
      <c r="AO46" s="10"/>
      <c r="AP46" s="12"/>
      <c r="AQ46" s="12"/>
      <c r="AR46" s="12"/>
      <c r="AS46" s="12"/>
      <c r="AT46" s="12"/>
      <c r="AU46" s="12"/>
      <c r="AV46" s="12"/>
      <c r="AW46" s="12"/>
      <c r="AX46" s="12"/>
      <c r="AY46" s="12"/>
      <c r="AZ46" s="12"/>
      <c r="BA46" s="12"/>
      <c r="BB46" s="12"/>
      <c r="BC46" s="12"/>
      <c r="BD46" s="12"/>
      <c r="BE46" s="12"/>
      <c r="BF46" s="12"/>
      <c r="BG46" s="12"/>
      <c r="BH46" s="12"/>
      <c r="BI46" s="12"/>
      <c r="BJ46" s="12"/>
      <c r="BK46" s="12"/>
      <c r="BL46" s="12"/>
    </row>
    <row r="47" ht="25.5" customHeight="1">
      <c r="A47" s="155" cm="1">
        <f t="array" ref="A47">A46+1</f>
        <v>36</v>
      </c>
      <c r="B47" s="151"/>
      <c r="C47" s="170"/>
      <c r="D47" s="165"/>
      <c r="E47" s="164"/>
      <c r="F47" t="str" s="195" cm="1">
        <f t="array" ref="F47">IF(AG47="","",I47-H47)</f>
      </c>
      <c r="G47" s="160"/>
      <c r="H47" s="158"/>
      <c r="I47" t="str" s="159" cm="1">
        <f t="array" ref="I47">IF(AG47="","",P47-K47)</f>
      </c>
      <c r="J47" s="160"/>
      <c r="K47" s="158"/>
      <c r="L47" s="161"/>
      <c r="M47" s="161"/>
      <c r="N47" s="161"/>
      <c r="O47" s="161"/>
      <c r="P47" t="str" s="159" cm="1">
        <f t="array" ref="P47">IF(AG47="","",AC47-R47-Q47)</f>
      </c>
      <c r="Q47" s="162"/>
      <c r="R47" s="162"/>
      <c r="S47" s="161"/>
      <c r="T47" s="161"/>
      <c r="U47" s="161"/>
      <c r="V47" s="161"/>
      <c r="W47" s="161"/>
      <c r="X47" s="161"/>
      <c r="Y47" s="161"/>
      <c r="Z47" s="161"/>
      <c r="AA47" s="161"/>
      <c r="AB47" s="160"/>
      <c r="AC47" s="163"/>
      <c r="AD47" t="str" s="159" cm="1">
        <f t="array" ref="AD47">IF(AG47="","",$AG47-$AF47)</f>
      </c>
      <c r="AE47" s="160"/>
      <c r="AF47" s="196"/>
      <c r="AG47" s="165"/>
      <c r="AH47" s="164"/>
      <c r="AI47" s="163"/>
      <c r="AJ47" s="161"/>
      <c r="AK47" s="161"/>
      <c r="AL47" s="160"/>
      <c r="AM47" s="165"/>
      <c r="AN47" s="166"/>
      <c r="AO47" s="10"/>
      <c r="AP47" s="12"/>
      <c r="AQ47" s="12"/>
      <c r="AR47" s="12"/>
      <c r="AS47" s="12"/>
      <c r="AT47" s="12"/>
      <c r="AU47" s="12"/>
      <c r="AV47" s="12"/>
      <c r="AW47" s="12"/>
      <c r="AX47" s="12"/>
      <c r="AY47" s="12"/>
      <c r="AZ47" s="12"/>
      <c r="BA47" s="12"/>
      <c r="BB47" s="12"/>
      <c r="BC47" s="12"/>
      <c r="BD47" s="12"/>
      <c r="BE47" s="12"/>
      <c r="BF47" s="12"/>
      <c r="BG47" s="12"/>
      <c r="BH47" s="12"/>
      <c r="BI47" s="12"/>
      <c r="BJ47" s="12"/>
      <c r="BK47" s="12"/>
      <c r="BL47" s="12"/>
    </row>
    <row r="48" ht="25.5" customHeight="1">
      <c r="A48" s="155" cm="1">
        <f t="array" ref="A48">A47+1</f>
        <v>37</v>
      </c>
      <c r="B48" s="151"/>
      <c r="C48" s="170"/>
      <c r="D48" s="165"/>
      <c r="E48" s="164"/>
      <c r="F48" t="str" s="195" cm="1">
        <f t="array" ref="F48">IF(AG48="","",I48-H48)</f>
      </c>
      <c r="G48" s="160"/>
      <c r="H48" s="158"/>
      <c r="I48" t="str" s="159" cm="1">
        <f t="array" ref="I48">IF(AG48="","",P48-K48)</f>
      </c>
      <c r="J48" s="160"/>
      <c r="K48" s="158"/>
      <c r="L48" s="161"/>
      <c r="M48" s="161"/>
      <c r="N48" s="161"/>
      <c r="O48" s="161"/>
      <c r="P48" t="str" s="159" cm="1">
        <f t="array" ref="P48">IF(AG48="","",AC48-R48-Q48)</f>
      </c>
      <c r="Q48" s="162"/>
      <c r="R48" s="162"/>
      <c r="S48" s="161"/>
      <c r="T48" s="161"/>
      <c r="U48" s="161"/>
      <c r="V48" s="161"/>
      <c r="W48" s="161"/>
      <c r="X48" s="161"/>
      <c r="Y48" s="161"/>
      <c r="Z48" s="161"/>
      <c r="AA48" s="161"/>
      <c r="AB48" s="160"/>
      <c r="AC48" s="163"/>
      <c r="AD48" t="str" s="159" cm="1">
        <f t="array" ref="AD48">IF(AG48="","",$AG48-$AF48)</f>
      </c>
      <c r="AE48" s="160"/>
      <c r="AF48" s="196"/>
      <c r="AG48" s="165"/>
      <c r="AH48" s="164"/>
      <c r="AI48" s="163"/>
      <c r="AJ48" s="161"/>
      <c r="AK48" s="161"/>
      <c r="AL48" s="160"/>
      <c r="AM48" s="165"/>
      <c r="AN48" s="166"/>
      <c r="AO48" s="10"/>
      <c r="AP48" s="12"/>
      <c r="AQ48" s="12"/>
      <c r="AR48" s="12"/>
      <c r="AS48" s="12"/>
      <c r="AT48" s="12"/>
      <c r="AU48" s="12"/>
      <c r="AV48" s="12"/>
      <c r="AW48" s="12"/>
      <c r="AX48" s="12"/>
      <c r="AY48" s="12"/>
      <c r="AZ48" s="12"/>
      <c r="BA48" s="12"/>
      <c r="BB48" s="12"/>
      <c r="BC48" s="12"/>
      <c r="BD48" s="12"/>
      <c r="BE48" s="12"/>
      <c r="BF48" s="12"/>
      <c r="BG48" s="12"/>
      <c r="BH48" s="12"/>
      <c r="BI48" s="12"/>
      <c r="BJ48" s="12"/>
      <c r="BK48" s="12"/>
      <c r="BL48" s="12"/>
    </row>
    <row r="49" ht="25.5" customHeight="1">
      <c r="A49" s="155" cm="1">
        <f t="array" ref="A49">A48+1</f>
        <v>38</v>
      </c>
      <c r="B49" s="151"/>
      <c r="C49" s="170"/>
      <c r="D49" s="165"/>
      <c r="E49" s="164"/>
      <c r="F49" t="str" s="195" cm="1">
        <f t="array" ref="F49">IF(AG49="","",I49-H49)</f>
      </c>
      <c r="G49" s="160"/>
      <c r="H49" s="158"/>
      <c r="I49" t="str" s="159" cm="1">
        <f t="array" ref="I49">IF(AG49="","",P49-K49)</f>
      </c>
      <c r="J49" s="160"/>
      <c r="K49" s="158"/>
      <c r="L49" s="161"/>
      <c r="M49" s="161"/>
      <c r="N49" s="161"/>
      <c r="O49" s="161"/>
      <c r="P49" t="str" s="159" cm="1">
        <f t="array" ref="P49">IF(AG49="","",AC49-R49-Q49)</f>
      </c>
      <c r="Q49" s="162"/>
      <c r="R49" s="162"/>
      <c r="S49" s="161"/>
      <c r="T49" s="161"/>
      <c r="U49" s="161"/>
      <c r="V49" s="161"/>
      <c r="W49" s="161"/>
      <c r="X49" s="161"/>
      <c r="Y49" s="161"/>
      <c r="Z49" s="161"/>
      <c r="AA49" s="161"/>
      <c r="AB49" s="160"/>
      <c r="AC49" s="163"/>
      <c r="AD49" t="str" s="159" cm="1">
        <f t="array" ref="AD49">IF(AG49="","",$AG49-$AF49)</f>
      </c>
      <c r="AE49" s="160"/>
      <c r="AF49" s="196"/>
      <c r="AG49" s="165"/>
      <c r="AH49" s="164"/>
      <c r="AI49" s="163"/>
      <c r="AJ49" s="161"/>
      <c r="AK49" s="161"/>
      <c r="AL49" s="160"/>
      <c r="AM49" s="165"/>
      <c r="AN49" s="166"/>
      <c r="AO49" s="10"/>
      <c r="AP49" s="12"/>
      <c r="AQ49" s="12"/>
      <c r="AR49" s="12"/>
      <c r="AS49" s="12"/>
      <c r="AT49" s="12"/>
      <c r="AU49" s="12"/>
      <c r="AV49" s="12"/>
      <c r="AW49" s="12"/>
      <c r="AX49" s="12"/>
      <c r="AY49" s="12"/>
      <c r="AZ49" s="12"/>
      <c r="BA49" s="12"/>
      <c r="BB49" s="12"/>
      <c r="BC49" s="12"/>
      <c r="BD49" s="12"/>
      <c r="BE49" s="12"/>
      <c r="BF49" s="12"/>
      <c r="BG49" s="12"/>
      <c r="BH49" s="12"/>
      <c r="BI49" s="12"/>
      <c r="BJ49" s="12"/>
      <c r="BK49" s="12"/>
      <c r="BL49" s="12"/>
    </row>
    <row r="50" ht="25.5" customHeight="1">
      <c r="A50" s="155" cm="1">
        <f t="array" ref="A50">A49+1</f>
        <v>39</v>
      </c>
      <c r="B50" s="151"/>
      <c r="C50" s="170"/>
      <c r="D50" s="165"/>
      <c r="E50" s="164"/>
      <c r="F50" t="str" s="195" cm="1">
        <f t="array" ref="F50">IF(AG50="","",I50-H50)</f>
      </c>
      <c r="G50" s="160"/>
      <c r="H50" s="158"/>
      <c r="I50" t="str" s="159" cm="1">
        <f t="array" ref="I50">IF(AG50="","",P50-K50)</f>
      </c>
      <c r="J50" s="160"/>
      <c r="K50" s="158"/>
      <c r="L50" s="161"/>
      <c r="M50" s="161"/>
      <c r="N50" s="161"/>
      <c r="O50" s="161"/>
      <c r="P50" t="str" s="159" cm="1">
        <f t="array" ref="P50">IF(AG50="","",AC50-R50-Q50)</f>
      </c>
      <c r="Q50" s="162"/>
      <c r="R50" s="162"/>
      <c r="S50" s="161"/>
      <c r="T50" s="161"/>
      <c r="U50" s="161"/>
      <c r="V50" s="161"/>
      <c r="W50" s="161"/>
      <c r="X50" s="161"/>
      <c r="Y50" s="161"/>
      <c r="Z50" s="161"/>
      <c r="AA50" s="161"/>
      <c r="AB50" s="160"/>
      <c r="AC50" s="163"/>
      <c r="AD50" t="str" s="159" cm="1">
        <f t="array" ref="AD50">IF(AG50="","",$AG50-$AF50)</f>
      </c>
      <c r="AE50" s="160"/>
      <c r="AF50" s="196"/>
      <c r="AG50" s="165"/>
      <c r="AH50" s="164"/>
      <c r="AI50" s="163"/>
      <c r="AJ50" s="161"/>
      <c r="AK50" s="161"/>
      <c r="AL50" s="160"/>
      <c r="AM50" s="165"/>
      <c r="AN50" s="166"/>
      <c r="AO50" s="10"/>
      <c r="AP50" s="12"/>
      <c r="AQ50" s="12"/>
      <c r="AR50" s="12"/>
      <c r="AS50" s="12"/>
      <c r="AT50" s="12"/>
      <c r="AU50" s="12"/>
      <c r="AV50" s="12"/>
      <c r="AW50" s="12"/>
      <c r="AX50" s="12"/>
      <c r="AY50" s="12"/>
      <c r="AZ50" s="12"/>
      <c r="BA50" s="12"/>
      <c r="BB50" s="12"/>
      <c r="BC50" s="12"/>
      <c r="BD50" s="12"/>
      <c r="BE50" s="12"/>
      <c r="BF50" s="12"/>
      <c r="BG50" s="12"/>
      <c r="BH50" s="12"/>
      <c r="BI50" s="12"/>
      <c r="BJ50" s="12"/>
      <c r="BK50" s="12"/>
      <c r="BL50" s="12"/>
    </row>
    <row r="51" ht="25.5" customHeight="1">
      <c r="A51" s="155" cm="1">
        <f t="array" ref="A51">A50+1</f>
        <v>40</v>
      </c>
      <c r="B51" s="151"/>
      <c r="C51" s="170"/>
      <c r="D51" s="165"/>
      <c r="E51" s="164"/>
      <c r="F51" t="str" s="195" cm="1">
        <f t="array" ref="F51">IF(AG51="","",I51-H51)</f>
      </c>
      <c r="G51" s="160"/>
      <c r="H51" s="158"/>
      <c r="I51" t="str" s="159" cm="1">
        <f t="array" ref="I51">IF(AG51="","",P51-K51)</f>
      </c>
      <c r="J51" s="160"/>
      <c r="K51" s="158"/>
      <c r="L51" s="161"/>
      <c r="M51" s="161"/>
      <c r="N51" s="161"/>
      <c r="O51" s="161"/>
      <c r="P51" t="str" s="159" cm="1">
        <f t="array" ref="P51">IF(AG51="","",AC51-R51-Q51)</f>
      </c>
      <c r="Q51" s="162"/>
      <c r="R51" s="162"/>
      <c r="S51" s="161"/>
      <c r="T51" s="161"/>
      <c r="U51" s="161"/>
      <c r="V51" s="161"/>
      <c r="W51" s="161"/>
      <c r="X51" s="161"/>
      <c r="Y51" s="161"/>
      <c r="Z51" s="161"/>
      <c r="AA51" s="161"/>
      <c r="AB51" s="160"/>
      <c r="AC51" s="163"/>
      <c r="AD51" t="str" s="159" cm="1">
        <f t="array" ref="AD51">IF(AG51="","",$AG51-$AF51)</f>
      </c>
      <c r="AE51" s="160"/>
      <c r="AF51" s="196"/>
      <c r="AG51" s="165"/>
      <c r="AH51" s="164"/>
      <c r="AI51" s="163"/>
      <c r="AJ51" s="161"/>
      <c r="AK51" s="161"/>
      <c r="AL51" s="160"/>
      <c r="AM51" s="165"/>
      <c r="AN51" s="166"/>
      <c r="AO51" s="10"/>
      <c r="AP51" s="12"/>
      <c r="AQ51" s="12"/>
      <c r="AR51" s="12"/>
      <c r="AS51" s="12"/>
      <c r="AT51" s="12"/>
      <c r="AU51" s="12"/>
      <c r="AV51" s="12"/>
      <c r="AW51" s="12"/>
      <c r="AX51" s="12"/>
      <c r="AY51" s="12"/>
      <c r="AZ51" s="12"/>
      <c r="BA51" s="12"/>
      <c r="BB51" s="12"/>
      <c r="BC51" s="12"/>
      <c r="BD51" s="12"/>
      <c r="BE51" s="12"/>
      <c r="BF51" s="12"/>
      <c r="BG51" s="12"/>
      <c r="BH51" s="12"/>
      <c r="BI51" s="12"/>
      <c r="BJ51" s="12"/>
      <c r="BK51" s="12"/>
      <c r="BL51" s="12"/>
    </row>
    <row r="52" ht="25.5" customHeight="1">
      <c r="A52" s="155" cm="1">
        <f t="array" ref="A52">A51+1</f>
        <v>41</v>
      </c>
      <c r="B52" s="151"/>
      <c r="C52" s="170"/>
      <c r="D52" s="165"/>
      <c r="E52" s="164"/>
      <c r="F52" t="str" s="195" cm="1">
        <f t="array" ref="F52">IF(AG52="","",I52-H52)</f>
      </c>
      <c r="G52" s="160"/>
      <c r="H52" s="158"/>
      <c r="I52" t="str" s="159" cm="1">
        <f t="array" ref="I52">IF(AG52="","",P52-K52)</f>
      </c>
      <c r="J52" s="160"/>
      <c r="K52" s="158"/>
      <c r="L52" s="161"/>
      <c r="M52" s="161"/>
      <c r="N52" s="161"/>
      <c r="O52" s="161"/>
      <c r="P52" t="str" s="159" cm="1">
        <f t="array" ref="P52">IF(AG52="","",AC52-R52-Q52)</f>
      </c>
      <c r="Q52" s="162"/>
      <c r="R52" s="162"/>
      <c r="S52" s="161"/>
      <c r="T52" s="161"/>
      <c r="U52" s="161"/>
      <c r="V52" s="161"/>
      <c r="W52" s="161"/>
      <c r="X52" s="161"/>
      <c r="Y52" s="161"/>
      <c r="Z52" s="161"/>
      <c r="AA52" s="161"/>
      <c r="AB52" s="160"/>
      <c r="AC52" s="163"/>
      <c r="AD52" t="str" s="159" cm="1">
        <f t="array" ref="AD52">IF(AG52="","",$AG52-$AF52)</f>
      </c>
      <c r="AE52" s="160"/>
      <c r="AF52" s="196"/>
      <c r="AG52" s="165"/>
      <c r="AH52" s="164"/>
      <c r="AI52" s="163"/>
      <c r="AJ52" s="161"/>
      <c r="AK52" s="161"/>
      <c r="AL52" s="160"/>
      <c r="AM52" s="165"/>
      <c r="AN52" s="166"/>
      <c r="AO52" s="10"/>
      <c r="AP52" s="12"/>
      <c r="AQ52" s="12"/>
      <c r="AR52" s="12"/>
      <c r="AS52" s="12"/>
      <c r="AT52" s="12"/>
      <c r="AU52" s="12"/>
      <c r="AV52" s="12"/>
      <c r="AW52" s="12"/>
      <c r="AX52" s="12"/>
      <c r="AY52" s="12"/>
      <c r="AZ52" s="12"/>
      <c r="BA52" s="12"/>
      <c r="BB52" s="12"/>
      <c r="BC52" s="12"/>
      <c r="BD52" s="12"/>
      <c r="BE52" s="12"/>
      <c r="BF52" s="12"/>
      <c r="BG52" s="12"/>
      <c r="BH52" s="12"/>
      <c r="BI52" s="12"/>
      <c r="BJ52" s="12"/>
      <c r="BK52" s="12"/>
      <c r="BL52" s="12"/>
    </row>
    <row r="53" ht="25.5" customHeight="1">
      <c r="A53" s="155" cm="1">
        <f t="array" ref="A53">A52+1</f>
        <v>42</v>
      </c>
      <c r="B53" s="151"/>
      <c r="C53" s="170"/>
      <c r="D53" s="165"/>
      <c r="E53" s="164"/>
      <c r="F53" t="str" s="195" cm="1">
        <f t="array" ref="F53">IF(AG53="","",I53-H53)</f>
      </c>
      <c r="G53" s="160"/>
      <c r="H53" s="158"/>
      <c r="I53" t="str" s="159" cm="1">
        <f t="array" ref="I53">IF(AG53="","",P53-K53)</f>
      </c>
      <c r="J53" s="160"/>
      <c r="K53" s="158"/>
      <c r="L53" s="161"/>
      <c r="M53" s="161"/>
      <c r="N53" s="161"/>
      <c r="O53" s="161"/>
      <c r="P53" t="str" s="159" cm="1">
        <f t="array" ref="P53">IF(AG53="","",AC53-R53-Q53)</f>
      </c>
      <c r="Q53" s="162"/>
      <c r="R53" s="162"/>
      <c r="S53" s="161"/>
      <c r="T53" s="161"/>
      <c r="U53" s="161"/>
      <c r="V53" s="161"/>
      <c r="W53" s="161"/>
      <c r="X53" s="161"/>
      <c r="Y53" s="161"/>
      <c r="Z53" s="161"/>
      <c r="AA53" s="161"/>
      <c r="AB53" s="160"/>
      <c r="AC53" s="163"/>
      <c r="AD53" t="str" s="159" cm="1">
        <f t="array" ref="AD53">IF(AG53="","",$AG53-$AF53)</f>
      </c>
      <c r="AE53" s="160"/>
      <c r="AF53" s="196"/>
      <c r="AG53" s="165"/>
      <c r="AH53" s="164"/>
      <c r="AI53" s="163"/>
      <c r="AJ53" s="161"/>
      <c r="AK53" s="161"/>
      <c r="AL53" s="160"/>
      <c r="AM53" s="165"/>
      <c r="AN53" s="166"/>
      <c r="AO53" s="10"/>
      <c r="AP53" s="12"/>
      <c r="AQ53" s="12"/>
      <c r="AR53" s="12"/>
      <c r="AS53" s="12"/>
      <c r="AT53" s="12"/>
      <c r="AU53" s="12"/>
      <c r="AV53" s="12"/>
      <c r="AW53" s="12"/>
      <c r="AX53" s="12"/>
      <c r="AY53" s="12"/>
      <c r="AZ53" s="12"/>
      <c r="BA53" s="12"/>
      <c r="BB53" s="12"/>
      <c r="BC53" s="12"/>
      <c r="BD53" s="12"/>
      <c r="BE53" s="12"/>
      <c r="BF53" s="12"/>
      <c r="BG53" s="12"/>
      <c r="BH53" s="12"/>
      <c r="BI53" s="12"/>
      <c r="BJ53" s="12"/>
      <c r="BK53" s="12"/>
      <c r="BL53" s="12"/>
    </row>
    <row r="54" ht="25.5" customHeight="1">
      <c r="A54" s="155" cm="1">
        <f t="array" ref="A54">A53+1</f>
        <v>43</v>
      </c>
      <c r="B54" s="151"/>
      <c r="C54" t="s" s="156">
        <v>156</v>
      </c>
      <c r="D54" s="165"/>
      <c r="E54" s="164"/>
      <c r="F54" t="str" s="195" cm="1">
        <f t="array" ref="F54">IF(AG54="","",I54-H54)</f>
      </c>
      <c r="G54" s="160"/>
      <c r="H54" s="158"/>
      <c r="I54" t="str" s="159" cm="1">
        <f t="array" ref="I54">IF(AG54="","",P54-K54)</f>
      </c>
      <c r="J54" s="160"/>
      <c r="K54" s="158"/>
      <c r="L54" s="161"/>
      <c r="M54" s="161"/>
      <c r="N54" s="161"/>
      <c r="O54" s="161"/>
      <c r="P54" t="str" s="159" cm="1">
        <f t="array" ref="P54">IF(AG54="","",AC54-R54-Q54)</f>
      </c>
      <c r="Q54" s="162"/>
      <c r="R54" s="162"/>
      <c r="S54" s="161"/>
      <c r="T54" s="161"/>
      <c r="U54" s="161"/>
      <c r="V54" s="161"/>
      <c r="W54" s="161"/>
      <c r="X54" s="161"/>
      <c r="Y54" s="161"/>
      <c r="Z54" s="161"/>
      <c r="AA54" s="161"/>
      <c r="AB54" s="160"/>
      <c r="AC54" s="163"/>
      <c r="AD54" t="str" s="159" cm="1">
        <f t="array" ref="AD54">IF(AG54="","",$AG54-$AF54)</f>
      </c>
      <c r="AE54" s="160"/>
      <c r="AF54" s="196"/>
      <c r="AG54" s="165"/>
      <c r="AH54" s="164"/>
      <c r="AI54" s="163"/>
      <c r="AJ54" s="161"/>
      <c r="AK54" s="161"/>
      <c r="AL54" s="160"/>
      <c r="AM54" s="165"/>
      <c r="AN54" s="166"/>
      <c r="AO54" s="10"/>
      <c r="AP54" s="12"/>
      <c r="AQ54" s="12"/>
      <c r="AR54" s="12"/>
      <c r="AS54" s="12"/>
      <c r="AT54" s="12"/>
      <c r="AU54" s="12"/>
      <c r="AV54" s="12"/>
      <c r="AW54" s="12"/>
      <c r="AX54" s="12"/>
      <c r="AY54" s="12"/>
      <c r="AZ54" s="12"/>
      <c r="BA54" s="12"/>
      <c r="BB54" s="12"/>
      <c r="BC54" s="12"/>
      <c r="BD54" s="12"/>
      <c r="BE54" s="12"/>
      <c r="BF54" s="12"/>
      <c r="BG54" s="12"/>
      <c r="BH54" s="12"/>
      <c r="BI54" s="12"/>
      <c r="BJ54" s="12"/>
      <c r="BK54" s="12"/>
      <c r="BL54" s="12"/>
    </row>
    <row r="55" ht="25.5" customHeight="1">
      <c r="A55" s="155" cm="1">
        <f t="array" ref="A55">A54+1</f>
        <v>44</v>
      </c>
      <c r="B55" s="151"/>
      <c r="C55" s="170"/>
      <c r="D55" s="165"/>
      <c r="E55" s="164"/>
      <c r="F55" t="str" s="195" cm="1">
        <f t="array" ref="F55">IF(AG55="","",I55-H55)</f>
      </c>
      <c r="G55" s="160"/>
      <c r="H55" s="158"/>
      <c r="I55" t="str" s="159" cm="1">
        <f t="array" ref="I55">IF(AG55="","",P55-K55)</f>
      </c>
      <c r="J55" s="160"/>
      <c r="K55" s="158"/>
      <c r="L55" s="161"/>
      <c r="M55" s="161"/>
      <c r="N55" s="161"/>
      <c r="O55" s="161"/>
      <c r="P55" t="str" s="159" cm="1">
        <f t="array" ref="P55">IF(AG55="","",AC55-R55-Q55)</f>
      </c>
      <c r="Q55" s="162"/>
      <c r="R55" s="162"/>
      <c r="S55" s="161"/>
      <c r="T55" s="161"/>
      <c r="U55" s="161"/>
      <c r="V55" s="161"/>
      <c r="W55" s="161"/>
      <c r="X55" s="161"/>
      <c r="Y55" s="161"/>
      <c r="Z55" s="161"/>
      <c r="AA55" s="161"/>
      <c r="AB55" s="160"/>
      <c r="AC55" s="163"/>
      <c r="AD55" t="str" s="159" cm="1">
        <f t="array" ref="AD55">IF(AG55="","",$AG55-$AF55)</f>
      </c>
      <c r="AE55" s="160"/>
      <c r="AF55" s="196"/>
      <c r="AG55" s="165"/>
      <c r="AH55" s="164"/>
      <c r="AI55" s="163"/>
      <c r="AJ55" s="161"/>
      <c r="AK55" s="161"/>
      <c r="AL55" s="160"/>
      <c r="AM55" s="165"/>
      <c r="AN55" s="166"/>
      <c r="AO55" s="10"/>
      <c r="AP55" s="12"/>
      <c r="AQ55" s="12"/>
      <c r="AR55" s="12"/>
      <c r="AS55" s="12"/>
      <c r="AT55" s="12"/>
      <c r="AU55" s="12"/>
      <c r="AV55" s="12"/>
      <c r="AW55" s="12"/>
      <c r="AX55" s="12"/>
      <c r="AY55" s="12"/>
      <c r="AZ55" s="12"/>
      <c r="BA55" s="12"/>
      <c r="BB55" s="12"/>
      <c r="BC55" s="12"/>
      <c r="BD55" s="12"/>
      <c r="BE55" s="12"/>
      <c r="BF55" s="12"/>
      <c r="BG55" s="12"/>
      <c r="BH55" s="12"/>
      <c r="BI55" s="12"/>
      <c r="BJ55" s="12"/>
      <c r="BK55" s="12"/>
      <c r="BL55" s="12"/>
    </row>
    <row r="56" ht="25.5" customHeight="1">
      <c r="A56" s="155" cm="1">
        <f t="array" ref="A56">A55+1</f>
        <v>45</v>
      </c>
      <c r="B56" s="151"/>
      <c r="C56" s="170"/>
      <c r="D56" s="165"/>
      <c r="E56" s="164"/>
      <c r="F56" t="str" s="195" cm="1">
        <f t="array" ref="F56">IF(AG56="","",I56-H56)</f>
      </c>
      <c r="G56" s="160"/>
      <c r="H56" s="158"/>
      <c r="I56" t="str" s="159" cm="1">
        <f t="array" ref="I56">IF(AG56="","",P56-K56)</f>
      </c>
      <c r="J56" s="160"/>
      <c r="K56" s="158"/>
      <c r="L56" s="161"/>
      <c r="M56" s="161"/>
      <c r="N56" s="161"/>
      <c r="O56" s="161"/>
      <c r="P56" t="str" s="159" cm="1">
        <f t="array" ref="P56">IF(AG56="","",AC56-R56-Q56)</f>
      </c>
      <c r="Q56" s="162"/>
      <c r="R56" s="162"/>
      <c r="S56" s="161"/>
      <c r="T56" s="161"/>
      <c r="U56" s="161"/>
      <c r="V56" s="161"/>
      <c r="W56" s="161"/>
      <c r="X56" s="161"/>
      <c r="Y56" s="161"/>
      <c r="Z56" s="161"/>
      <c r="AA56" s="161"/>
      <c r="AB56" s="160"/>
      <c r="AC56" s="163"/>
      <c r="AD56" t="str" s="159" cm="1">
        <f t="array" ref="AD56">IF(AG56="","",$AG56-$AF56)</f>
      </c>
      <c r="AE56" s="160"/>
      <c r="AF56" s="196"/>
      <c r="AG56" s="165"/>
      <c r="AH56" s="164"/>
      <c r="AI56" s="163"/>
      <c r="AJ56" s="161"/>
      <c r="AK56" s="161"/>
      <c r="AL56" s="160"/>
      <c r="AM56" s="165"/>
      <c r="AN56" s="166"/>
      <c r="AO56" s="10"/>
      <c r="AP56" s="12"/>
      <c r="AQ56" s="12"/>
      <c r="AR56" s="12"/>
      <c r="AS56" s="12"/>
      <c r="AT56" s="12"/>
      <c r="AU56" s="12"/>
      <c r="AV56" s="12"/>
      <c r="AW56" s="12"/>
      <c r="AX56" s="12"/>
      <c r="AY56" s="12"/>
      <c r="AZ56" s="12"/>
      <c r="BA56" s="12"/>
      <c r="BB56" s="12"/>
      <c r="BC56" s="12"/>
      <c r="BD56" s="12"/>
      <c r="BE56" s="12"/>
      <c r="BF56" s="12"/>
      <c r="BG56" s="12"/>
      <c r="BH56" s="12"/>
      <c r="BI56" s="12"/>
      <c r="BJ56" s="12"/>
      <c r="BK56" s="12"/>
      <c r="BL56" s="12"/>
    </row>
    <row r="57" ht="25.5" customHeight="1">
      <c r="A57" s="155" cm="1">
        <f t="array" ref="A57">A56+1</f>
        <v>46</v>
      </c>
      <c r="B57" s="151"/>
      <c r="C57" s="170"/>
      <c r="D57" s="165"/>
      <c r="E57" s="164"/>
      <c r="F57" t="str" s="195" cm="1">
        <f t="array" ref="F57">IF(AG57="","",I57-H57)</f>
      </c>
      <c r="G57" s="160"/>
      <c r="H57" s="158"/>
      <c r="I57" t="str" s="159" cm="1">
        <f t="array" ref="I57">IF(AG57="","",P57-K57)</f>
      </c>
      <c r="J57" s="160"/>
      <c r="K57" s="158"/>
      <c r="L57" s="161"/>
      <c r="M57" s="161"/>
      <c r="N57" s="161"/>
      <c r="O57" s="161"/>
      <c r="P57" t="str" s="159" cm="1">
        <f t="array" ref="P57">IF(AG57="","",AC57-R57-Q57)</f>
      </c>
      <c r="Q57" s="162"/>
      <c r="R57" s="162"/>
      <c r="S57" s="161"/>
      <c r="T57" s="161"/>
      <c r="U57" s="161"/>
      <c r="V57" s="161"/>
      <c r="W57" s="161"/>
      <c r="X57" s="161"/>
      <c r="Y57" s="161"/>
      <c r="Z57" s="161"/>
      <c r="AA57" s="161"/>
      <c r="AB57" s="160"/>
      <c r="AC57" s="163"/>
      <c r="AD57" t="str" s="159" cm="1">
        <f t="array" ref="AD57">IF(AG57="","",$AG57-$AF57)</f>
      </c>
      <c r="AE57" s="160"/>
      <c r="AF57" s="196"/>
      <c r="AG57" s="165"/>
      <c r="AH57" s="164"/>
      <c r="AI57" s="163"/>
      <c r="AJ57" s="161"/>
      <c r="AK57" s="161"/>
      <c r="AL57" s="160"/>
      <c r="AM57" s="165"/>
      <c r="AN57" s="166"/>
      <c r="AO57" s="10"/>
      <c r="AP57" s="12"/>
      <c r="AQ57" s="12"/>
      <c r="AR57" s="12"/>
      <c r="AS57" s="12"/>
      <c r="AT57" s="12"/>
      <c r="AU57" s="12"/>
      <c r="AV57" s="12"/>
      <c r="AW57" s="12"/>
      <c r="AX57" s="12"/>
      <c r="AY57" s="12"/>
      <c r="AZ57" s="12"/>
      <c r="BA57" s="12"/>
      <c r="BB57" s="12"/>
      <c r="BC57" s="12"/>
      <c r="BD57" s="12"/>
      <c r="BE57" s="12"/>
      <c r="BF57" s="12"/>
      <c r="BG57" s="12"/>
      <c r="BH57" s="12"/>
      <c r="BI57" s="12"/>
      <c r="BJ57" s="12"/>
      <c r="BK57" s="12"/>
      <c r="BL57" s="12"/>
    </row>
    <row r="58" ht="25.5" customHeight="1">
      <c r="A58" s="155" cm="1">
        <f t="array" ref="A58">A57+1</f>
        <v>47</v>
      </c>
      <c r="B58" s="151"/>
      <c r="C58" s="170"/>
      <c r="D58" s="165"/>
      <c r="E58" s="164"/>
      <c r="F58" t="str" s="195" cm="1">
        <f t="array" ref="F58">IF(AG58="","",I58-H58)</f>
      </c>
      <c r="G58" s="160"/>
      <c r="H58" s="158"/>
      <c r="I58" t="str" s="159" cm="1">
        <f t="array" ref="I58">IF(AG58="","",P58-K58)</f>
      </c>
      <c r="J58" s="160"/>
      <c r="K58" s="158"/>
      <c r="L58" s="161"/>
      <c r="M58" s="161"/>
      <c r="N58" s="161"/>
      <c r="O58" s="161"/>
      <c r="P58" t="str" s="159" cm="1">
        <f t="array" ref="P58">IF(AG58="","",AC58-R58-Q58)</f>
      </c>
      <c r="Q58" s="162"/>
      <c r="R58" s="162"/>
      <c r="S58" s="161"/>
      <c r="T58" s="161"/>
      <c r="U58" s="161"/>
      <c r="V58" s="161"/>
      <c r="W58" s="161"/>
      <c r="X58" s="161"/>
      <c r="Y58" s="161"/>
      <c r="Z58" s="161"/>
      <c r="AA58" s="161"/>
      <c r="AB58" s="160"/>
      <c r="AC58" s="163"/>
      <c r="AD58" t="str" s="159" cm="1">
        <f t="array" ref="AD58">IF(AG58="","",$AG58-$AF58)</f>
      </c>
      <c r="AE58" s="160"/>
      <c r="AF58" s="196"/>
      <c r="AG58" s="165"/>
      <c r="AH58" s="164"/>
      <c r="AI58" s="163"/>
      <c r="AJ58" s="161"/>
      <c r="AK58" s="161"/>
      <c r="AL58" s="160"/>
      <c r="AM58" s="165"/>
      <c r="AN58" s="166"/>
      <c r="AO58" s="10"/>
      <c r="AP58" s="12"/>
      <c r="AQ58" s="12"/>
      <c r="AR58" s="12"/>
      <c r="AS58" s="12"/>
      <c r="AT58" s="12"/>
      <c r="AU58" s="12"/>
      <c r="AV58" s="12"/>
      <c r="AW58" s="12"/>
      <c r="AX58" s="12"/>
      <c r="AY58" s="12"/>
      <c r="AZ58" s="12"/>
      <c r="BA58" s="12"/>
      <c r="BB58" s="12"/>
      <c r="BC58" s="12"/>
      <c r="BD58" s="12"/>
      <c r="BE58" s="12"/>
      <c r="BF58" s="12"/>
      <c r="BG58" s="12"/>
      <c r="BH58" s="12"/>
      <c r="BI58" s="12"/>
      <c r="BJ58" s="12"/>
      <c r="BK58" s="12"/>
      <c r="BL58" s="12"/>
    </row>
    <row r="59" ht="25.5" customHeight="1">
      <c r="A59" s="155" cm="1">
        <f t="array" ref="A59">A58+1</f>
        <v>48</v>
      </c>
      <c r="B59" s="151"/>
      <c r="C59" s="170"/>
      <c r="D59" s="165"/>
      <c r="E59" s="164"/>
      <c r="F59" t="str" s="195" cm="1">
        <f t="array" ref="F59">IF(AG59="","",I59-H59)</f>
      </c>
      <c r="G59" s="160"/>
      <c r="H59" s="158"/>
      <c r="I59" t="str" s="159" cm="1">
        <f t="array" ref="I59">IF(AG59="","",P59-K59)</f>
      </c>
      <c r="J59" s="160"/>
      <c r="K59" s="158"/>
      <c r="L59" s="161"/>
      <c r="M59" s="161"/>
      <c r="N59" s="161"/>
      <c r="O59" s="161"/>
      <c r="P59" t="str" s="159" cm="1">
        <f t="array" ref="P59">IF(AG59="","",AC59-R59-Q59)</f>
      </c>
      <c r="Q59" s="162"/>
      <c r="R59" s="162"/>
      <c r="S59" s="161"/>
      <c r="T59" s="161"/>
      <c r="U59" s="161"/>
      <c r="V59" s="161"/>
      <c r="W59" s="161"/>
      <c r="X59" s="161"/>
      <c r="Y59" s="161"/>
      <c r="Z59" s="161"/>
      <c r="AA59" s="161"/>
      <c r="AB59" s="160"/>
      <c r="AC59" s="163"/>
      <c r="AD59" t="str" s="159" cm="1">
        <f t="array" ref="AD59">IF(AG59="","",$AG59-$AF59)</f>
      </c>
      <c r="AE59" s="160"/>
      <c r="AF59" s="196"/>
      <c r="AG59" s="165"/>
      <c r="AH59" s="164"/>
      <c r="AI59" s="163"/>
      <c r="AJ59" s="161"/>
      <c r="AK59" s="161"/>
      <c r="AL59" s="160"/>
      <c r="AM59" s="165"/>
      <c r="AN59" s="166"/>
      <c r="AO59" s="10"/>
      <c r="AP59" s="12"/>
      <c r="AQ59" s="12"/>
      <c r="AR59" s="12"/>
      <c r="AS59" s="12"/>
      <c r="AT59" s="12"/>
      <c r="AU59" s="12"/>
      <c r="AV59" s="12"/>
      <c r="AW59" s="12"/>
      <c r="AX59" s="12"/>
      <c r="AY59" s="12"/>
      <c r="AZ59" s="12"/>
      <c r="BA59" s="12"/>
      <c r="BB59" s="12"/>
      <c r="BC59" s="12"/>
      <c r="BD59" s="12"/>
      <c r="BE59" s="12"/>
      <c r="BF59" s="12"/>
      <c r="BG59" s="12"/>
      <c r="BH59" s="12"/>
      <c r="BI59" s="12"/>
      <c r="BJ59" s="12"/>
      <c r="BK59" s="12"/>
      <c r="BL59" s="12"/>
    </row>
    <row r="60" ht="25.5" customHeight="1">
      <c r="A60" s="155" cm="1">
        <f t="array" ref="A60">A59+1</f>
        <v>49</v>
      </c>
      <c r="B60" s="151"/>
      <c r="C60" s="170"/>
      <c r="D60" s="165"/>
      <c r="E60" s="164"/>
      <c r="F60" t="str" s="195" cm="1">
        <f t="array" ref="F60">IF(AG60="","",I60-H60)</f>
      </c>
      <c r="G60" s="160"/>
      <c r="H60" s="158"/>
      <c r="I60" t="str" s="159" cm="1">
        <f t="array" ref="I60">IF(AG60="","",P60-K60)</f>
      </c>
      <c r="J60" s="160"/>
      <c r="K60" s="158"/>
      <c r="L60" s="161"/>
      <c r="M60" s="161"/>
      <c r="N60" s="161"/>
      <c r="O60" s="161"/>
      <c r="P60" t="str" s="159" cm="1">
        <f t="array" ref="P60">IF(AG60="","",AC60-R60-Q60)</f>
      </c>
      <c r="Q60" s="162"/>
      <c r="R60" s="162"/>
      <c r="S60" s="161"/>
      <c r="T60" s="161"/>
      <c r="U60" s="161"/>
      <c r="V60" s="161"/>
      <c r="W60" s="161"/>
      <c r="X60" s="161"/>
      <c r="Y60" s="161"/>
      <c r="Z60" s="161"/>
      <c r="AA60" s="161"/>
      <c r="AB60" s="160"/>
      <c r="AC60" s="163"/>
      <c r="AD60" t="str" s="159" cm="1">
        <f t="array" ref="AD60">IF(AG60="","",$AG60-$AF60)</f>
      </c>
      <c r="AE60" s="160"/>
      <c r="AF60" s="196"/>
      <c r="AG60" s="165"/>
      <c r="AH60" s="164"/>
      <c r="AI60" s="163"/>
      <c r="AJ60" s="161"/>
      <c r="AK60" s="161"/>
      <c r="AL60" s="160"/>
      <c r="AM60" s="165"/>
      <c r="AN60" s="166"/>
      <c r="AO60" s="10"/>
      <c r="AP60" s="12"/>
      <c r="AQ60" s="12"/>
      <c r="AR60" s="12"/>
      <c r="AS60" s="12"/>
      <c r="AT60" s="12"/>
      <c r="AU60" s="12"/>
      <c r="AV60" s="12"/>
      <c r="AW60" s="12"/>
      <c r="AX60" s="12"/>
      <c r="AY60" s="12"/>
      <c r="AZ60" s="12"/>
      <c r="BA60" s="12"/>
      <c r="BB60" s="12"/>
      <c r="BC60" s="12"/>
      <c r="BD60" s="12"/>
      <c r="BE60" s="12"/>
      <c r="BF60" s="12"/>
      <c r="BG60" s="12"/>
      <c r="BH60" s="12"/>
      <c r="BI60" s="12"/>
      <c r="BJ60" s="12"/>
      <c r="BK60" s="12"/>
      <c r="BL60" s="12"/>
    </row>
    <row r="61" ht="25.5" customHeight="1">
      <c r="A61" s="155" cm="1">
        <f t="array" ref="A61">A60+1</f>
        <v>50</v>
      </c>
      <c r="B61" s="151"/>
      <c r="C61" s="170"/>
      <c r="D61" s="165"/>
      <c r="E61" s="164"/>
      <c r="F61" t="str" s="195" cm="1">
        <f t="array" ref="F61">IF(AG61="","",I61-H61)</f>
      </c>
      <c r="G61" s="160"/>
      <c r="H61" s="158"/>
      <c r="I61" t="str" s="159" cm="1">
        <f t="array" ref="I61">IF(AG61="","",P61-K61)</f>
      </c>
      <c r="J61" s="160"/>
      <c r="K61" s="158"/>
      <c r="L61" s="161"/>
      <c r="M61" s="161"/>
      <c r="N61" s="161"/>
      <c r="O61" s="161"/>
      <c r="P61" t="str" s="159" cm="1">
        <f t="array" ref="P61">IF(AG61="","",AC61-R61-Q61)</f>
      </c>
      <c r="Q61" s="162"/>
      <c r="R61" s="162"/>
      <c r="S61" s="161"/>
      <c r="T61" s="161"/>
      <c r="U61" s="161"/>
      <c r="V61" s="161"/>
      <c r="W61" s="161"/>
      <c r="X61" s="161"/>
      <c r="Y61" s="161"/>
      <c r="Z61" s="161"/>
      <c r="AA61" s="161"/>
      <c r="AB61" s="160"/>
      <c r="AC61" s="163"/>
      <c r="AD61" t="str" s="159" cm="1">
        <f t="array" ref="AD61">IF(AG61="","",$AG61-$AF61)</f>
      </c>
      <c r="AE61" s="160"/>
      <c r="AF61" s="196"/>
      <c r="AG61" s="165"/>
      <c r="AH61" s="164"/>
      <c r="AI61" s="163"/>
      <c r="AJ61" s="161"/>
      <c r="AK61" s="161"/>
      <c r="AL61" s="160"/>
      <c r="AM61" s="165"/>
      <c r="AN61" s="166"/>
      <c r="AO61" s="10"/>
      <c r="AP61" s="12"/>
      <c r="AQ61" s="12"/>
      <c r="AR61" s="12"/>
      <c r="AS61" s="12"/>
      <c r="AT61" s="12"/>
      <c r="AU61" s="12"/>
      <c r="AV61" s="12"/>
      <c r="AW61" s="12"/>
      <c r="AX61" s="12"/>
      <c r="AY61" s="12"/>
      <c r="AZ61" s="12"/>
      <c r="BA61" s="12"/>
      <c r="BB61" s="12"/>
      <c r="BC61" s="12"/>
      <c r="BD61" s="12"/>
      <c r="BE61" s="12"/>
      <c r="BF61" s="12"/>
      <c r="BG61" s="12"/>
      <c r="BH61" s="12"/>
      <c r="BI61" s="12"/>
      <c r="BJ61" s="12"/>
      <c r="BK61" s="12"/>
      <c r="BL61" s="12"/>
    </row>
    <row r="62" ht="25.5" customHeight="1">
      <c r="A62" s="155" cm="1">
        <f t="array" ref="A62">A61+1</f>
        <v>51</v>
      </c>
      <c r="B62" s="151"/>
      <c r="C62" s="170"/>
      <c r="D62" s="165"/>
      <c r="E62" s="164"/>
      <c r="F62" t="str" s="195" cm="1">
        <f t="array" ref="F62">IF(AG62="","",I62-H62)</f>
      </c>
      <c r="G62" s="160"/>
      <c r="H62" s="158"/>
      <c r="I62" t="str" s="159" cm="1">
        <f t="array" ref="I62">IF(AG62="","",P62-K62)</f>
      </c>
      <c r="J62" s="160"/>
      <c r="K62" s="158"/>
      <c r="L62" s="161"/>
      <c r="M62" s="161"/>
      <c r="N62" s="161"/>
      <c r="O62" s="161"/>
      <c r="P62" t="str" s="159" cm="1">
        <f t="array" ref="P62">IF(AG62="","",AC62-R62-Q62)</f>
      </c>
      <c r="Q62" s="162"/>
      <c r="R62" s="162"/>
      <c r="S62" s="161"/>
      <c r="T62" s="161"/>
      <c r="U62" s="161"/>
      <c r="V62" s="161"/>
      <c r="W62" s="161"/>
      <c r="X62" s="161"/>
      <c r="Y62" s="161"/>
      <c r="Z62" s="161"/>
      <c r="AA62" s="161"/>
      <c r="AB62" s="160"/>
      <c r="AC62" s="163"/>
      <c r="AD62" t="str" s="159" cm="1">
        <f t="array" ref="AD62">IF(AG62="","",$AG62-$AF62)</f>
      </c>
      <c r="AE62" s="160"/>
      <c r="AF62" s="196"/>
      <c r="AG62" s="165"/>
      <c r="AH62" s="164"/>
      <c r="AI62" s="163"/>
      <c r="AJ62" s="161"/>
      <c r="AK62" s="161"/>
      <c r="AL62" s="160"/>
      <c r="AM62" s="165"/>
      <c r="AN62" s="166"/>
      <c r="AO62" s="10"/>
      <c r="AP62" s="12"/>
      <c r="AQ62" s="12"/>
      <c r="AR62" s="12"/>
      <c r="AS62" s="12"/>
      <c r="AT62" s="12"/>
      <c r="AU62" s="12"/>
      <c r="AV62" s="12"/>
      <c r="AW62" s="12"/>
      <c r="AX62" s="12"/>
      <c r="AY62" s="12"/>
      <c r="AZ62" s="12"/>
      <c r="BA62" s="12"/>
      <c r="BB62" s="12"/>
      <c r="BC62" s="12"/>
      <c r="BD62" s="12"/>
      <c r="BE62" s="12"/>
      <c r="BF62" s="12"/>
      <c r="BG62" s="12"/>
      <c r="BH62" s="12"/>
      <c r="BI62" s="12"/>
      <c r="BJ62" s="12"/>
      <c r="BK62" s="12"/>
      <c r="BL62" s="12"/>
    </row>
    <row r="63" ht="25.5" customHeight="1">
      <c r="A63" s="155" cm="1">
        <f t="array" ref="A63">A62+1</f>
        <v>52</v>
      </c>
      <c r="B63" s="151"/>
      <c r="C63" s="170"/>
      <c r="D63" s="165"/>
      <c r="E63" s="164"/>
      <c r="F63" t="str" s="195" cm="1">
        <f t="array" ref="F63">IF(AG63="","",I63-H63)</f>
      </c>
      <c r="G63" s="160"/>
      <c r="H63" s="158"/>
      <c r="I63" t="str" s="159" cm="1">
        <f t="array" ref="I63">IF(AG63="","",P63-K63)</f>
      </c>
      <c r="J63" s="160"/>
      <c r="K63" s="158"/>
      <c r="L63" s="161"/>
      <c r="M63" s="161"/>
      <c r="N63" s="161"/>
      <c r="O63" s="161"/>
      <c r="P63" t="str" s="159" cm="1">
        <f t="array" ref="P63">IF(AG63="","",AC63-R63-Q63)</f>
      </c>
      <c r="Q63" s="162"/>
      <c r="R63" s="162"/>
      <c r="S63" s="161"/>
      <c r="T63" s="161"/>
      <c r="U63" s="161"/>
      <c r="V63" s="161"/>
      <c r="W63" s="161"/>
      <c r="X63" s="161"/>
      <c r="Y63" s="161"/>
      <c r="Z63" s="161"/>
      <c r="AA63" s="161"/>
      <c r="AB63" s="160"/>
      <c r="AC63" s="163"/>
      <c r="AD63" t="str" s="159" cm="1">
        <f t="array" ref="AD63">IF(AG63="","",$AG63-$AF63)</f>
      </c>
      <c r="AE63" s="160"/>
      <c r="AF63" s="196"/>
      <c r="AG63" s="165"/>
      <c r="AH63" s="164"/>
      <c r="AI63" s="163"/>
      <c r="AJ63" s="161"/>
      <c r="AK63" s="161"/>
      <c r="AL63" s="160"/>
      <c r="AM63" s="165"/>
      <c r="AN63" s="166"/>
      <c r="AO63" s="10"/>
      <c r="AP63" s="12"/>
      <c r="AQ63" s="12"/>
      <c r="AR63" s="12"/>
      <c r="AS63" s="12"/>
      <c r="AT63" s="12"/>
      <c r="AU63" s="12"/>
      <c r="AV63" s="12"/>
      <c r="AW63" s="12"/>
      <c r="AX63" s="12"/>
      <c r="AY63" s="12"/>
      <c r="AZ63" s="12"/>
      <c r="BA63" s="12"/>
      <c r="BB63" s="12"/>
      <c r="BC63" s="12"/>
      <c r="BD63" s="12"/>
      <c r="BE63" s="12"/>
      <c r="BF63" s="12"/>
      <c r="BG63" s="12"/>
      <c r="BH63" s="12"/>
      <c r="BI63" s="12"/>
      <c r="BJ63" s="12"/>
      <c r="BK63" s="12"/>
      <c r="BL63" s="12"/>
    </row>
    <row r="64" ht="25.5" customHeight="1">
      <c r="A64" s="155" cm="1">
        <f t="array" ref="A64">A63+1</f>
        <v>53</v>
      </c>
      <c r="B64" s="151"/>
      <c r="C64" s="170"/>
      <c r="D64" s="165"/>
      <c r="E64" s="164"/>
      <c r="F64" t="str" s="195" cm="1">
        <f t="array" ref="F64">IF(AG64="","",I64-H64)</f>
      </c>
      <c r="G64" s="160"/>
      <c r="H64" s="158"/>
      <c r="I64" t="str" s="159" cm="1">
        <f t="array" ref="I64">IF(AG64="","",P64-K64)</f>
      </c>
      <c r="J64" s="160"/>
      <c r="K64" s="158"/>
      <c r="L64" s="161"/>
      <c r="M64" s="161"/>
      <c r="N64" s="161"/>
      <c r="O64" s="161"/>
      <c r="P64" t="str" s="159" cm="1">
        <f t="array" ref="P64">IF(AG64="","",AC64-R64-Q64)</f>
      </c>
      <c r="Q64" s="162"/>
      <c r="R64" s="162"/>
      <c r="S64" s="161"/>
      <c r="T64" s="161"/>
      <c r="U64" s="161"/>
      <c r="V64" s="161"/>
      <c r="W64" s="161"/>
      <c r="X64" s="161"/>
      <c r="Y64" s="161"/>
      <c r="Z64" s="161"/>
      <c r="AA64" s="161"/>
      <c r="AB64" s="160"/>
      <c r="AC64" s="163"/>
      <c r="AD64" t="str" s="159" cm="1">
        <f t="array" ref="AD64">IF(AG64="","",$AG64-$AF64)</f>
      </c>
      <c r="AE64" s="160"/>
      <c r="AF64" s="196"/>
      <c r="AG64" s="165"/>
      <c r="AH64" s="164"/>
      <c r="AI64" s="163"/>
      <c r="AJ64" s="161"/>
      <c r="AK64" s="161"/>
      <c r="AL64" s="160"/>
      <c r="AM64" s="165"/>
      <c r="AN64" s="166"/>
      <c r="AO64" s="10"/>
      <c r="AP64" s="12"/>
      <c r="AQ64" s="12"/>
      <c r="AR64" s="12"/>
      <c r="AS64" s="12"/>
      <c r="AT64" s="12"/>
      <c r="AU64" s="12"/>
      <c r="AV64" s="12"/>
      <c r="AW64" s="12"/>
      <c r="AX64" s="12"/>
      <c r="AY64" s="12"/>
      <c r="AZ64" s="12"/>
      <c r="BA64" s="12"/>
      <c r="BB64" s="12"/>
      <c r="BC64" s="12"/>
      <c r="BD64" s="12"/>
      <c r="BE64" s="12"/>
      <c r="BF64" s="12"/>
      <c r="BG64" s="12"/>
      <c r="BH64" s="12"/>
      <c r="BI64" s="12"/>
      <c r="BJ64" s="12"/>
      <c r="BK64" s="12"/>
      <c r="BL64" s="12"/>
    </row>
    <row r="65" ht="25.5" customHeight="1">
      <c r="A65" s="155" cm="1">
        <f t="array" ref="A65">A64+1</f>
        <v>54</v>
      </c>
      <c r="B65" s="151"/>
      <c r="C65" s="170"/>
      <c r="D65" s="165"/>
      <c r="E65" s="164"/>
      <c r="F65" t="str" s="195" cm="1">
        <f t="array" ref="F65">IF(AG65="","",I65-H65)</f>
      </c>
      <c r="G65" s="160"/>
      <c r="H65" s="158"/>
      <c r="I65" t="str" s="159" cm="1">
        <f t="array" ref="I65">IF(AG65="","",P65-K65)</f>
      </c>
      <c r="J65" s="160"/>
      <c r="K65" s="158"/>
      <c r="L65" s="161"/>
      <c r="M65" s="161"/>
      <c r="N65" s="161"/>
      <c r="O65" s="161"/>
      <c r="P65" t="str" s="159" cm="1">
        <f t="array" ref="P65">IF(AG65="","",AC65-R65-Q65)</f>
      </c>
      <c r="Q65" s="162"/>
      <c r="R65" s="162"/>
      <c r="S65" s="161"/>
      <c r="T65" s="161"/>
      <c r="U65" s="161"/>
      <c r="V65" s="161"/>
      <c r="W65" s="161"/>
      <c r="X65" s="161"/>
      <c r="Y65" s="161"/>
      <c r="Z65" s="161"/>
      <c r="AA65" s="161"/>
      <c r="AB65" s="160"/>
      <c r="AC65" s="163"/>
      <c r="AD65" t="str" s="159" cm="1">
        <f t="array" ref="AD65">IF(AG65="","",$AG65-$AF65)</f>
      </c>
      <c r="AE65" s="160"/>
      <c r="AF65" s="196"/>
      <c r="AG65" s="165"/>
      <c r="AH65" s="164"/>
      <c r="AI65" s="163"/>
      <c r="AJ65" s="161"/>
      <c r="AK65" s="161"/>
      <c r="AL65" s="160"/>
      <c r="AM65" s="165"/>
      <c r="AN65" s="166"/>
      <c r="AO65" s="10"/>
      <c r="AP65" s="12"/>
      <c r="AQ65" s="12"/>
      <c r="AR65" s="12"/>
      <c r="AS65" s="12"/>
      <c r="AT65" s="12"/>
      <c r="AU65" s="12"/>
      <c r="AV65" s="12"/>
      <c r="AW65" s="12"/>
      <c r="AX65" s="12"/>
      <c r="AY65" s="12"/>
      <c r="AZ65" s="12"/>
      <c r="BA65" s="12"/>
      <c r="BB65" s="12"/>
      <c r="BC65" s="12"/>
      <c r="BD65" s="12"/>
      <c r="BE65" s="12"/>
      <c r="BF65" s="12"/>
      <c r="BG65" s="12"/>
      <c r="BH65" s="12"/>
      <c r="BI65" s="12"/>
      <c r="BJ65" s="12"/>
      <c r="BK65" s="12"/>
      <c r="BL65" s="12"/>
    </row>
    <row r="66" ht="25.5" customHeight="1">
      <c r="A66" s="155" cm="1">
        <f t="array" ref="A66">A65+1</f>
        <v>55</v>
      </c>
      <c r="B66" s="151"/>
      <c r="C66" s="170"/>
      <c r="D66" s="165"/>
      <c r="E66" s="164"/>
      <c r="F66" t="str" s="195" cm="1">
        <f t="array" ref="F66">IF(AG66="","",I66-H66)</f>
      </c>
      <c r="G66" s="160"/>
      <c r="H66" s="158"/>
      <c r="I66" t="str" s="159" cm="1">
        <f t="array" ref="I66">IF(AG66="","",P66-K66)</f>
      </c>
      <c r="J66" s="160"/>
      <c r="K66" s="158"/>
      <c r="L66" s="161"/>
      <c r="M66" s="161"/>
      <c r="N66" s="161"/>
      <c r="O66" s="161"/>
      <c r="P66" t="str" s="159" cm="1">
        <f t="array" ref="P66">IF(AG66="","",AC66-R66-Q66)</f>
      </c>
      <c r="Q66" s="162"/>
      <c r="R66" s="162"/>
      <c r="S66" s="161"/>
      <c r="T66" s="161"/>
      <c r="U66" s="161"/>
      <c r="V66" s="161"/>
      <c r="W66" s="161"/>
      <c r="X66" s="161"/>
      <c r="Y66" s="161"/>
      <c r="Z66" s="161"/>
      <c r="AA66" s="161"/>
      <c r="AB66" s="160"/>
      <c r="AC66" s="163"/>
      <c r="AD66" t="str" s="159" cm="1">
        <f t="array" ref="AD66">IF(AG66="","",$AG66-$AF66)</f>
      </c>
      <c r="AE66" s="160"/>
      <c r="AF66" s="196"/>
      <c r="AG66" s="165"/>
      <c r="AH66" s="164"/>
      <c r="AI66" s="163"/>
      <c r="AJ66" s="161"/>
      <c r="AK66" s="161"/>
      <c r="AL66" s="160"/>
      <c r="AM66" s="165"/>
      <c r="AN66" s="166"/>
      <c r="AO66" s="10"/>
      <c r="AP66" s="12"/>
      <c r="AQ66" s="12"/>
      <c r="AR66" s="12"/>
      <c r="AS66" s="12"/>
      <c r="AT66" s="12"/>
      <c r="AU66" s="12"/>
      <c r="AV66" s="12"/>
      <c r="AW66" s="12"/>
      <c r="AX66" s="12"/>
      <c r="AY66" s="12"/>
      <c r="AZ66" s="12"/>
      <c r="BA66" s="12"/>
      <c r="BB66" s="12"/>
      <c r="BC66" s="12"/>
      <c r="BD66" s="12"/>
      <c r="BE66" s="12"/>
      <c r="BF66" s="12"/>
      <c r="BG66" s="12"/>
      <c r="BH66" s="12"/>
      <c r="BI66" s="12"/>
      <c r="BJ66" s="12"/>
      <c r="BK66" s="12"/>
      <c r="BL66" s="12"/>
    </row>
    <row r="67" ht="25.5" customHeight="1">
      <c r="A67" s="155" cm="1">
        <f t="array" ref="A67">A66+1</f>
        <v>56</v>
      </c>
      <c r="B67" s="151"/>
      <c r="C67" s="170"/>
      <c r="D67" s="165"/>
      <c r="E67" s="164"/>
      <c r="F67" t="str" s="195" cm="1">
        <f t="array" ref="F67">IF(AG67="","",I67-H67)</f>
      </c>
      <c r="G67" s="160"/>
      <c r="H67" s="158"/>
      <c r="I67" t="str" s="159" cm="1">
        <f t="array" ref="I67">IF(AG67="","",P67-K67)</f>
      </c>
      <c r="J67" s="160"/>
      <c r="K67" s="158"/>
      <c r="L67" s="161"/>
      <c r="M67" s="161"/>
      <c r="N67" s="161"/>
      <c r="O67" s="161"/>
      <c r="P67" t="str" s="159" cm="1">
        <f t="array" ref="P67">IF(AG67="","",AC67-R67-Q67)</f>
      </c>
      <c r="Q67" s="162"/>
      <c r="R67" s="162"/>
      <c r="S67" s="161"/>
      <c r="T67" s="161"/>
      <c r="U67" s="161"/>
      <c r="V67" s="161"/>
      <c r="W67" s="161"/>
      <c r="X67" s="161"/>
      <c r="Y67" s="161"/>
      <c r="Z67" s="161"/>
      <c r="AA67" s="161"/>
      <c r="AB67" s="160"/>
      <c r="AC67" s="163"/>
      <c r="AD67" t="str" s="159" cm="1">
        <f t="array" ref="AD67">IF(AG67="","",$AG67-$AF67)</f>
      </c>
      <c r="AE67" s="160"/>
      <c r="AF67" s="196"/>
      <c r="AG67" s="165"/>
      <c r="AH67" s="164"/>
      <c r="AI67" s="163"/>
      <c r="AJ67" s="161"/>
      <c r="AK67" s="161"/>
      <c r="AL67" s="160"/>
      <c r="AM67" s="165"/>
      <c r="AN67" s="166"/>
      <c r="AO67" s="10"/>
      <c r="AP67" s="12"/>
      <c r="AQ67" s="12"/>
      <c r="AR67" s="12"/>
      <c r="AS67" s="12"/>
      <c r="AT67" s="12"/>
      <c r="AU67" s="12"/>
      <c r="AV67" s="12"/>
      <c r="AW67" s="12"/>
      <c r="AX67" s="12"/>
      <c r="AY67" s="12"/>
      <c r="AZ67" s="12"/>
      <c r="BA67" s="12"/>
      <c r="BB67" s="12"/>
      <c r="BC67" s="12"/>
      <c r="BD67" s="12"/>
      <c r="BE67" s="12"/>
      <c r="BF67" s="12"/>
      <c r="BG67" s="12"/>
      <c r="BH67" s="12"/>
      <c r="BI67" s="12"/>
      <c r="BJ67" s="12"/>
      <c r="BK67" s="12"/>
      <c r="BL67" s="12"/>
    </row>
    <row r="68" ht="25.5" customHeight="1">
      <c r="A68" s="155" cm="1">
        <f t="array" ref="A68">A67+1</f>
        <v>57</v>
      </c>
      <c r="B68" s="151"/>
      <c r="C68" s="170"/>
      <c r="D68" s="165"/>
      <c r="E68" s="164"/>
      <c r="F68" t="str" s="195" cm="1">
        <f t="array" ref="F68">IF(AG68="","",I68-H68)</f>
      </c>
      <c r="G68" s="160"/>
      <c r="H68" s="158"/>
      <c r="I68" t="str" s="159" cm="1">
        <f t="array" ref="I68">IF(AG68="","",P68-K68)</f>
      </c>
      <c r="J68" s="160"/>
      <c r="K68" s="158"/>
      <c r="L68" s="161"/>
      <c r="M68" s="161"/>
      <c r="N68" s="161"/>
      <c r="O68" s="161"/>
      <c r="P68" t="str" s="159" cm="1">
        <f t="array" ref="P68">IF(AG68="","",AC68-R68-Q68)</f>
      </c>
      <c r="Q68" s="162"/>
      <c r="R68" s="162"/>
      <c r="S68" s="161"/>
      <c r="T68" s="161"/>
      <c r="U68" s="161"/>
      <c r="V68" s="161"/>
      <c r="W68" s="161"/>
      <c r="X68" s="161"/>
      <c r="Y68" s="161"/>
      <c r="Z68" s="161"/>
      <c r="AA68" s="161"/>
      <c r="AB68" s="160"/>
      <c r="AC68" s="163"/>
      <c r="AD68" t="str" s="159" cm="1">
        <f t="array" ref="AD68">IF(AG68="","",$AG68-$AF68)</f>
      </c>
      <c r="AE68" s="160"/>
      <c r="AF68" s="196"/>
      <c r="AG68" s="165"/>
      <c r="AH68" s="164"/>
      <c r="AI68" s="163"/>
      <c r="AJ68" s="161"/>
      <c r="AK68" s="161"/>
      <c r="AL68" s="160"/>
      <c r="AM68" s="165"/>
      <c r="AN68" s="166"/>
      <c r="AO68" s="10"/>
      <c r="AP68" s="12"/>
      <c r="AQ68" s="12"/>
      <c r="AR68" s="12"/>
      <c r="AS68" s="12"/>
      <c r="AT68" s="12"/>
      <c r="AU68" s="12"/>
      <c r="AV68" s="12"/>
      <c r="AW68" s="12"/>
      <c r="AX68" s="12"/>
      <c r="AY68" s="12"/>
      <c r="AZ68" s="12"/>
      <c r="BA68" s="12"/>
      <c r="BB68" s="12"/>
      <c r="BC68" s="12"/>
      <c r="BD68" s="12"/>
      <c r="BE68" s="12"/>
      <c r="BF68" s="12"/>
      <c r="BG68" s="12"/>
      <c r="BH68" s="12"/>
      <c r="BI68" s="12"/>
      <c r="BJ68" s="12"/>
      <c r="BK68" s="12"/>
      <c r="BL68" s="12"/>
    </row>
    <row r="69" ht="25.5" customHeight="1">
      <c r="A69" s="155" cm="1">
        <f t="array" ref="A69">A68+1</f>
        <v>58</v>
      </c>
      <c r="B69" s="151"/>
      <c r="C69" s="170"/>
      <c r="D69" s="165"/>
      <c r="E69" s="164"/>
      <c r="F69" t="str" s="195" cm="1">
        <f t="array" ref="F69">IF(AG69="","",I69-H69)</f>
      </c>
      <c r="G69" s="160"/>
      <c r="H69" s="158"/>
      <c r="I69" t="str" s="159" cm="1">
        <f t="array" ref="I69">IF(AG69="","",P69-K69)</f>
      </c>
      <c r="J69" s="160"/>
      <c r="K69" s="158"/>
      <c r="L69" s="161"/>
      <c r="M69" s="161"/>
      <c r="N69" s="161"/>
      <c r="O69" s="161"/>
      <c r="P69" t="str" s="159" cm="1">
        <f t="array" ref="P69">IF(AG69="","",AC69-R69-Q69)</f>
      </c>
      <c r="Q69" s="162"/>
      <c r="R69" s="162"/>
      <c r="S69" s="161"/>
      <c r="T69" s="161"/>
      <c r="U69" s="161"/>
      <c r="V69" s="161"/>
      <c r="W69" s="161"/>
      <c r="X69" s="161"/>
      <c r="Y69" s="161"/>
      <c r="Z69" s="161"/>
      <c r="AA69" s="161"/>
      <c r="AB69" s="160"/>
      <c r="AC69" s="163"/>
      <c r="AD69" t="str" s="159" cm="1">
        <f t="array" ref="AD69">IF(AG69="","",$AG69-$AF69)</f>
      </c>
      <c r="AE69" s="160"/>
      <c r="AF69" s="196"/>
      <c r="AG69" s="165"/>
      <c r="AH69" s="164"/>
      <c r="AI69" s="163"/>
      <c r="AJ69" s="161"/>
      <c r="AK69" s="161"/>
      <c r="AL69" s="160"/>
      <c r="AM69" s="165"/>
      <c r="AN69" s="166"/>
      <c r="AO69" s="10"/>
      <c r="AP69" s="12"/>
      <c r="AQ69" s="12"/>
      <c r="AR69" s="12"/>
      <c r="AS69" s="12"/>
      <c r="AT69" s="12"/>
      <c r="AU69" s="12"/>
      <c r="AV69" s="12"/>
      <c r="AW69" s="12"/>
      <c r="AX69" s="12"/>
      <c r="AY69" s="12"/>
      <c r="AZ69" s="12"/>
      <c r="BA69" s="12"/>
      <c r="BB69" s="12"/>
      <c r="BC69" s="12"/>
      <c r="BD69" s="12"/>
      <c r="BE69" s="12"/>
      <c r="BF69" s="12"/>
      <c r="BG69" s="12"/>
      <c r="BH69" s="12"/>
      <c r="BI69" s="12"/>
      <c r="BJ69" s="12"/>
      <c r="BK69" s="12"/>
      <c r="BL69" s="12"/>
    </row>
    <row r="70" ht="25.5" customHeight="1">
      <c r="A70" s="155" cm="1">
        <f t="array" ref="A70">A69+1</f>
        <v>59</v>
      </c>
      <c r="B70" s="151"/>
      <c r="C70" s="170"/>
      <c r="D70" s="165"/>
      <c r="E70" s="164"/>
      <c r="F70" t="str" s="195" cm="1">
        <f t="array" ref="F70">IF(AG70="","",I70-H70)</f>
      </c>
      <c r="G70" s="160"/>
      <c r="H70" s="158"/>
      <c r="I70" t="str" s="159" cm="1">
        <f t="array" ref="I70">IF(AG70="","",P70-K70)</f>
      </c>
      <c r="J70" s="160"/>
      <c r="K70" s="158"/>
      <c r="L70" s="161"/>
      <c r="M70" s="161"/>
      <c r="N70" s="161"/>
      <c r="O70" s="161"/>
      <c r="P70" t="str" s="159" cm="1">
        <f t="array" ref="P70">IF(AG70="","",AC70-R70-Q70)</f>
      </c>
      <c r="Q70" s="162"/>
      <c r="R70" s="162"/>
      <c r="S70" s="161"/>
      <c r="T70" s="161"/>
      <c r="U70" s="161"/>
      <c r="V70" s="161"/>
      <c r="W70" s="161"/>
      <c r="X70" s="161"/>
      <c r="Y70" s="161"/>
      <c r="Z70" s="161"/>
      <c r="AA70" s="161"/>
      <c r="AB70" s="160"/>
      <c r="AC70" s="163"/>
      <c r="AD70" t="str" s="159" cm="1">
        <f t="array" ref="AD70">IF(AG70="","",$AG70-$AF70)</f>
      </c>
      <c r="AE70" s="160"/>
      <c r="AF70" s="196"/>
      <c r="AG70" s="165"/>
      <c r="AH70" s="164"/>
      <c r="AI70" s="163"/>
      <c r="AJ70" s="161"/>
      <c r="AK70" s="161"/>
      <c r="AL70" s="160"/>
      <c r="AM70" s="165"/>
      <c r="AN70" s="166"/>
      <c r="AO70" s="10"/>
      <c r="AP70" s="12"/>
      <c r="AQ70" s="12"/>
      <c r="AR70" s="12"/>
      <c r="AS70" s="12"/>
      <c r="AT70" s="12"/>
      <c r="AU70" s="12"/>
      <c r="AV70" s="12"/>
      <c r="AW70" s="12"/>
      <c r="AX70" s="12"/>
      <c r="AY70" s="12"/>
      <c r="AZ70" s="12"/>
      <c r="BA70" s="12"/>
      <c r="BB70" s="12"/>
      <c r="BC70" s="12"/>
      <c r="BD70" s="12"/>
      <c r="BE70" s="12"/>
      <c r="BF70" s="12"/>
      <c r="BG70" s="12"/>
      <c r="BH70" s="12"/>
      <c r="BI70" s="12"/>
      <c r="BJ70" s="12"/>
      <c r="BK70" s="12"/>
      <c r="BL70" s="12"/>
    </row>
    <row r="71" ht="25.5" customHeight="1">
      <c r="A71" s="155" cm="1">
        <f t="array" ref="A71">A70+1</f>
        <v>60</v>
      </c>
      <c r="B71" s="151"/>
      <c r="C71" s="170"/>
      <c r="D71" s="165"/>
      <c r="E71" s="164"/>
      <c r="F71" t="str" s="195" cm="1">
        <f t="array" ref="F71">IF(AG71="","",I71-H71)</f>
      </c>
      <c r="G71" s="160"/>
      <c r="H71" s="158"/>
      <c r="I71" t="str" s="159" cm="1">
        <f t="array" ref="I71">IF(AG71="","",P71-K71)</f>
      </c>
      <c r="J71" s="160"/>
      <c r="K71" s="158"/>
      <c r="L71" s="161"/>
      <c r="M71" s="161"/>
      <c r="N71" s="161"/>
      <c r="O71" s="161"/>
      <c r="P71" t="str" s="159" cm="1">
        <f t="array" ref="P71">IF(AG71="","",AC71-R71-Q71)</f>
      </c>
      <c r="Q71" s="162"/>
      <c r="R71" s="162"/>
      <c r="S71" s="161"/>
      <c r="T71" s="161"/>
      <c r="U71" s="161"/>
      <c r="V71" s="161"/>
      <c r="W71" s="161"/>
      <c r="X71" s="161"/>
      <c r="Y71" s="161"/>
      <c r="Z71" s="161"/>
      <c r="AA71" s="161"/>
      <c r="AB71" s="160"/>
      <c r="AC71" s="163"/>
      <c r="AD71" t="str" s="159" cm="1">
        <f t="array" ref="AD71">IF(AG71="","",$AG71-$AF71)</f>
      </c>
      <c r="AE71" s="160"/>
      <c r="AF71" s="196"/>
      <c r="AG71" s="165"/>
      <c r="AH71" s="164"/>
      <c r="AI71" s="163"/>
      <c r="AJ71" s="161"/>
      <c r="AK71" s="161"/>
      <c r="AL71" s="160"/>
      <c r="AM71" s="165"/>
      <c r="AN71" s="166"/>
      <c r="AO71" s="10"/>
      <c r="AP71" s="12"/>
      <c r="AQ71" s="12"/>
      <c r="AR71" s="12"/>
      <c r="AS71" s="12"/>
      <c r="AT71" s="12"/>
      <c r="AU71" s="12"/>
      <c r="AV71" s="12"/>
      <c r="AW71" s="12"/>
      <c r="AX71" s="12"/>
      <c r="AY71" s="12"/>
      <c r="AZ71" s="12"/>
      <c r="BA71" s="12"/>
      <c r="BB71" s="12"/>
      <c r="BC71" s="12"/>
      <c r="BD71" s="12"/>
      <c r="BE71" s="12"/>
      <c r="BF71" s="12"/>
      <c r="BG71" s="12"/>
      <c r="BH71" s="12"/>
      <c r="BI71" s="12"/>
      <c r="BJ71" s="12"/>
      <c r="BK71" s="12"/>
      <c r="BL71" s="12"/>
    </row>
    <row r="72" ht="25.5" customHeight="1">
      <c r="A72" s="155" cm="1">
        <f t="array" ref="A72">A71+1</f>
        <v>61</v>
      </c>
      <c r="B72" s="151"/>
      <c r="C72" s="170"/>
      <c r="D72" s="165"/>
      <c r="E72" s="164"/>
      <c r="F72" t="str" s="195" cm="1">
        <f t="array" ref="F72">IF(AG72="","",I72-H72)</f>
      </c>
      <c r="G72" s="160"/>
      <c r="H72" s="158"/>
      <c r="I72" t="str" s="159" cm="1">
        <f t="array" ref="I72">IF(AG72="","",P72-K72)</f>
      </c>
      <c r="J72" s="160"/>
      <c r="K72" s="158"/>
      <c r="L72" s="161"/>
      <c r="M72" s="161"/>
      <c r="N72" s="161"/>
      <c r="O72" s="161"/>
      <c r="P72" t="str" s="159" cm="1">
        <f t="array" ref="P72">IF(AG72="","",AC72-R72-Q72)</f>
      </c>
      <c r="Q72" s="162"/>
      <c r="R72" s="162"/>
      <c r="S72" s="161"/>
      <c r="T72" s="161"/>
      <c r="U72" s="161"/>
      <c r="V72" s="161"/>
      <c r="W72" s="161"/>
      <c r="X72" s="161"/>
      <c r="Y72" s="161"/>
      <c r="Z72" s="161"/>
      <c r="AA72" s="161"/>
      <c r="AB72" s="160"/>
      <c r="AC72" s="163"/>
      <c r="AD72" t="str" s="159" cm="1">
        <f t="array" ref="AD72">IF(AG72="","",$AG72-$AF72)</f>
      </c>
      <c r="AE72" s="160"/>
      <c r="AF72" s="196"/>
      <c r="AG72" s="165"/>
      <c r="AH72" s="164"/>
      <c r="AI72" s="163"/>
      <c r="AJ72" s="161"/>
      <c r="AK72" s="161"/>
      <c r="AL72" s="160"/>
      <c r="AM72" s="165"/>
      <c r="AN72" s="166"/>
      <c r="AO72" s="10"/>
      <c r="AP72" s="12"/>
      <c r="AQ72" s="12"/>
      <c r="AR72" s="12"/>
      <c r="AS72" s="12"/>
      <c r="AT72" s="12"/>
      <c r="AU72" s="12"/>
      <c r="AV72" s="12"/>
      <c r="AW72" s="12"/>
      <c r="AX72" s="12"/>
      <c r="AY72" s="12"/>
      <c r="AZ72" s="12"/>
      <c r="BA72" s="12"/>
      <c r="BB72" s="12"/>
      <c r="BC72" s="12"/>
      <c r="BD72" s="12"/>
      <c r="BE72" s="12"/>
      <c r="BF72" s="12"/>
      <c r="BG72" s="12"/>
      <c r="BH72" s="12"/>
      <c r="BI72" s="12"/>
      <c r="BJ72" s="12"/>
      <c r="BK72" s="12"/>
      <c r="BL72" s="12"/>
    </row>
    <row r="73" ht="25.5" customHeight="1">
      <c r="A73" s="155" cm="1">
        <f t="array" ref="A73">A72+1</f>
        <v>62</v>
      </c>
      <c r="B73" s="151"/>
      <c r="C73" s="170"/>
      <c r="D73" s="165"/>
      <c r="E73" s="164"/>
      <c r="F73" t="str" s="195" cm="1">
        <f t="array" ref="F73">IF(AG73="","",I73-H73)</f>
      </c>
      <c r="G73" s="160"/>
      <c r="H73" s="158"/>
      <c r="I73" t="str" s="159" cm="1">
        <f t="array" ref="I73">IF(AG73="","",P73-K73)</f>
      </c>
      <c r="J73" s="160"/>
      <c r="K73" s="158"/>
      <c r="L73" s="161"/>
      <c r="M73" s="161"/>
      <c r="N73" s="161"/>
      <c r="O73" s="161"/>
      <c r="P73" t="str" s="159" cm="1">
        <f t="array" ref="P73">IF(AG73="","",AC73-R73-Q73)</f>
      </c>
      <c r="Q73" s="162"/>
      <c r="R73" s="162"/>
      <c r="S73" s="161"/>
      <c r="T73" s="161"/>
      <c r="U73" s="161"/>
      <c r="V73" s="161"/>
      <c r="W73" s="161"/>
      <c r="X73" s="161"/>
      <c r="Y73" s="161"/>
      <c r="Z73" s="161"/>
      <c r="AA73" s="161"/>
      <c r="AB73" s="160"/>
      <c r="AC73" s="163"/>
      <c r="AD73" t="str" s="159" cm="1">
        <f t="array" ref="AD73">IF(AG73="","",$AG73-$AF73)</f>
      </c>
      <c r="AE73" s="160"/>
      <c r="AF73" s="196"/>
      <c r="AG73" s="165"/>
      <c r="AH73" s="164"/>
      <c r="AI73" s="163"/>
      <c r="AJ73" s="161"/>
      <c r="AK73" s="161"/>
      <c r="AL73" s="160"/>
      <c r="AM73" s="165"/>
      <c r="AN73" s="166"/>
      <c r="AO73" s="10"/>
      <c r="AP73" s="12"/>
      <c r="AQ73" s="12"/>
      <c r="AR73" s="12"/>
      <c r="AS73" s="12"/>
      <c r="AT73" s="12"/>
      <c r="AU73" s="12"/>
      <c r="AV73" s="12"/>
      <c r="AW73" s="12"/>
      <c r="AX73" s="12"/>
      <c r="AY73" s="12"/>
      <c r="AZ73" s="12"/>
      <c r="BA73" s="12"/>
      <c r="BB73" s="12"/>
      <c r="BC73" s="12"/>
      <c r="BD73" s="12"/>
      <c r="BE73" s="12"/>
      <c r="BF73" s="12"/>
      <c r="BG73" s="12"/>
      <c r="BH73" s="12"/>
      <c r="BI73" s="12"/>
      <c r="BJ73" s="12"/>
      <c r="BK73" s="12"/>
      <c r="BL73" s="12"/>
    </row>
    <row r="74" ht="25.5" customHeight="1">
      <c r="A74" s="155" cm="1">
        <f t="array" ref="A74">A73+1</f>
        <v>63</v>
      </c>
      <c r="B74" s="151"/>
      <c r="C74" s="170"/>
      <c r="D74" s="165"/>
      <c r="E74" s="164"/>
      <c r="F74" t="str" s="195" cm="1">
        <f t="array" ref="F74">IF(AG74="","",I74-H74)</f>
      </c>
      <c r="G74" s="160"/>
      <c r="H74" s="158"/>
      <c r="I74" t="str" s="159" cm="1">
        <f t="array" ref="I74">IF(AG74="","",P74-K74)</f>
      </c>
      <c r="J74" s="160"/>
      <c r="K74" s="158"/>
      <c r="L74" s="161"/>
      <c r="M74" s="161"/>
      <c r="N74" s="161"/>
      <c r="O74" s="161"/>
      <c r="P74" t="str" s="159" cm="1">
        <f t="array" ref="P74">IF(AG74="","",AC74-R74-Q74)</f>
      </c>
      <c r="Q74" s="162"/>
      <c r="R74" s="162"/>
      <c r="S74" s="161"/>
      <c r="T74" s="161"/>
      <c r="U74" s="161"/>
      <c r="V74" s="161"/>
      <c r="W74" s="161"/>
      <c r="X74" s="161"/>
      <c r="Y74" s="161"/>
      <c r="Z74" s="161"/>
      <c r="AA74" s="161"/>
      <c r="AB74" s="160"/>
      <c r="AC74" s="163"/>
      <c r="AD74" t="str" s="159" cm="1">
        <f t="array" ref="AD74">IF(AG74="","",$AG74-$AF74)</f>
      </c>
      <c r="AE74" s="160"/>
      <c r="AF74" s="196"/>
      <c r="AG74" s="165"/>
      <c r="AH74" s="164"/>
      <c r="AI74" s="163"/>
      <c r="AJ74" s="161"/>
      <c r="AK74" s="161"/>
      <c r="AL74" s="160"/>
      <c r="AM74" s="165"/>
      <c r="AN74" s="166"/>
      <c r="AO74" s="10"/>
      <c r="AP74" s="12"/>
      <c r="AQ74" s="12"/>
      <c r="AR74" s="12"/>
      <c r="AS74" s="12"/>
      <c r="AT74" s="12"/>
      <c r="AU74" s="12"/>
      <c r="AV74" s="12"/>
      <c r="AW74" s="12"/>
      <c r="AX74" s="12"/>
      <c r="AY74" s="12"/>
      <c r="AZ74" s="12"/>
      <c r="BA74" s="12"/>
      <c r="BB74" s="12"/>
      <c r="BC74" s="12"/>
      <c r="BD74" s="12"/>
      <c r="BE74" s="12"/>
      <c r="BF74" s="12"/>
      <c r="BG74" s="12"/>
      <c r="BH74" s="12"/>
      <c r="BI74" s="12"/>
      <c r="BJ74" s="12"/>
      <c r="BK74" s="12"/>
      <c r="BL74" s="12"/>
    </row>
    <row r="75" ht="25.5" customHeight="1">
      <c r="A75" s="155" cm="1">
        <f t="array" ref="A75">A74+1</f>
        <v>64</v>
      </c>
      <c r="B75" s="151"/>
      <c r="C75" s="170"/>
      <c r="D75" s="165"/>
      <c r="E75" s="164"/>
      <c r="F75" t="str" s="195" cm="1">
        <f t="array" ref="F75">IF(AG75="","",I75-H75)</f>
      </c>
      <c r="G75" s="160"/>
      <c r="H75" s="158"/>
      <c r="I75" t="str" s="159" cm="1">
        <f t="array" ref="I75">IF(AG75="","",P75-K75)</f>
      </c>
      <c r="J75" s="160"/>
      <c r="K75" s="158"/>
      <c r="L75" s="161"/>
      <c r="M75" s="161"/>
      <c r="N75" s="161"/>
      <c r="O75" s="161"/>
      <c r="P75" t="str" s="159" cm="1">
        <f t="array" ref="P75">IF(AG75="","",AC75-R75-Q75)</f>
      </c>
      <c r="Q75" s="162"/>
      <c r="R75" s="162"/>
      <c r="S75" s="161"/>
      <c r="T75" s="161"/>
      <c r="U75" s="161"/>
      <c r="V75" s="161"/>
      <c r="W75" s="161"/>
      <c r="X75" s="161"/>
      <c r="Y75" s="161"/>
      <c r="Z75" s="161"/>
      <c r="AA75" s="161"/>
      <c r="AB75" s="160"/>
      <c r="AC75" s="163"/>
      <c r="AD75" t="str" s="159" cm="1">
        <f t="array" ref="AD75">IF(AG75="","",$AG75-$AF75)</f>
      </c>
      <c r="AE75" s="160"/>
      <c r="AF75" s="196"/>
      <c r="AG75" s="165"/>
      <c r="AH75" s="164"/>
      <c r="AI75" s="163"/>
      <c r="AJ75" s="161"/>
      <c r="AK75" s="161"/>
      <c r="AL75" s="160"/>
      <c r="AM75" s="165"/>
      <c r="AN75" s="166"/>
      <c r="AO75" s="10"/>
      <c r="AP75" s="12"/>
      <c r="AQ75" s="12"/>
      <c r="AR75" s="12"/>
      <c r="AS75" s="12"/>
      <c r="AT75" s="12"/>
      <c r="AU75" s="12"/>
      <c r="AV75" s="12"/>
      <c r="AW75" s="12"/>
      <c r="AX75" s="12"/>
      <c r="AY75" s="12"/>
      <c r="AZ75" s="12"/>
      <c r="BA75" s="12"/>
      <c r="BB75" s="12"/>
      <c r="BC75" s="12"/>
      <c r="BD75" s="12"/>
      <c r="BE75" s="12"/>
      <c r="BF75" s="12"/>
      <c r="BG75" s="12"/>
      <c r="BH75" s="12"/>
      <c r="BI75" s="12"/>
      <c r="BJ75" s="12"/>
      <c r="BK75" s="12"/>
      <c r="BL75" s="12"/>
    </row>
    <row r="76" ht="25.5" customHeight="1">
      <c r="A76" s="155" cm="1">
        <f t="array" ref="A76">A75+1</f>
        <v>65</v>
      </c>
      <c r="B76" s="151"/>
      <c r="C76" s="170"/>
      <c r="D76" s="165"/>
      <c r="E76" s="164"/>
      <c r="F76" t="str" s="195" cm="1">
        <f t="array" ref="F76">IF(AG76="","",I76-H76)</f>
      </c>
      <c r="G76" s="160"/>
      <c r="H76" s="158"/>
      <c r="I76" t="str" s="159" cm="1">
        <f t="array" ref="I76">IF(AG76="","",P76-K76)</f>
      </c>
      <c r="J76" s="160"/>
      <c r="K76" s="158"/>
      <c r="L76" s="161"/>
      <c r="M76" s="161"/>
      <c r="N76" s="161"/>
      <c r="O76" s="161"/>
      <c r="P76" t="str" s="159" cm="1">
        <f t="array" ref="P76">IF(AG76="","",AC76-R76-Q76)</f>
      </c>
      <c r="Q76" s="162"/>
      <c r="R76" s="162"/>
      <c r="S76" s="161"/>
      <c r="T76" s="161"/>
      <c r="U76" s="161"/>
      <c r="V76" s="161"/>
      <c r="W76" s="161"/>
      <c r="X76" s="161"/>
      <c r="Y76" s="161"/>
      <c r="Z76" s="161"/>
      <c r="AA76" s="161"/>
      <c r="AB76" s="160"/>
      <c r="AC76" s="163"/>
      <c r="AD76" t="str" s="159" cm="1">
        <f t="array" ref="AD76">IF(AG76="","",$AG76-$AF76)</f>
      </c>
      <c r="AE76" s="160"/>
      <c r="AF76" s="196"/>
      <c r="AG76" s="165"/>
      <c r="AH76" s="164"/>
      <c r="AI76" s="163"/>
      <c r="AJ76" s="161"/>
      <c r="AK76" s="161"/>
      <c r="AL76" s="160"/>
      <c r="AM76" s="165"/>
      <c r="AN76" s="166"/>
      <c r="AO76" s="10"/>
      <c r="AP76" s="12"/>
      <c r="AQ76" s="12"/>
      <c r="AR76" s="12"/>
      <c r="AS76" s="12"/>
      <c r="AT76" s="12"/>
      <c r="AU76" s="12"/>
      <c r="AV76" s="12"/>
      <c r="AW76" s="12"/>
      <c r="AX76" s="12"/>
      <c r="AY76" s="12"/>
      <c r="AZ76" s="12"/>
      <c r="BA76" s="12"/>
      <c r="BB76" s="12"/>
      <c r="BC76" s="12"/>
      <c r="BD76" s="12"/>
      <c r="BE76" s="12"/>
      <c r="BF76" s="12"/>
      <c r="BG76" s="12"/>
      <c r="BH76" s="12"/>
      <c r="BI76" s="12"/>
      <c r="BJ76" s="12"/>
      <c r="BK76" s="12"/>
      <c r="BL76" s="12"/>
    </row>
    <row r="77" ht="25.5" customHeight="1">
      <c r="A77" s="155" cm="1">
        <f t="array" ref="A77">A76+1</f>
        <v>66</v>
      </c>
      <c r="B77" s="151"/>
      <c r="C77" s="170"/>
      <c r="D77" s="165"/>
      <c r="E77" s="164"/>
      <c r="F77" t="str" s="195" cm="1">
        <f t="array" ref="F77">IF(AG77="","",I77-H77)</f>
      </c>
      <c r="G77" s="160"/>
      <c r="H77" s="158"/>
      <c r="I77" t="str" s="159" cm="1">
        <f t="array" ref="I77">IF(AG77="","",P77-K77)</f>
      </c>
      <c r="J77" s="160"/>
      <c r="K77" s="158"/>
      <c r="L77" s="161"/>
      <c r="M77" s="161"/>
      <c r="N77" s="161"/>
      <c r="O77" s="161"/>
      <c r="P77" t="str" s="159" cm="1">
        <f t="array" ref="P77">IF(AG77="","",AC77-R77-Q77)</f>
      </c>
      <c r="Q77" s="162"/>
      <c r="R77" s="162"/>
      <c r="S77" s="161"/>
      <c r="T77" s="161"/>
      <c r="U77" s="161"/>
      <c r="V77" s="161"/>
      <c r="W77" s="161"/>
      <c r="X77" s="161"/>
      <c r="Y77" s="161"/>
      <c r="Z77" s="161"/>
      <c r="AA77" s="161"/>
      <c r="AB77" s="160"/>
      <c r="AC77" s="163"/>
      <c r="AD77" t="str" s="159" cm="1">
        <f t="array" ref="AD77">IF(AG77="","",$AG77-$AF77)</f>
      </c>
      <c r="AE77" s="160"/>
      <c r="AF77" s="196"/>
      <c r="AG77" s="165"/>
      <c r="AH77" s="164"/>
      <c r="AI77" s="163"/>
      <c r="AJ77" s="161"/>
      <c r="AK77" s="161"/>
      <c r="AL77" s="160"/>
      <c r="AM77" s="165"/>
      <c r="AN77" s="166"/>
      <c r="AO77" s="10"/>
      <c r="AP77" s="12"/>
      <c r="AQ77" s="12"/>
      <c r="AR77" s="12"/>
      <c r="AS77" s="12"/>
      <c r="AT77" s="12"/>
      <c r="AU77" s="12"/>
      <c r="AV77" s="12"/>
      <c r="AW77" s="12"/>
      <c r="AX77" s="12"/>
      <c r="AY77" s="12"/>
      <c r="AZ77" s="12"/>
      <c r="BA77" s="12"/>
      <c r="BB77" s="12"/>
      <c r="BC77" s="12"/>
      <c r="BD77" s="12"/>
      <c r="BE77" s="12"/>
      <c r="BF77" s="12"/>
      <c r="BG77" s="12"/>
      <c r="BH77" s="12"/>
      <c r="BI77" s="12"/>
      <c r="BJ77" s="12"/>
      <c r="BK77" s="12"/>
      <c r="BL77" s="12"/>
    </row>
    <row r="78" ht="25.5" customHeight="1">
      <c r="A78" s="155" cm="1">
        <f t="array" ref="A78">A77+1</f>
        <v>67</v>
      </c>
      <c r="B78" s="151"/>
      <c r="C78" s="170"/>
      <c r="D78" s="165"/>
      <c r="E78" s="164"/>
      <c r="F78" t="str" s="195" cm="1">
        <f t="array" ref="F78">IF(AG78="","",I78-H78)</f>
      </c>
      <c r="G78" s="160"/>
      <c r="H78" s="158"/>
      <c r="I78" t="str" s="159" cm="1">
        <f t="array" ref="I78">IF(AG78="","",P78-K78)</f>
      </c>
      <c r="J78" s="160"/>
      <c r="K78" s="158"/>
      <c r="L78" s="161"/>
      <c r="M78" s="161"/>
      <c r="N78" s="161"/>
      <c r="O78" s="161"/>
      <c r="P78" t="str" s="159" cm="1">
        <f t="array" ref="P78">IF(AG78="","",AC78-R78-Q78)</f>
      </c>
      <c r="Q78" s="162"/>
      <c r="R78" s="162"/>
      <c r="S78" s="161"/>
      <c r="T78" s="161"/>
      <c r="U78" s="161"/>
      <c r="V78" s="161"/>
      <c r="W78" s="161"/>
      <c r="X78" s="161"/>
      <c r="Y78" s="161"/>
      <c r="Z78" s="161"/>
      <c r="AA78" s="161"/>
      <c r="AB78" s="160"/>
      <c r="AC78" s="163"/>
      <c r="AD78" t="str" s="159" cm="1">
        <f t="array" ref="AD78">IF(AG78="","",$AG78-$AF78)</f>
      </c>
      <c r="AE78" s="160"/>
      <c r="AF78" s="196"/>
      <c r="AG78" s="165"/>
      <c r="AH78" s="164"/>
      <c r="AI78" s="163"/>
      <c r="AJ78" s="161"/>
      <c r="AK78" s="161"/>
      <c r="AL78" s="160"/>
      <c r="AM78" s="165"/>
      <c r="AN78" s="166"/>
      <c r="AO78" s="10"/>
      <c r="AP78" s="12"/>
      <c r="AQ78" s="12"/>
      <c r="AR78" s="12"/>
      <c r="AS78" s="12"/>
      <c r="AT78" s="12"/>
      <c r="AU78" s="12"/>
      <c r="AV78" s="12"/>
      <c r="AW78" s="12"/>
      <c r="AX78" s="12"/>
      <c r="AY78" s="12"/>
      <c r="AZ78" s="12"/>
      <c r="BA78" s="12"/>
      <c r="BB78" s="12"/>
      <c r="BC78" s="12"/>
      <c r="BD78" s="12"/>
      <c r="BE78" s="12"/>
      <c r="BF78" s="12"/>
      <c r="BG78" s="12"/>
      <c r="BH78" s="12"/>
      <c r="BI78" s="12"/>
      <c r="BJ78" s="12"/>
      <c r="BK78" s="12"/>
      <c r="BL78" s="12"/>
    </row>
    <row r="79" ht="25.5" customHeight="1">
      <c r="A79" s="155" cm="1">
        <f t="array" ref="A79">A78+1</f>
        <v>68</v>
      </c>
      <c r="B79" s="151"/>
      <c r="C79" s="170"/>
      <c r="D79" s="165"/>
      <c r="E79" s="164"/>
      <c r="F79" t="str" s="195" cm="1">
        <f t="array" ref="F79">IF(AG79="","",I79-H79)</f>
      </c>
      <c r="G79" s="160"/>
      <c r="H79" s="158"/>
      <c r="I79" t="str" s="159" cm="1">
        <f t="array" ref="I79">IF(AG79="","",P79-K79)</f>
      </c>
      <c r="J79" s="160"/>
      <c r="K79" s="158"/>
      <c r="L79" s="161"/>
      <c r="M79" s="161"/>
      <c r="N79" s="161"/>
      <c r="O79" s="161"/>
      <c r="P79" t="str" s="159" cm="1">
        <f t="array" ref="P79">IF(AG79="","",AC79-R79-Q79)</f>
      </c>
      <c r="Q79" s="162"/>
      <c r="R79" s="162"/>
      <c r="S79" s="161"/>
      <c r="T79" s="161"/>
      <c r="U79" s="161"/>
      <c r="V79" s="161"/>
      <c r="W79" s="161"/>
      <c r="X79" s="161"/>
      <c r="Y79" s="161"/>
      <c r="Z79" s="161"/>
      <c r="AA79" s="161"/>
      <c r="AB79" s="160"/>
      <c r="AC79" s="163"/>
      <c r="AD79" t="str" s="159" cm="1">
        <f t="array" ref="AD79">IF(AG79="","",$AG79-$AF79)</f>
      </c>
      <c r="AE79" s="160"/>
      <c r="AF79" s="196"/>
      <c r="AG79" s="165"/>
      <c r="AH79" s="164"/>
      <c r="AI79" s="163"/>
      <c r="AJ79" s="161"/>
      <c r="AK79" s="161"/>
      <c r="AL79" s="160"/>
      <c r="AM79" s="165"/>
      <c r="AN79" s="166"/>
      <c r="AO79" s="10"/>
      <c r="AP79" s="12"/>
      <c r="AQ79" s="12"/>
      <c r="AR79" s="12"/>
      <c r="AS79" s="12"/>
      <c r="AT79" s="12"/>
      <c r="AU79" s="12"/>
      <c r="AV79" s="12"/>
      <c r="AW79" s="12"/>
      <c r="AX79" s="12"/>
      <c r="AY79" s="12"/>
      <c r="AZ79" s="12"/>
      <c r="BA79" s="12"/>
      <c r="BB79" s="12"/>
      <c r="BC79" s="12"/>
      <c r="BD79" s="12"/>
      <c r="BE79" s="12"/>
      <c r="BF79" s="12"/>
      <c r="BG79" s="12"/>
      <c r="BH79" s="12"/>
      <c r="BI79" s="12"/>
      <c r="BJ79" s="12"/>
      <c r="BK79" s="12"/>
      <c r="BL79" s="12"/>
    </row>
    <row r="80" ht="25.5" customHeight="1">
      <c r="A80" s="155" cm="1">
        <f t="array" ref="A80">A79+1</f>
        <v>69</v>
      </c>
      <c r="B80" s="151"/>
      <c r="C80" s="170"/>
      <c r="D80" s="165"/>
      <c r="E80" s="164"/>
      <c r="F80" t="str" s="195" cm="1">
        <f t="array" ref="F80">IF(AG80="","",I80-H80)</f>
      </c>
      <c r="G80" s="160"/>
      <c r="H80" s="158"/>
      <c r="I80" t="str" s="159" cm="1">
        <f t="array" ref="I80">IF(AG80="","",P80-K80)</f>
      </c>
      <c r="J80" s="160"/>
      <c r="K80" s="158"/>
      <c r="L80" s="161"/>
      <c r="M80" s="161"/>
      <c r="N80" s="161"/>
      <c r="O80" s="161"/>
      <c r="P80" t="str" s="159" cm="1">
        <f t="array" ref="P80">IF(AG80="","",AC80-R80-Q80)</f>
      </c>
      <c r="Q80" s="162"/>
      <c r="R80" s="162"/>
      <c r="S80" s="161"/>
      <c r="T80" s="161"/>
      <c r="U80" s="161"/>
      <c r="V80" s="161"/>
      <c r="W80" s="161"/>
      <c r="X80" s="161"/>
      <c r="Y80" s="161"/>
      <c r="Z80" s="161"/>
      <c r="AA80" s="161"/>
      <c r="AB80" s="160"/>
      <c r="AC80" s="163"/>
      <c r="AD80" t="str" s="159" cm="1">
        <f t="array" ref="AD80">IF(AG80="","",$AG80-$AF80)</f>
      </c>
      <c r="AE80" s="160"/>
      <c r="AF80" s="196"/>
      <c r="AG80" s="165"/>
      <c r="AH80" s="164"/>
      <c r="AI80" s="163"/>
      <c r="AJ80" s="161"/>
      <c r="AK80" s="161"/>
      <c r="AL80" s="160"/>
      <c r="AM80" s="165"/>
      <c r="AN80" s="166"/>
      <c r="AO80" s="10"/>
      <c r="AP80" s="12"/>
      <c r="AQ80" s="12"/>
      <c r="AR80" s="12"/>
      <c r="AS80" s="12"/>
      <c r="AT80" s="12"/>
      <c r="AU80" s="12"/>
      <c r="AV80" s="12"/>
      <c r="AW80" s="12"/>
      <c r="AX80" s="12"/>
      <c r="AY80" s="12"/>
      <c r="AZ80" s="12"/>
      <c r="BA80" s="12"/>
      <c r="BB80" s="12"/>
      <c r="BC80" s="12"/>
      <c r="BD80" s="12"/>
      <c r="BE80" s="12"/>
      <c r="BF80" s="12"/>
      <c r="BG80" s="12"/>
      <c r="BH80" s="12"/>
      <c r="BI80" s="12"/>
      <c r="BJ80" s="12"/>
      <c r="BK80" s="12"/>
      <c r="BL80" s="12"/>
    </row>
    <row r="81" ht="25.5" customHeight="1">
      <c r="A81" s="155" cm="1">
        <f t="array" ref="A81">A80+1</f>
        <v>70</v>
      </c>
      <c r="B81" s="151"/>
      <c r="C81" s="170"/>
      <c r="D81" s="165"/>
      <c r="E81" s="164"/>
      <c r="F81" t="str" s="195" cm="1">
        <f t="array" ref="F81">IF(AG81="","",I81-H81)</f>
      </c>
      <c r="G81" s="160"/>
      <c r="H81" s="158"/>
      <c r="I81" t="str" s="159" cm="1">
        <f t="array" ref="I81">IF(AG81="","",P81-K81)</f>
      </c>
      <c r="J81" s="160"/>
      <c r="K81" s="158"/>
      <c r="L81" s="161"/>
      <c r="M81" s="161"/>
      <c r="N81" s="161"/>
      <c r="O81" s="161"/>
      <c r="P81" t="str" s="159" cm="1">
        <f t="array" ref="P81">IF(AG81="","",AC81-R81-Q81)</f>
      </c>
      <c r="Q81" s="162"/>
      <c r="R81" s="162"/>
      <c r="S81" s="161"/>
      <c r="T81" s="161"/>
      <c r="U81" s="161"/>
      <c r="V81" s="161"/>
      <c r="W81" s="161"/>
      <c r="X81" s="161"/>
      <c r="Y81" s="161"/>
      <c r="Z81" s="161"/>
      <c r="AA81" s="161"/>
      <c r="AB81" s="160"/>
      <c r="AC81" s="163"/>
      <c r="AD81" t="str" s="159" cm="1">
        <f t="array" ref="AD81">IF(AG81="","",$AG81-$AF81)</f>
      </c>
      <c r="AE81" s="160"/>
      <c r="AF81" s="196"/>
      <c r="AG81" s="165"/>
      <c r="AH81" s="164"/>
      <c r="AI81" s="163"/>
      <c r="AJ81" s="161"/>
      <c r="AK81" s="161"/>
      <c r="AL81" s="160"/>
      <c r="AM81" s="165"/>
      <c r="AN81" s="166"/>
      <c r="AO81" s="10"/>
      <c r="AP81" s="12"/>
      <c r="AQ81" s="12"/>
      <c r="AR81" s="12"/>
      <c r="AS81" s="12"/>
      <c r="AT81" s="12"/>
      <c r="AU81" s="12"/>
      <c r="AV81" s="12"/>
      <c r="AW81" s="12"/>
      <c r="AX81" s="12"/>
      <c r="AY81" s="12"/>
      <c r="AZ81" s="12"/>
      <c r="BA81" s="12"/>
      <c r="BB81" s="12"/>
      <c r="BC81" s="12"/>
      <c r="BD81" s="12"/>
      <c r="BE81" s="12"/>
      <c r="BF81" s="12"/>
      <c r="BG81" s="12"/>
      <c r="BH81" s="12"/>
      <c r="BI81" s="12"/>
      <c r="BJ81" s="12"/>
      <c r="BK81" s="12"/>
      <c r="BL81" s="12"/>
    </row>
    <row r="82" ht="25.5" customHeight="1">
      <c r="A82" s="155" cm="1">
        <f t="array" ref="A82">A81+1</f>
        <v>71</v>
      </c>
      <c r="B82" s="151"/>
      <c r="C82" s="170"/>
      <c r="D82" s="165"/>
      <c r="E82" s="164"/>
      <c r="F82" t="str" s="195" cm="1">
        <f t="array" ref="F82">IF(AG82="","",I82-H82)</f>
      </c>
      <c r="G82" s="160"/>
      <c r="H82" s="158"/>
      <c r="I82" t="str" s="159" cm="1">
        <f t="array" ref="I82">IF(AG82="","",P82-K82)</f>
      </c>
      <c r="J82" s="160"/>
      <c r="K82" s="158"/>
      <c r="L82" s="161"/>
      <c r="M82" s="161"/>
      <c r="N82" s="161"/>
      <c r="O82" s="161"/>
      <c r="P82" t="str" s="159" cm="1">
        <f t="array" ref="P82">IF(AG82="","",AC82-R82-Q82)</f>
      </c>
      <c r="Q82" s="162"/>
      <c r="R82" s="162"/>
      <c r="S82" s="161"/>
      <c r="T82" s="161"/>
      <c r="U82" s="161"/>
      <c r="V82" s="161"/>
      <c r="W82" s="161"/>
      <c r="X82" s="161"/>
      <c r="Y82" s="161"/>
      <c r="Z82" s="161"/>
      <c r="AA82" s="161"/>
      <c r="AB82" s="160"/>
      <c r="AC82" s="163"/>
      <c r="AD82" t="str" s="159" cm="1">
        <f t="array" ref="AD82">IF(AG82="","",$AG82-$AF82)</f>
      </c>
      <c r="AE82" s="160"/>
      <c r="AF82" s="196"/>
      <c r="AG82" s="165"/>
      <c r="AH82" s="164"/>
      <c r="AI82" s="163"/>
      <c r="AJ82" s="161"/>
      <c r="AK82" s="161"/>
      <c r="AL82" s="160"/>
      <c r="AM82" s="165"/>
      <c r="AN82" s="166"/>
      <c r="AO82" s="10"/>
      <c r="AP82" s="12"/>
      <c r="AQ82" s="12"/>
      <c r="AR82" s="12"/>
      <c r="AS82" s="12"/>
      <c r="AT82" s="12"/>
      <c r="AU82" s="12"/>
      <c r="AV82" s="12"/>
      <c r="AW82" s="12"/>
      <c r="AX82" s="12"/>
      <c r="AY82" s="12"/>
      <c r="AZ82" s="12"/>
      <c r="BA82" s="12"/>
      <c r="BB82" s="12"/>
      <c r="BC82" s="12"/>
      <c r="BD82" s="12"/>
      <c r="BE82" s="12"/>
      <c r="BF82" s="12"/>
      <c r="BG82" s="12"/>
      <c r="BH82" s="12"/>
      <c r="BI82" s="12"/>
      <c r="BJ82" s="12"/>
      <c r="BK82" s="12"/>
      <c r="BL82" s="12"/>
    </row>
    <row r="83" ht="25.5" customHeight="1">
      <c r="A83" s="155" cm="1">
        <f t="array" ref="A83">A82+1</f>
        <v>72</v>
      </c>
      <c r="B83" s="151"/>
      <c r="C83" s="170"/>
      <c r="D83" s="165"/>
      <c r="E83" s="164"/>
      <c r="F83" t="str" s="195" cm="1">
        <f t="array" ref="F83">IF(AG83="","",I83-H83)</f>
      </c>
      <c r="G83" s="160"/>
      <c r="H83" s="158"/>
      <c r="I83" t="str" s="159" cm="1">
        <f t="array" ref="I83">IF(AG83="","",P83-K83)</f>
      </c>
      <c r="J83" s="160"/>
      <c r="K83" s="158"/>
      <c r="L83" s="161"/>
      <c r="M83" s="161"/>
      <c r="N83" s="161"/>
      <c r="O83" s="161"/>
      <c r="P83" t="str" s="159" cm="1">
        <f t="array" ref="P83">IF(AG83="","",AC83-R83-Q83)</f>
      </c>
      <c r="Q83" s="162"/>
      <c r="R83" s="162"/>
      <c r="S83" s="161"/>
      <c r="T83" s="161"/>
      <c r="U83" s="161"/>
      <c r="V83" s="161"/>
      <c r="W83" s="161"/>
      <c r="X83" s="161"/>
      <c r="Y83" s="161"/>
      <c r="Z83" s="161"/>
      <c r="AA83" s="161"/>
      <c r="AB83" s="160"/>
      <c r="AC83" s="163"/>
      <c r="AD83" t="str" s="159" cm="1">
        <f t="array" ref="AD83">IF(AG83="","",$AG83-$AF83)</f>
      </c>
      <c r="AE83" s="160"/>
      <c r="AF83" s="196"/>
      <c r="AG83" s="165"/>
      <c r="AH83" s="164"/>
      <c r="AI83" s="163"/>
      <c r="AJ83" s="161"/>
      <c r="AK83" s="161"/>
      <c r="AL83" s="160"/>
      <c r="AM83" s="165"/>
      <c r="AN83" s="166"/>
      <c r="AO83" s="10"/>
      <c r="AP83" s="12"/>
      <c r="AQ83" s="12"/>
      <c r="AR83" s="12"/>
      <c r="AS83" s="12"/>
      <c r="AT83" s="12"/>
      <c r="AU83" s="12"/>
      <c r="AV83" s="12"/>
      <c r="AW83" s="12"/>
      <c r="AX83" s="12"/>
      <c r="AY83" s="12"/>
      <c r="AZ83" s="12"/>
      <c r="BA83" s="12"/>
      <c r="BB83" s="12"/>
      <c r="BC83" s="12"/>
      <c r="BD83" s="12"/>
      <c r="BE83" s="12"/>
      <c r="BF83" s="12"/>
      <c r="BG83" s="12"/>
      <c r="BH83" s="12"/>
      <c r="BI83" s="12"/>
      <c r="BJ83" s="12"/>
      <c r="BK83" s="12"/>
      <c r="BL83" s="12"/>
    </row>
    <row r="84" ht="25.9" customHeight="1">
      <c r="A84" s="155" cm="1">
        <f t="array" ref="A84">A83+1</f>
        <v>73</v>
      </c>
      <c r="B84" s="151"/>
      <c r="C84" s="170"/>
      <c r="D84" s="165"/>
      <c r="E84" s="164"/>
      <c r="F84" t="str" s="195" cm="1">
        <f t="array" ref="F84">IF(AG84="","",I84-H84)</f>
      </c>
      <c r="G84" s="160"/>
      <c r="H84" s="158"/>
      <c r="I84" t="str" s="159" cm="1">
        <f t="array" ref="I84">IF(AG84="","",P84-K84)</f>
      </c>
      <c r="J84" s="160"/>
      <c r="K84" s="158"/>
      <c r="L84" s="161"/>
      <c r="M84" s="161"/>
      <c r="N84" s="161"/>
      <c r="O84" s="161"/>
      <c r="P84" t="str" s="159" cm="1">
        <f t="array" ref="P84">IF(AG84="","",AC84-R84-Q84)</f>
      </c>
      <c r="Q84" s="162"/>
      <c r="R84" s="162"/>
      <c r="S84" s="161"/>
      <c r="T84" s="161"/>
      <c r="U84" s="161"/>
      <c r="V84" s="161"/>
      <c r="W84" s="161"/>
      <c r="X84" s="161"/>
      <c r="Y84" s="161"/>
      <c r="Z84" s="161"/>
      <c r="AA84" s="161"/>
      <c r="AB84" s="160"/>
      <c r="AC84" s="163"/>
      <c r="AD84" t="str" s="159" cm="1">
        <f t="array" ref="AD84">IF(AG84="","",$AG84-$AF84)</f>
      </c>
      <c r="AE84" s="160"/>
      <c r="AF84" s="196"/>
      <c r="AG84" s="165"/>
      <c r="AH84" s="164"/>
      <c r="AI84" s="163"/>
      <c r="AJ84" s="161"/>
      <c r="AK84" s="161"/>
      <c r="AL84" s="160"/>
      <c r="AM84" s="165"/>
      <c r="AN84" s="166"/>
      <c r="AO84" s="10"/>
      <c r="AP84" s="12"/>
      <c r="AQ84" s="12"/>
      <c r="AR84" s="12"/>
      <c r="AS84" s="12"/>
      <c r="AT84" s="12"/>
      <c r="AU84" s="12"/>
      <c r="AV84" s="12"/>
      <c r="AW84" s="12"/>
      <c r="AX84" s="12"/>
      <c r="AY84" s="12"/>
      <c r="AZ84" s="12"/>
      <c r="BA84" s="12"/>
      <c r="BB84" s="12"/>
      <c r="BC84" s="12"/>
      <c r="BD84" s="12"/>
      <c r="BE84" s="12"/>
      <c r="BF84" s="12"/>
      <c r="BG84" s="12"/>
      <c r="BH84" s="12"/>
      <c r="BI84" s="12"/>
      <c r="BJ84" s="12"/>
      <c r="BK84" s="12"/>
      <c r="BL84" s="12"/>
    </row>
    <row r="85" ht="25.5" customHeight="1">
      <c r="A85" s="155" cm="1">
        <f t="array" ref="A85">A84+1</f>
        <v>74</v>
      </c>
      <c r="B85" s="151"/>
      <c r="C85" s="170"/>
      <c r="D85" s="165"/>
      <c r="E85" s="164"/>
      <c r="F85" t="str" s="195" cm="1">
        <f t="array" ref="F85">IF(AG85="","",I85-H85)</f>
      </c>
      <c r="G85" s="160"/>
      <c r="H85" s="158"/>
      <c r="I85" t="str" s="159" cm="1">
        <f t="array" ref="I85">IF(AG85="","",P85-K85)</f>
      </c>
      <c r="J85" s="160"/>
      <c r="K85" s="158"/>
      <c r="L85" s="161"/>
      <c r="M85" s="161"/>
      <c r="N85" s="161"/>
      <c r="O85" s="161"/>
      <c r="P85" t="str" s="159" cm="1">
        <f t="array" ref="P85">IF(AG85="","",AC85-R85-Q85)</f>
      </c>
      <c r="Q85" s="162"/>
      <c r="R85" s="162"/>
      <c r="S85" s="161"/>
      <c r="T85" s="161"/>
      <c r="U85" s="161"/>
      <c r="V85" s="161"/>
      <c r="W85" s="161"/>
      <c r="X85" s="161"/>
      <c r="Y85" s="161"/>
      <c r="Z85" s="161"/>
      <c r="AA85" s="161"/>
      <c r="AB85" s="160"/>
      <c r="AC85" s="163"/>
      <c r="AD85" t="str" s="159" cm="1">
        <f t="array" ref="AD85">IF(AG85="","",$AG85-$AF85)</f>
      </c>
      <c r="AE85" s="160"/>
      <c r="AF85" s="196"/>
      <c r="AG85" s="165"/>
      <c r="AH85" s="164"/>
      <c r="AI85" s="163"/>
      <c r="AJ85" s="161"/>
      <c r="AK85" s="161"/>
      <c r="AL85" s="160"/>
      <c r="AM85" s="165"/>
      <c r="AN85" s="166"/>
      <c r="AO85" s="10"/>
      <c r="AP85" s="12"/>
      <c r="AQ85" s="12"/>
      <c r="AR85" s="12"/>
      <c r="AS85" s="12"/>
      <c r="AT85" s="12"/>
      <c r="AU85" s="12"/>
      <c r="AV85" s="12"/>
      <c r="AW85" s="12"/>
      <c r="AX85" s="12"/>
      <c r="AY85" s="12"/>
      <c r="AZ85" s="12"/>
      <c r="BA85" s="12"/>
      <c r="BB85" s="12"/>
      <c r="BC85" s="12"/>
      <c r="BD85" s="12"/>
      <c r="BE85" s="12"/>
      <c r="BF85" s="12"/>
      <c r="BG85" s="12"/>
      <c r="BH85" s="12"/>
      <c r="BI85" s="12"/>
      <c r="BJ85" s="12"/>
      <c r="BK85" s="12"/>
      <c r="BL85" s="12"/>
    </row>
    <row r="86" ht="25.5" customHeight="1">
      <c r="A86" s="155" cm="1">
        <f t="array" ref="A86">A85+1</f>
        <v>75</v>
      </c>
      <c r="B86" s="151"/>
      <c r="C86" s="170"/>
      <c r="D86" s="165"/>
      <c r="E86" s="164"/>
      <c r="F86" t="str" s="195" cm="1">
        <f t="array" ref="F86">IF(AG86="","",I86-H86)</f>
      </c>
      <c r="G86" s="160"/>
      <c r="H86" s="158"/>
      <c r="I86" t="str" s="159" cm="1">
        <f t="array" ref="I86">IF(AG86="","",P86-K86)</f>
      </c>
      <c r="J86" s="160"/>
      <c r="K86" s="158"/>
      <c r="L86" s="161"/>
      <c r="M86" s="161"/>
      <c r="N86" s="161"/>
      <c r="O86" s="161"/>
      <c r="P86" t="str" s="159" cm="1">
        <f t="array" ref="P86">IF(AG86="","",AC86-R86-Q86)</f>
      </c>
      <c r="Q86" s="162"/>
      <c r="R86" s="162"/>
      <c r="S86" s="161"/>
      <c r="T86" s="161"/>
      <c r="U86" s="161"/>
      <c r="V86" s="161"/>
      <c r="W86" s="161"/>
      <c r="X86" s="161"/>
      <c r="Y86" s="161"/>
      <c r="Z86" s="161"/>
      <c r="AA86" s="161"/>
      <c r="AB86" s="160"/>
      <c r="AC86" s="163"/>
      <c r="AD86" t="str" s="159" cm="1">
        <f t="array" ref="AD86">IF(AG86="","",$AG86-$AF86)</f>
      </c>
      <c r="AE86" s="160"/>
      <c r="AF86" s="196"/>
      <c r="AG86" s="165"/>
      <c r="AH86" s="164"/>
      <c r="AI86" s="163"/>
      <c r="AJ86" s="161"/>
      <c r="AK86" s="161"/>
      <c r="AL86" s="160"/>
      <c r="AM86" s="165"/>
      <c r="AN86" s="166"/>
      <c r="AO86" s="10"/>
      <c r="AP86" s="12"/>
      <c r="AQ86" s="12"/>
      <c r="AR86" s="12"/>
      <c r="AS86" s="12"/>
      <c r="AT86" s="12"/>
      <c r="AU86" s="12"/>
      <c r="AV86" s="12"/>
      <c r="AW86" s="12"/>
      <c r="AX86" s="12"/>
      <c r="AY86" s="12"/>
      <c r="AZ86" s="12"/>
      <c r="BA86" s="12"/>
      <c r="BB86" s="12"/>
      <c r="BC86" s="12"/>
      <c r="BD86" s="12"/>
      <c r="BE86" s="12"/>
      <c r="BF86" s="12"/>
      <c r="BG86" s="12"/>
      <c r="BH86" s="12"/>
      <c r="BI86" s="12"/>
      <c r="BJ86" s="12"/>
      <c r="BK86" s="12"/>
      <c r="BL86" s="12"/>
    </row>
    <row r="87" ht="25.5" customHeight="1">
      <c r="A87" s="155" cm="1">
        <f t="array" ref="A87">A86+1</f>
        <v>76</v>
      </c>
      <c r="B87" s="151"/>
      <c r="C87" s="170"/>
      <c r="D87" s="165"/>
      <c r="E87" s="164"/>
      <c r="F87" t="str" s="195" cm="1">
        <f t="array" ref="F87">IF(AG87="","",I87-H87)</f>
      </c>
      <c r="G87" s="160"/>
      <c r="H87" s="158"/>
      <c r="I87" t="str" s="159" cm="1">
        <f t="array" ref="I87">IF(AG87="","",P87-K87)</f>
      </c>
      <c r="J87" s="160"/>
      <c r="K87" s="158"/>
      <c r="L87" s="161"/>
      <c r="M87" s="161"/>
      <c r="N87" s="161"/>
      <c r="O87" s="161"/>
      <c r="P87" t="str" s="159" cm="1">
        <f t="array" ref="P87">IF(AG87="","",AC87-R87-Q87)</f>
      </c>
      <c r="Q87" s="162"/>
      <c r="R87" s="162"/>
      <c r="S87" s="161"/>
      <c r="T87" s="161"/>
      <c r="U87" s="161"/>
      <c r="V87" s="161"/>
      <c r="W87" s="161"/>
      <c r="X87" s="161"/>
      <c r="Y87" s="161"/>
      <c r="Z87" s="161"/>
      <c r="AA87" s="161"/>
      <c r="AB87" s="160"/>
      <c r="AC87" s="163"/>
      <c r="AD87" t="str" s="159" cm="1">
        <f t="array" ref="AD87">IF(AG87="","",$AG87-$AF87)</f>
      </c>
      <c r="AE87" s="160"/>
      <c r="AF87" s="196"/>
      <c r="AG87" s="165"/>
      <c r="AH87" s="164"/>
      <c r="AI87" s="163"/>
      <c r="AJ87" s="161"/>
      <c r="AK87" s="161"/>
      <c r="AL87" s="160"/>
      <c r="AM87" s="165"/>
      <c r="AN87" s="166"/>
      <c r="AO87" s="10"/>
      <c r="AP87" s="12"/>
      <c r="AQ87" s="12"/>
      <c r="AR87" s="12"/>
      <c r="AS87" s="12"/>
      <c r="AT87" s="12"/>
      <c r="AU87" s="12"/>
      <c r="AV87" s="12"/>
      <c r="AW87" s="12"/>
      <c r="AX87" s="12"/>
      <c r="AY87" s="12"/>
      <c r="AZ87" s="12"/>
      <c r="BA87" s="12"/>
      <c r="BB87" s="12"/>
      <c r="BC87" s="12"/>
      <c r="BD87" s="12"/>
      <c r="BE87" s="12"/>
      <c r="BF87" s="12"/>
      <c r="BG87" s="12"/>
      <c r="BH87" s="12"/>
      <c r="BI87" s="12"/>
      <c r="BJ87" s="12"/>
      <c r="BK87" s="12"/>
      <c r="BL87" s="12"/>
    </row>
    <row r="88" ht="25.5" customHeight="1">
      <c r="A88" s="155" cm="1">
        <f t="array" ref="A88">A87+1</f>
        <v>77</v>
      </c>
      <c r="B88" s="151"/>
      <c r="C88" s="170"/>
      <c r="D88" s="165"/>
      <c r="E88" s="164"/>
      <c r="F88" t="str" s="195" cm="1">
        <f t="array" ref="F88">IF(AG88="","",I88-H88)</f>
      </c>
      <c r="G88" s="160"/>
      <c r="H88" s="158"/>
      <c r="I88" t="str" s="159" cm="1">
        <f t="array" ref="I88">IF(AG88="","",P88-K88)</f>
      </c>
      <c r="J88" s="160"/>
      <c r="K88" s="158"/>
      <c r="L88" s="161"/>
      <c r="M88" s="161"/>
      <c r="N88" s="161"/>
      <c r="O88" s="161"/>
      <c r="P88" t="str" s="159" cm="1">
        <f t="array" ref="P88">IF(AG88="","",AC88-R88-Q88)</f>
      </c>
      <c r="Q88" s="162"/>
      <c r="R88" s="162"/>
      <c r="S88" s="161"/>
      <c r="T88" s="161"/>
      <c r="U88" s="161"/>
      <c r="V88" s="161"/>
      <c r="W88" s="161"/>
      <c r="X88" s="161"/>
      <c r="Y88" s="161"/>
      <c r="Z88" s="161"/>
      <c r="AA88" s="161"/>
      <c r="AB88" s="160"/>
      <c r="AC88" s="163"/>
      <c r="AD88" t="str" s="159" cm="1">
        <f t="array" ref="AD88">IF(AG88="","",$AG88-$AF88)</f>
      </c>
      <c r="AE88" s="160"/>
      <c r="AF88" s="196"/>
      <c r="AG88" s="165"/>
      <c r="AH88" s="164"/>
      <c r="AI88" s="163"/>
      <c r="AJ88" s="161"/>
      <c r="AK88" s="161"/>
      <c r="AL88" s="160"/>
      <c r="AM88" s="165"/>
      <c r="AN88" s="166"/>
      <c r="AO88" s="10"/>
      <c r="AP88" s="12"/>
      <c r="AQ88" s="12"/>
      <c r="AR88" s="12"/>
      <c r="AS88" s="12"/>
      <c r="AT88" s="12"/>
      <c r="AU88" s="12"/>
      <c r="AV88" s="12"/>
      <c r="AW88" s="12"/>
      <c r="AX88" s="12"/>
      <c r="AY88" s="12"/>
      <c r="AZ88" s="12"/>
      <c r="BA88" s="12"/>
      <c r="BB88" s="12"/>
      <c r="BC88" s="12"/>
      <c r="BD88" s="12"/>
      <c r="BE88" s="12"/>
      <c r="BF88" s="12"/>
      <c r="BG88" s="12"/>
      <c r="BH88" s="12"/>
      <c r="BI88" s="12"/>
      <c r="BJ88" s="12"/>
      <c r="BK88" s="12"/>
      <c r="BL88" s="12"/>
    </row>
    <row r="89" ht="25.5" customHeight="1">
      <c r="A89" s="155" cm="1">
        <f t="array" ref="A89">A88+1</f>
        <v>78</v>
      </c>
      <c r="B89" s="151"/>
      <c r="C89" s="170"/>
      <c r="D89" s="165"/>
      <c r="E89" s="164"/>
      <c r="F89" t="str" s="195" cm="1">
        <f t="array" ref="F89">IF(AG89="","",I89-H89)</f>
      </c>
      <c r="G89" s="160"/>
      <c r="H89" s="158"/>
      <c r="I89" t="str" s="159" cm="1">
        <f t="array" ref="I89">IF(AG89="","",P89-K89)</f>
      </c>
      <c r="J89" s="160"/>
      <c r="K89" s="158"/>
      <c r="L89" s="161"/>
      <c r="M89" s="161"/>
      <c r="N89" s="161"/>
      <c r="O89" s="161"/>
      <c r="P89" t="str" s="159" cm="1">
        <f t="array" ref="P89">IF(AG89="","",AC89-R89-Q89)</f>
      </c>
      <c r="Q89" s="162"/>
      <c r="R89" s="162"/>
      <c r="S89" s="161"/>
      <c r="T89" s="161"/>
      <c r="U89" s="161"/>
      <c r="V89" s="161"/>
      <c r="W89" s="161"/>
      <c r="X89" s="161"/>
      <c r="Y89" s="161"/>
      <c r="Z89" s="161"/>
      <c r="AA89" s="161"/>
      <c r="AB89" s="160"/>
      <c r="AC89" s="163"/>
      <c r="AD89" t="str" s="159" cm="1">
        <f t="array" ref="AD89">IF(AG89="","",$AG89-$AF89)</f>
      </c>
      <c r="AE89" s="160"/>
      <c r="AF89" s="196"/>
      <c r="AG89" s="165"/>
      <c r="AH89" s="164"/>
      <c r="AI89" s="163"/>
      <c r="AJ89" s="161"/>
      <c r="AK89" s="161"/>
      <c r="AL89" s="160"/>
      <c r="AM89" s="165"/>
      <c r="AN89" s="166"/>
      <c r="AO89" s="10"/>
      <c r="AP89" s="12"/>
      <c r="AQ89" s="12"/>
      <c r="AR89" s="12"/>
      <c r="AS89" s="12"/>
      <c r="AT89" s="12"/>
      <c r="AU89" s="12"/>
      <c r="AV89" s="12"/>
      <c r="AW89" s="12"/>
      <c r="AX89" s="12"/>
      <c r="AY89" s="12"/>
      <c r="AZ89" s="12"/>
      <c r="BA89" s="12"/>
      <c r="BB89" s="12"/>
      <c r="BC89" s="12"/>
      <c r="BD89" s="12"/>
      <c r="BE89" s="12"/>
      <c r="BF89" s="12"/>
      <c r="BG89" s="12"/>
      <c r="BH89" s="12"/>
      <c r="BI89" s="12"/>
      <c r="BJ89" s="12"/>
      <c r="BK89" s="12"/>
      <c r="BL89" s="12"/>
    </row>
    <row r="90" ht="25.5" customHeight="1">
      <c r="A90" s="155" cm="1">
        <f t="array" ref="A90">A89+1</f>
        <v>79</v>
      </c>
      <c r="B90" s="151"/>
      <c r="C90" s="170"/>
      <c r="D90" s="165"/>
      <c r="E90" s="164"/>
      <c r="F90" t="str" s="195" cm="1">
        <f t="array" ref="F90">IF(AG90="","",I90-H90)</f>
      </c>
      <c r="G90" s="160"/>
      <c r="H90" s="158"/>
      <c r="I90" t="str" s="159" cm="1">
        <f t="array" ref="I90">IF(AG90="","",P90-K90)</f>
      </c>
      <c r="J90" s="160"/>
      <c r="K90" s="158"/>
      <c r="L90" s="161"/>
      <c r="M90" s="161"/>
      <c r="N90" s="161"/>
      <c r="O90" s="161"/>
      <c r="P90" t="str" s="159" cm="1">
        <f t="array" ref="P90">IF(AG90="","",AC90-R90-Q90)</f>
      </c>
      <c r="Q90" s="162"/>
      <c r="R90" s="162"/>
      <c r="S90" s="161"/>
      <c r="T90" s="161"/>
      <c r="U90" s="161"/>
      <c r="V90" s="161"/>
      <c r="W90" s="161"/>
      <c r="X90" s="161"/>
      <c r="Y90" s="161"/>
      <c r="Z90" s="161"/>
      <c r="AA90" s="161"/>
      <c r="AB90" s="160"/>
      <c r="AC90" s="163"/>
      <c r="AD90" t="str" s="159" cm="1">
        <f t="array" ref="AD90">IF(AG90="","",$AG90-$AF90)</f>
      </c>
      <c r="AE90" s="160"/>
      <c r="AF90" s="196"/>
      <c r="AG90" s="165"/>
      <c r="AH90" s="164"/>
      <c r="AI90" s="163"/>
      <c r="AJ90" s="161"/>
      <c r="AK90" s="161"/>
      <c r="AL90" s="160"/>
      <c r="AM90" s="165"/>
      <c r="AN90" s="166"/>
      <c r="AO90" s="10"/>
      <c r="AP90" s="12"/>
      <c r="AQ90" s="12"/>
      <c r="AR90" s="12"/>
      <c r="AS90" s="12"/>
      <c r="AT90" s="12"/>
      <c r="AU90" s="12"/>
      <c r="AV90" s="12"/>
      <c r="AW90" s="12"/>
      <c r="AX90" s="12"/>
      <c r="AY90" s="12"/>
      <c r="AZ90" s="12"/>
      <c r="BA90" s="12"/>
      <c r="BB90" s="12"/>
      <c r="BC90" s="12"/>
      <c r="BD90" s="12"/>
      <c r="BE90" s="12"/>
      <c r="BF90" s="12"/>
      <c r="BG90" s="12"/>
      <c r="BH90" s="12"/>
      <c r="BI90" s="12"/>
      <c r="BJ90" s="12"/>
      <c r="BK90" s="12"/>
      <c r="BL90" s="12"/>
    </row>
    <row r="91" ht="25.5" customHeight="1">
      <c r="A91" s="155" cm="1">
        <f t="array" ref="A91">A90+1</f>
        <v>80</v>
      </c>
      <c r="B91" s="151"/>
      <c r="C91" s="170"/>
      <c r="D91" s="165"/>
      <c r="E91" s="164"/>
      <c r="F91" t="str" s="195" cm="1">
        <f t="array" ref="F91">IF(AG91="","",I91-H91)</f>
      </c>
      <c r="G91" s="160"/>
      <c r="H91" s="158"/>
      <c r="I91" t="str" s="159" cm="1">
        <f t="array" ref="I91">IF(AG91="","",P91-K91)</f>
      </c>
      <c r="J91" s="160"/>
      <c r="K91" s="158"/>
      <c r="L91" s="161"/>
      <c r="M91" s="161"/>
      <c r="N91" s="161"/>
      <c r="O91" s="161"/>
      <c r="P91" t="str" s="159" cm="1">
        <f t="array" ref="P91">IF(AG91="","",AC91-R91-Q91)</f>
      </c>
      <c r="Q91" s="162"/>
      <c r="R91" s="162"/>
      <c r="S91" s="161"/>
      <c r="T91" s="161"/>
      <c r="U91" s="161"/>
      <c r="V91" s="161"/>
      <c r="W91" s="161"/>
      <c r="X91" s="161"/>
      <c r="Y91" s="161"/>
      <c r="Z91" s="161"/>
      <c r="AA91" s="161"/>
      <c r="AB91" s="160"/>
      <c r="AC91" s="163"/>
      <c r="AD91" t="str" s="159" cm="1">
        <f t="array" ref="AD91">IF(AG91="","",$AG91-$AF91)</f>
      </c>
      <c r="AE91" s="160"/>
      <c r="AF91" s="196"/>
      <c r="AG91" s="165"/>
      <c r="AH91" s="164"/>
      <c r="AI91" s="163"/>
      <c r="AJ91" s="161"/>
      <c r="AK91" s="161"/>
      <c r="AL91" s="160"/>
      <c r="AM91" s="165"/>
      <c r="AN91" s="166"/>
      <c r="AO91" s="10"/>
      <c r="AP91" s="12"/>
      <c r="AQ91" s="12"/>
      <c r="AR91" s="12"/>
      <c r="AS91" s="12"/>
      <c r="AT91" s="12"/>
      <c r="AU91" s="12"/>
      <c r="AV91" s="12"/>
      <c r="AW91" s="12"/>
      <c r="AX91" s="12"/>
      <c r="AY91" s="12"/>
      <c r="AZ91" s="12"/>
      <c r="BA91" s="12"/>
      <c r="BB91" s="12"/>
      <c r="BC91" s="12"/>
      <c r="BD91" s="12"/>
      <c r="BE91" s="12"/>
      <c r="BF91" s="12"/>
      <c r="BG91" s="12"/>
      <c r="BH91" s="12"/>
      <c r="BI91" s="12"/>
      <c r="BJ91" s="12"/>
      <c r="BK91" s="12"/>
      <c r="BL91" s="12"/>
    </row>
    <row r="92" ht="25.5" customHeight="1">
      <c r="A92" s="155" cm="1">
        <f t="array" ref="A92">A91+1</f>
        <v>81</v>
      </c>
      <c r="B92" s="151"/>
      <c r="C92" s="170"/>
      <c r="D92" s="165"/>
      <c r="E92" s="164"/>
      <c r="F92" t="str" s="195" cm="1">
        <f t="array" ref="F92">IF(AG92="","",I92-H92)</f>
      </c>
      <c r="G92" s="160"/>
      <c r="H92" s="158"/>
      <c r="I92" t="str" s="159" cm="1">
        <f t="array" ref="I92">IF(AG92="","",P92-K92)</f>
      </c>
      <c r="J92" s="160"/>
      <c r="K92" s="158"/>
      <c r="L92" s="161"/>
      <c r="M92" s="161"/>
      <c r="N92" s="161"/>
      <c r="O92" s="161"/>
      <c r="P92" t="str" s="159" cm="1">
        <f t="array" ref="P92">IF(AG92="","",AC92-R92-Q92)</f>
      </c>
      <c r="Q92" s="162"/>
      <c r="R92" s="162"/>
      <c r="S92" s="161"/>
      <c r="T92" s="161"/>
      <c r="U92" s="161"/>
      <c r="V92" s="161"/>
      <c r="W92" s="161"/>
      <c r="X92" s="161"/>
      <c r="Y92" s="161"/>
      <c r="Z92" s="161"/>
      <c r="AA92" s="161"/>
      <c r="AB92" s="160"/>
      <c r="AC92" s="163"/>
      <c r="AD92" t="str" s="159" cm="1">
        <f t="array" ref="AD92">IF(AG92="","",$AG92-$AF92)</f>
      </c>
      <c r="AE92" s="160"/>
      <c r="AF92" s="196"/>
      <c r="AG92" s="165"/>
      <c r="AH92" s="164"/>
      <c r="AI92" s="163"/>
      <c r="AJ92" s="161"/>
      <c r="AK92" s="161"/>
      <c r="AL92" s="160"/>
      <c r="AM92" s="165"/>
      <c r="AN92" s="166"/>
      <c r="AO92" s="10"/>
      <c r="AP92" s="12"/>
      <c r="AQ92" s="12"/>
      <c r="AR92" s="12"/>
      <c r="AS92" s="12"/>
      <c r="AT92" s="12"/>
      <c r="AU92" s="12"/>
      <c r="AV92" s="12"/>
      <c r="AW92" s="12"/>
      <c r="AX92" s="12"/>
      <c r="AY92" s="12"/>
      <c r="AZ92" s="12"/>
      <c r="BA92" s="12"/>
      <c r="BB92" s="12"/>
      <c r="BC92" s="12"/>
      <c r="BD92" s="12"/>
      <c r="BE92" s="12"/>
      <c r="BF92" s="12"/>
      <c r="BG92" s="12"/>
      <c r="BH92" s="12"/>
      <c r="BI92" s="12"/>
      <c r="BJ92" s="12"/>
      <c r="BK92" s="12"/>
      <c r="BL92" s="12"/>
    </row>
    <row r="93" ht="25.5" customHeight="1">
      <c r="A93" s="155" cm="1">
        <f t="array" ref="A93">A92+1</f>
        <v>82</v>
      </c>
      <c r="B93" s="151"/>
      <c r="C93" s="170"/>
      <c r="D93" s="165"/>
      <c r="E93" s="164"/>
      <c r="F93" t="str" s="195" cm="1">
        <f t="array" ref="F93">IF(AG93="","",I93-H93)</f>
      </c>
      <c r="G93" s="160"/>
      <c r="H93" s="158"/>
      <c r="I93" t="str" s="159" cm="1">
        <f t="array" ref="I93">IF(AG93="","",P93-K93)</f>
      </c>
      <c r="J93" s="160"/>
      <c r="K93" s="158"/>
      <c r="L93" s="161"/>
      <c r="M93" s="161"/>
      <c r="N93" s="161"/>
      <c r="O93" s="161"/>
      <c r="P93" t="str" s="159" cm="1">
        <f t="array" ref="P93">IF(AG93="","",AC93-R93-Q93)</f>
      </c>
      <c r="Q93" s="162"/>
      <c r="R93" s="162"/>
      <c r="S93" s="161"/>
      <c r="T93" s="161"/>
      <c r="U93" s="161"/>
      <c r="V93" s="161"/>
      <c r="W93" s="161"/>
      <c r="X93" s="161"/>
      <c r="Y93" s="161"/>
      <c r="Z93" s="161"/>
      <c r="AA93" s="161"/>
      <c r="AB93" s="160"/>
      <c r="AC93" s="163"/>
      <c r="AD93" t="str" s="159" cm="1">
        <f t="array" ref="AD93">IF(AG93="","",$AG93-$AF93)</f>
      </c>
      <c r="AE93" s="160"/>
      <c r="AF93" s="196"/>
      <c r="AG93" s="165"/>
      <c r="AH93" s="164"/>
      <c r="AI93" s="163"/>
      <c r="AJ93" s="161"/>
      <c r="AK93" s="161"/>
      <c r="AL93" s="160"/>
      <c r="AM93" s="165"/>
      <c r="AN93" s="166"/>
      <c r="AO93" s="10"/>
      <c r="AP93" s="12"/>
      <c r="AQ93" s="12"/>
      <c r="AR93" s="12"/>
      <c r="AS93" s="12"/>
      <c r="AT93" s="12"/>
      <c r="AU93" s="12"/>
      <c r="AV93" s="12"/>
      <c r="AW93" s="12"/>
      <c r="AX93" s="12"/>
      <c r="AY93" s="12"/>
      <c r="AZ93" s="12"/>
      <c r="BA93" s="12"/>
      <c r="BB93" s="12"/>
      <c r="BC93" s="12"/>
      <c r="BD93" s="12"/>
      <c r="BE93" s="12"/>
      <c r="BF93" s="12"/>
      <c r="BG93" s="12"/>
      <c r="BH93" s="12"/>
      <c r="BI93" s="12"/>
      <c r="BJ93" s="12"/>
      <c r="BK93" s="12"/>
      <c r="BL93" s="12"/>
    </row>
    <row r="94" ht="25.5" customHeight="1">
      <c r="A94" s="155" cm="1">
        <f t="array" ref="A94">A93+1</f>
        <v>83</v>
      </c>
      <c r="B94" s="151"/>
      <c r="C94" s="170"/>
      <c r="D94" s="165"/>
      <c r="E94" s="164"/>
      <c r="F94" t="str" s="195" cm="1">
        <f t="array" ref="F94">IF(AG94="","",I94-H94)</f>
      </c>
      <c r="G94" s="160"/>
      <c r="H94" s="158"/>
      <c r="I94" t="str" s="159" cm="1">
        <f t="array" ref="I94">IF(AG94="","",P94-K94)</f>
      </c>
      <c r="J94" s="160"/>
      <c r="K94" s="158"/>
      <c r="L94" s="161"/>
      <c r="M94" s="161"/>
      <c r="N94" s="161"/>
      <c r="O94" s="161"/>
      <c r="P94" t="str" s="159" cm="1">
        <f t="array" ref="P94">IF(AG94="","",AC94-R94-Q94)</f>
      </c>
      <c r="Q94" s="162"/>
      <c r="R94" s="162"/>
      <c r="S94" s="161"/>
      <c r="T94" s="161"/>
      <c r="U94" s="161"/>
      <c r="V94" s="161"/>
      <c r="W94" s="161"/>
      <c r="X94" s="161"/>
      <c r="Y94" s="161"/>
      <c r="Z94" s="161"/>
      <c r="AA94" s="161"/>
      <c r="AB94" s="160"/>
      <c r="AC94" s="163"/>
      <c r="AD94" t="str" s="159" cm="1">
        <f t="array" ref="AD94">IF(AG94="","",$AG94-$AF94)</f>
      </c>
      <c r="AE94" s="160"/>
      <c r="AF94" s="196"/>
      <c r="AG94" s="165"/>
      <c r="AH94" s="164"/>
      <c r="AI94" s="163"/>
      <c r="AJ94" s="161"/>
      <c r="AK94" s="161"/>
      <c r="AL94" s="160"/>
      <c r="AM94" s="165"/>
      <c r="AN94" s="166"/>
      <c r="AO94" s="10"/>
      <c r="AP94" s="12"/>
      <c r="AQ94" s="12"/>
      <c r="AR94" s="12"/>
      <c r="AS94" s="12"/>
      <c r="AT94" s="12"/>
      <c r="AU94" s="12"/>
      <c r="AV94" s="12"/>
      <c r="AW94" s="12"/>
      <c r="AX94" s="12"/>
      <c r="AY94" s="12"/>
      <c r="AZ94" s="12"/>
      <c r="BA94" s="12"/>
      <c r="BB94" s="12"/>
      <c r="BC94" s="12"/>
      <c r="BD94" s="12"/>
      <c r="BE94" s="12"/>
      <c r="BF94" s="12"/>
      <c r="BG94" s="12"/>
      <c r="BH94" s="12"/>
      <c r="BI94" s="12"/>
      <c r="BJ94" s="12"/>
      <c r="BK94" s="12"/>
      <c r="BL94" s="12"/>
    </row>
    <row r="95" ht="25.5" customHeight="1">
      <c r="A95" s="155" cm="1">
        <f t="array" ref="A95">A94+1</f>
        <v>84</v>
      </c>
      <c r="B95" s="151"/>
      <c r="C95" s="170"/>
      <c r="D95" s="165"/>
      <c r="E95" s="164"/>
      <c r="F95" t="str" s="195" cm="1">
        <f t="array" ref="F95">IF(AG95="","",I95-H95)</f>
      </c>
      <c r="G95" s="160"/>
      <c r="H95" s="158"/>
      <c r="I95" t="str" s="159" cm="1">
        <f t="array" ref="I95">IF(AG95="","",P95-K95)</f>
      </c>
      <c r="J95" s="160"/>
      <c r="K95" s="158"/>
      <c r="L95" s="161"/>
      <c r="M95" s="161"/>
      <c r="N95" s="161"/>
      <c r="O95" s="161"/>
      <c r="P95" t="str" s="159" cm="1">
        <f t="array" ref="P95">IF(AG95="","",AC95-R95-Q95)</f>
      </c>
      <c r="Q95" s="162"/>
      <c r="R95" s="162"/>
      <c r="S95" s="161"/>
      <c r="T95" s="161"/>
      <c r="U95" s="161"/>
      <c r="V95" s="161"/>
      <c r="W95" s="161"/>
      <c r="X95" s="161"/>
      <c r="Y95" s="161"/>
      <c r="Z95" s="161"/>
      <c r="AA95" s="161"/>
      <c r="AB95" s="160"/>
      <c r="AC95" s="163"/>
      <c r="AD95" t="str" s="159" cm="1">
        <f t="array" ref="AD95">IF(AG95="","",$AG95-$AF95)</f>
      </c>
      <c r="AE95" s="160"/>
      <c r="AF95" s="196"/>
      <c r="AG95" s="165"/>
      <c r="AH95" s="164"/>
      <c r="AI95" s="163"/>
      <c r="AJ95" s="161"/>
      <c r="AK95" s="161"/>
      <c r="AL95" s="160"/>
      <c r="AM95" s="165"/>
      <c r="AN95" s="166"/>
      <c r="AO95" s="10"/>
      <c r="AP95" s="12"/>
      <c r="AQ95" s="12"/>
      <c r="AR95" s="12"/>
      <c r="AS95" s="12"/>
      <c r="AT95" s="12"/>
      <c r="AU95" s="12"/>
      <c r="AV95" s="12"/>
      <c r="AW95" s="12"/>
      <c r="AX95" s="12"/>
      <c r="AY95" s="12"/>
      <c r="AZ95" s="12"/>
      <c r="BA95" s="12"/>
      <c r="BB95" s="12"/>
      <c r="BC95" s="12"/>
      <c r="BD95" s="12"/>
      <c r="BE95" s="12"/>
      <c r="BF95" s="12"/>
      <c r="BG95" s="12"/>
      <c r="BH95" s="12"/>
      <c r="BI95" s="12"/>
      <c r="BJ95" s="12"/>
      <c r="BK95" s="12"/>
      <c r="BL95" s="12"/>
    </row>
    <row r="96" ht="25.5" customHeight="1">
      <c r="A96" s="155" cm="1">
        <f t="array" ref="A96">A95+1</f>
        <v>85</v>
      </c>
      <c r="B96" s="151"/>
      <c r="C96" s="170"/>
      <c r="D96" s="165"/>
      <c r="E96" s="164"/>
      <c r="F96" t="str" s="195" cm="1">
        <f t="array" ref="F96">IF(AG96="","",I96-H96)</f>
      </c>
      <c r="G96" s="160"/>
      <c r="H96" s="158"/>
      <c r="I96" t="str" s="159" cm="1">
        <f t="array" ref="I96">IF(AG96="","",P96-K96)</f>
      </c>
      <c r="J96" s="160"/>
      <c r="K96" s="158"/>
      <c r="L96" s="161"/>
      <c r="M96" s="161"/>
      <c r="N96" s="161"/>
      <c r="O96" s="161"/>
      <c r="P96" t="str" s="159" cm="1">
        <f t="array" ref="P96">IF(AG96="","",AC96-R96-Q96)</f>
      </c>
      <c r="Q96" s="162"/>
      <c r="R96" s="162"/>
      <c r="S96" s="161"/>
      <c r="T96" s="161"/>
      <c r="U96" s="161"/>
      <c r="V96" s="161"/>
      <c r="W96" s="161"/>
      <c r="X96" s="161"/>
      <c r="Y96" s="161"/>
      <c r="Z96" s="161"/>
      <c r="AA96" s="161"/>
      <c r="AB96" s="160"/>
      <c r="AC96" s="163"/>
      <c r="AD96" t="str" s="159" cm="1">
        <f t="array" ref="AD96">IF(AG96="","",$AG96-$AF96)</f>
      </c>
      <c r="AE96" s="160"/>
      <c r="AF96" s="196"/>
      <c r="AG96" s="165"/>
      <c r="AH96" s="164"/>
      <c r="AI96" s="163"/>
      <c r="AJ96" s="161"/>
      <c r="AK96" s="161"/>
      <c r="AL96" s="160"/>
      <c r="AM96" s="165"/>
      <c r="AN96" s="166"/>
      <c r="AO96" s="10"/>
      <c r="AP96" s="12"/>
      <c r="AQ96" s="12"/>
      <c r="AR96" s="12"/>
      <c r="AS96" s="12"/>
      <c r="AT96" s="12"/>
      <c r="AU96" s="12"/>
      <c r="AV96" s="12"/>
      <c r="AW96" s="12"/>
      <c r="AX96" s="12"/>
      <c r="AY96" s="12"/>
      <c r="AZ96" s="12"/>
      <c r="BA96" s="12"/>
      <c r="BB96" s="12"/>
      <c r="BC96" s="12"/>
      <c r="BD96" s="12"/>
      <c r="BE96" s="12"/>
      <c r="BF96" s="12"/>
      <c r="BG96" s="12"/>
      <c r="BH96" s="12"/>
      <c r="BI96" s="12"/>
      <c r="BJ96" s="12"/>
      <c r="BK96" s="12"/>
      <c r="BL96" s="12"/>
    </row>
    <row r="97" ht="25.5" customHeight="1">
      <c r="A97" s="155" cm="1">
        <f t="array" ref="A97">A96+1</f>
        <v>86</v>
      </c>
      <c r="B97" s="151"/>
      <c r="C97" s="170"/>
      <c r="D97" s="165"/>
      <c r="E97" s="164"/>
      <c r="F97" t="str" s="195" cm="1">
        <f t="array" ref="F97">IF(AG97="","",I97-H97)</f>
      </c>
      <c r="G97" s="160"/>
      <c r="H97" s="158"/>
      <c r="I97" t="str" s="159" cm="1">
        <f t="array" ref="I97">IF(AG97="","",P97-K97)</f>
      </c>
      <c r="J97" s="160"/>
      <c r="K97" s="158"/>
      <c r="L97" s="161"/>
      <c r="M97" s="161"/>
      <c r="N97" s="161"/>
      <c r="O97" s="161"/>
      <c r="P97" t="str" s="159" cm="1">
        <f t="array" ref="P97">IF(AG97="","",AC97-R97-Q97)</f>
      </c>
      <c r="Q97" s="162"/>
      <c r="R97" s="162"/>
      <c r="S97" s="161"/>
      <c r="T97" s="161"/>
      <c r="U97" s="161"/>
      <c r="V97" s="161"/>
      <c r="W97" s="161"/>
      <c r="X97" s="161"/>
      <c r="Y97" s="161"/>
      <c r="Z97" s="161"/>
      <c r="AA97" s="161"/>
      <c r="AB97" s="160"/>
      <c r="AC97" s="163"/>
      <c r="AD97" t="str" s="159" cm="1">
        <f t="array" ref="AD97">IF(AG97="","",$AG97-$AF97)</f>
      </c>
      <c r="AE97" s="160"/>
      <c r="AF97" s="196"/>
      <c r="AG97" s="165"/>
      <c r="AH97" s="164"/>
      <c r="AI97" s="163"/>
      <c r="AJ97" s="161"/>
      <c r="AK97" s="161"/>
      <c r="AL97" s="160"/>
      <c r="AM97" s="165"/>
      <c r="AN97" s="166"/>
      <c r="AO97" s="10"/>
      <c r="AP97" s="12"/>
      <c r="AQ97" s="12"/>
      <c r="AR97" s="12"/>
      <c r="AS97" s="12"/>
      <c r="AT97" s="12"/>
      <c r="AU97" s="12"/>
      <c r="AV97" s="12"/>
      <c r="AW97" s="12"/>
      <c r="AX97" s="12"/>
      <c r="AY97" s="12"/>
      <c r="AZ97" s="12"/>
      <c r="BA97" s="12"/>
      <c r="BB97" s="12"/>
      <c r="BC97" s="12"/>
      <c r="BD97" s="12"/>
      <c r="BE97" s="12"/>
      <c r="BF97" s="12"/>
      <c r="BG97" s="12"/>
      <c r="BH97" s="12"/>
      <c r="BI97" s="12"/>
      <c r="BJ97" s="12"/>
      <c r="BK97" s="12"/>
      <c r="BL97" s="12"/>
    </row>
    <row r="98" ht="25.5" customHeight="1">
      <c r="A98" s="155" cm="1">
        <f t="array" ref="A98">A97+1</f>
        <v>87</v>
      </c>
      <c r="B98" s="151"/>
      <c r="C98" s="170"/>
      <c r="D98" s="165"/>
      <c r="E98" s="164"/>
      <c r="F98" t="str" s="195" cm="1">
        <f t="array" ref="F98">IF(AG98="","",I98-H98)</f>
      </c>
      <c r="G98" s="160"/>
      <c r="H98" s="158"/>
      <c r="I98" t="str" s="159" cm="1">
        <f t="array" ref="I98">IF(AG98="","",P98-K98)</f>
      </c>
      <c r="J98" s="160"/>
      <c r="K98" s="158"/>
      <c r="L98" s="161"/>
      <c r="M98" s="161"/>
      <c r="N98" s="161"/>
      <c r="O98" s="161"/>
      <c r="P98" t="str" s="159" cm="1">
        <f t="array" ref="P98">IF(AG98="","",AC98-R98-Q98)</f>
      </c>
      <c r="Q98" s="162"/>
      <c r="R98" s="162"/>
      <c r="S98" s="161"/>
      <c r="T98" s="161"/>
      <c r="U98" s="161"/>
      <c r="V98" s="161"/>
      <c r="W98" s="161"/>
      <c r="X98" s="161"/>
      <c r="Y98" s="161"/>
      <c r="Z98" s="161"/>
      <c r="AA98" s="161"/>
      <c r="AB98" s="160"/>
      <c r="AC98" s="163"/>
      <c r="AD98" t="str" s="159" cm="1">
        <f t="array" ref="AD98">IF(AG98="","",$AG98-$AF98)</f>
      </c>
      <c r="AE98" s="160"/>
      <c r="AF98" s="196"/>
      <c r="AG98" s="165"/>
      <c r="AH98" s="164"/>
      <c r="AI98" s="163"/>
      <c r="AJ98" s="161"/>
      <c r="AK98" s="161"/>
      <c r="AL98" s="160"/>
      <c r="AM98" s="165"/>
      <c r="AN98" s="166"/>
      <c r="AO98" s="10"/>
      <c r="AP98" s="12"/>
      <c r="AQ98" s="12"/>
      <c r="AR98" s="12"/>
      <c r="AS98" s="12"/>
      <c r="AT98" s="12"/>
      <c r="AU98" s="12"/>
      <c r="AV98" s="12"/>
      <c r="AW98" s="12"/>
      <c r="AX98" s="12"/>
      <c r="AY98" s="12"/>
      <c r="AZ98" s="12"/>
      <c r="BA98" s="12"/>
      <c r="BB98" s="12"/>
      <c r="BC98" s="12"/>
      <c r="BD98" s="12"/>
      <c r="BE98" s="12"/>
      <c r="BF98" s="12"/>
      <c r="BG98" s="12"/>
      <c r="BH98" s="12"/>
      <c r="BI98" s="12"/>
      <c r="BJ98" s="12"/>
      <c r="BK98" s="12"/>
      <c r="BL98" s="12"/>
    </row>
    <row r="99" ht="25.5" customHeight="1">
      <c r="A99" s="155" cm="1">
        <f t="array" ref="A99">A98+1</f>
        <v>88</v>
      </c>
      <c r="B99" s="151"/>
      <c r="C99" s="170"/>
      <c r="D99" s="165"/>
      <c r="E99" s="164"/>
      <c r="F99" t="str" s="195" cm="1">
        <f t="array" ref="F99">IF(AG99="","",I99-H99)</f>
      </c>
      <c r="G99" s="160"/>
      <c r="H99" s="158"/>
      <c r="I99" t="str" s="159" cm="1">
        <f t="array" ref="I99">IF(AG99="","",P99-K99)</f>
      </c>
      <c r="J99" s="160"/>
      <c r="K99" s="158"/>
      <c r="L99" s="161"/>
      <c r="M99" s="161"/>
      <c r="N99" s="161"/>
      <c r="O99" s="161"/>
      <c r="P99" t="str" s="159" cm="1">
        <f t="array" ref="P99">IF(AG99="","",AC99-R99-Q99)</f>
      </c>
      <c r="Q99" s="162"/>
      <c r="R99" s="162"/>
      <c r="S99" s="161"/>
      <c r="T99" s="161"/>
      <c r="U99" s="161"/>
      <c r="V99" s="161"/>
      <c r="W99" s="161"/>
      <c r="X99" s="161"/>
      <c r="Y99" s="161"/>
      <c r="Z99" s="161"/>
      <c r="AA99" s="161"/>
      <c r="AB99" s="160"/>
      <c r="AC99" s="163"/>
      <c r="AD99" t="str" s="159" cm="1">
        <f t="array" ref="AD99">IF(AG99="","",$AG99-$AF99)</f>
      </c>
      <c r="AE99" s="160"/>
      <c r="AF99" s="196"/>
      <c r="AG99" s="165"/>
      <c r="AH99" s="164"/>
      <c r="AI99" s="163"/>
      <c r="AJ99" s="161"/>
      <c r="AK99" s="161"/>
      <c r="AL99" s="160"/>
      <c r="AM99" s="165"/>
      <c r="AN99" s="166"/>
      <c r="AO99" s="10"/>
      <c r="AP99" s="12"/>
      <c r="AQ99" s="12"/>
      <c r="AR99" s="12"/>
      <c r="AS99" s="12"/>
      <c r="AT99" s="12"/>
      <c r="AU99" s="12"/>
      <c r="AV99" s="12"/>
      <c r="AW99" s="12"/>
      <c r="AX99" s="12"/>
      <c r="AY99" s="12"/>
      <c r="AZ99" s="12"/>
      <c r="BA99" s="12"/>
      <c r="BB99" s="12"/>
      <c r="BC99" s="12"/>
      <c r="BD99" s="12"/>
      <c r="BE99" s="12"/>
      <c r="BF99" s="12"/>
      <c r="BG99" s="12"/>
      <c r="BH99" s="12"/>
      <c r="BI99" s="12"/>
      <c r="BJ99" s="12"/>
      <c r="BK99" s="12"/>
      <c r="BL99" s="12"/>
    </row>
    <row r="100" ht="25.5" customHeight="1">
      <c r="A100" s="155" cm="1">
        <f t="array" ref="A100">A99+1</f>
        <v>89</v>
      </c>
      <c r="B100" s="151"/>
      <c r="C100" s="170"/>
      <c r="D100" s="165"/>
      <c r="E100" s="164"/>
      <c r="F100" t="str" s="195" cm="1">
        <f t="array" ref="F100">IF(AG100="","",I100-H100)</f>
      </c>
      <c r="G100" s="160"/>
      <c r="H100" s="158"/>
      <c r="I100" t="str" s="159" cm="1">
        <f t="array" ref="I100">IF(AG100="","",P100-K100)</f>
      </c>
      <c r="J100" s="160"/>
      <c r="K100" s="158"/>
      <c r="L100" s="161"/>
      <c r="M100" s="161"/>
      <c r="N100" s="161"/>
      <c r="O100" s="161"/>
      <c r="P100" t="str" s="159" cm="1">
        <f t="array" ref="P100">IF(AG100="","",AC100-R100-Q100)</f>
      </c>
      <c r="Q100" s="162"/>
      <c r="R100" s="162"/>
      <c r="S100" s="161"/>
      <c r="T100" s="161"/>
      <c r="U100" s="161"/>
      <c r="V100" s="161"/>
      <c r="W100" s="161"/>
      <c r="X100" s="161"/>
      <c r="Y100" s="161"/>
      <c r="Z100" s="161"/>
      <c r="AA100" s="161"/>
      <c r="AB100" s="160"/>
      <c r="AC100" s="163"/>
      <c r="AD100" t="str" s="159" cm="1">
        <f t="array" ref="AD100">IF(AG100="","",$AG100-$AF100)</f>
      </c>
      <c r="AE100" s="160"/>
      <c r="AF100" s="196"/>
      <c r="AG100" s="165"/>
      <c r="AH100" s="164"/>
      <c r="AI100" s="163"/>
      <c r="AJ100" s="161"/>
      <c r="AK100" s="161"/>
      <c r="AL100" s="160"/>
      <c r="AM100" s="165"/>
      <c r="AN100" s="166"/>
      <c r="AO100" s="10"/>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row>
    <row r="101" ht="25.5" customHeight="1">
      <c r="A101" s="155" cm="1">
        <f t="array" ref="A101">A100+1</f>
        <v>90</v>
      </c>
      <c r="B101" s="151"/>
      <c r="C101" s="170"/>
      <c r="D101" s="165"/>
      <c r="E101" s="164"/>
      <c r="F101" t="str" s="195" cm="1">
        <f t="array" ref="F101">IF(AG101="","",I101-H101)</f>
      </c>
      <c r="G101" s="160"/>
      <c r="H101" s="158"/>
      <c r="I101" t="str" s="159" cm="1">
        <f t="array" ref="I101">IF(AG101="","",P101-K101)</f>
      </c>
      <c r="J101" s="160"/>
      <c r="K101" s="158"/>
      <c r="L101" s="161"/>
      <c r="M101" s="161"/>
      <c r="N101" s="161"/>
      <c r="O101" s="161"/>
      <c r="P101" t="str" s="159" cm="1">
        <f t="array" ref="P101">IF(AG101="","",AC101-R101-Q101)</f>
      </c>
      <c r="Q101" s="162"/>
      <c r="R101" s="162"/>
      <c r="S101" s="161"/>
      <c r="T101" s="161"/>
      <c r="U101" s="161"/>
      <c r="V101" s="161"/>
      <c r="W101" s="161"/>
      <c r="X101" s="161"/>
      <c r="Y101" s="161"/>
      <c r="Z101" s="161"/>
      <c r="AA101" s="161"/>
      <c r="AB101" s="160"/>
      <c r="AC101" s="163"/>
      <c r="AD101" t="str" s="159" cm="1">
        <f t="array" ref="AD101">IF(AG101="","",$AG101-$AF101)</f>
      </c>
      <c r="AE101" s="160"/>
      <c r="AF101" s="196"/>
      <c r="AG101" s="165"/>
      <c r="AH101" s="164"/>
      <c r="AI101" s="163"/>
      <c r="AJ101" s="161"/>
      <c r="AK101" s="161"/>
      <c r="AL101" s="160"/>
      <c r="AM101" s="165"/>
      <c r="AN101" s="166"/>
      <c r="AO101" s="10"/>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row>
    <row r="102" ht="25.5" customHeight="1">
      <c r="A102" s="155" cm="1">
        <f t="array" ref="A102">A101+1</f>
        <v>91</v>
      </c>
      <c r="B102" s="151"/>
      <c r="C102" s="170"/>
      <c r="D102" s="165"/>
      <c r="E102" s="164"/>
      <c r="F102" t="str" s="195" cm="1">
        <f t="array" ref="F102">IF(AG102="","",I102-H102)</f>
      </c>
      <c r="G102" s="160"/>
      <c r="H102" s="158"/>
      <c r="I102" t="str" s="159" cm="1">
        <f t="array" ref="I102">IF(AG102="","",P102-K102)</f>
      </c>
      <c r="J102" s="160"/>
      <c r="K102" s="158"/>
      <c r="L102" s="161"/>
      <c r="M102" s="161"/>
      <c r="N102" s="161"/>
      <c r="O102" s="161"/>
      <c r="P102" t="str" s="159" cm="1">
        <f t="array" ref="P102">IF(AG102="","",AC102-R102-Q102)</f>
      </c>
      <c r="Q102" s="162"/>
      <c r="R102" s="162"/>
      <c r="S102" s="161"/>
      <c r="T102" s="161"/>
      <c r="U102" s="161"/>
      <c r="V102" s="161"/>
      <c r="W102" s="161"/>
      <c r="X102" s="161"/>
      <c r="Y102" s="161"/>
      <c r="Z102" s="161"/>
      <c r="AA102" s="161"/>
      <c r="AB102" s="160"/>
      <c r="AC102" s="163"/>
      <c r="AD102" t="str" s="159" cm="1">
        <f t="array" ref="AD102">IF(AG102="","",$AG102-$AF102)</f>
      </c>
      <c r="AE102" s="160"/>
      <c r="AF102" s="196"/>
      <c r="AG102" s="165"/>
      <c r="AH102" s="164"/>
      <c r="AI102" s="163"/>
      <c r="AJ102" s="161"/>
      <c r="AK102" s="161"/>
      <c r="AL102" s="160"/>
      <c r="AM102" s="165"/>
      <c r="AN102" s="166"/>
      <c r="AO102" s="10"/>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row>
    <row r="103" ht="25.5" customHeight="1">
      <c r="A103" s="155" cm="1">
        <f t="array" ref="A103">A102+1</f>
        <v>92</v>
      </c>
      <c r="B103" s="151"/>
      <c r="C103" s="170"/>
      <c r="D103" s="165"/>
      <c r="E103" s="164"/>
      <c r="F103" t="str" s="195" cm="1">
        <f t="array" ref="F103">IF(AG103="","",I103-H103)</f>
      </c>
      <c r="G103" s="160"/>
      <c r="H103" s="158"/>
      <c r="I103" t="str" s="159" cm="1">
        <f t="array" ref="I103">IF(AG103="","",P103-K103)</f>
      </c>
      <c r="J103" s="160"/>
      <c r="K103" s="158"/>
      <c r="L103" s="161"/>
      <c r="M103" s="161"/>
      <c r="N103" s="161"/>
      <c r="O103" s="161"/>
      <c r="P103" t="str" s="159" cm="1">
        <f t="array" ref="P103">IF(AG103="","",AC103-R103-Q103)</f>
      </c>
      <c r="Q103" s="162"/>
      <c r="R103" s="162"/>
      <c r="S103" s="161"/>
      <c r="T103" s="161"/>
      <c r="U103" s="161"/>
      <c r="V103" s="161"/>
      <c r="W103" s="161"/>
      <c r="X103" s="161"/>
      <c r="Y103" s="161"/>
      <c r="Z103" s="161"/>
      <c r="AA103" s="161"/>
      <c r="AB103" s="160"/>
      <c r="AC103" s="163"/>
      <c r="AD103" t="str" s="159" cm="1">
        <f t="array" ref="AD103">IF(AG103="","",$AG103-$AF103)</f>
      </c>
      <c r="AE103" s="160"/>
      <c r="AF103" s="196"/>
      <c r="AG103" s="165"/>
      <c r="AH103" s="164"/>
      <c r="AI103" s="163"/>
      <c r="AJ103" s="161"/>
      <c r="AK103" s="161"/>
      <c r="AL103" s="160"/>
      <c r="AM103" s="165"/>
      <c r="AN103" s="166"/>
      <c r="AO103" s="10"/>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row>
    <row r="104" ht="25.5" customHeight="1">
      <c r="A104" s="155" cm="1">
        <f t="array" ref="A104">A103+1</f>
        <v>93</v>
      </c>
      <c r="B104" s="151"/>
      <c r="C104" s="170"/>
      <c r="D104" s="165"/>
      <c r="E104" s="164"/>
      <c r="F104" t="str" s="195" cm="1">
        <f t="array" ref="F104">IF(AG104="","",I104-H104)</f>
      </c>
      <c r="G104" s="160"/>
      <c r="H104" s="158"/>
      <c r="I104" t="str" s="159" cm="1">
        <f t="array" ref="I104">IF(AG104="","",P104-K104)</f>
      </c>
      <c r="J104" s="160"/>
      <c r="K104" s="158"/>
      <c r="L104" s="161"/>
      <c r="M104" s="161"/>
      <c r="N104" s="161"/>
      <c r="O104" s="161"/>
      <c r="P104" t="str" s="159" cm="1">
        <f t="array" ref="P104">IF(AG104="","",AC104-R104-Q104)</f>
      </c>
      <c r="Q104" s="162"/>
      <c r="R104" s="162"/>
      <c r="S104" s="161"/>
      <c r="T104" s="161"/>
      <c r="U104" s="161"/>
      <c r="V104" s="161"/>
      <c r="W104" s="161"/>
      <c r="X104" s="161"/>
      <c r="Y104" s="161"/>
      <c r="Z104" s="161"/>
      <c r="AA104" s="161"/>
      <c r="AB104" s="160"/>
      <c r="AC104" s="163"/>
      <c r="AD104" t="str" s="159" cm="1">
        <f t="array" ref="AD104">IF(AG104="","",$AG104-$AF104)</f>
      </c>
      <c r="AE104" s="160"/>
      <c r="AF104" s="196"/>
      <c r="AG104" s="165"/>
      <c r="AH104" s="164"/>
      <c r="AI104" s="163"/>
      <c r="AJ104" s="161"/>
      <c r="AK104" s="161"/>
      <c r="AL104" s="160"/>
      <c r="AM104" s="165"/>
      <c r="AN104" s="166"/>
      <c r="AO104" s="10"/>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row>
    <row r="105" ht="25.5" customHeight="1">
      <c r="A105" s="155" cm="1">
        <f t="array" ref="A105">A104+1</f>
        <v>94</v>
      </c>
      <c r="B105" s="151"/>
      <c r="C105" s="170"/>
      <c r="D105" s="165"/>
      <c r="E105" s="164"/>
      <c r="F105" t="str" s="195" cm="1">
        <f t="array" ref="F105">IF(AG105="","",I105-H105)</f>
      </c>
      <c r="G105" s="160"/>
      <c r="H105" s="158"/>
      <c r="I105" t="str" s="159" cm="1">
        <f t="array" ref="I105">IF(AG105="","",P105-K105)</f>
      </c>
      <c r="J105" s="160"/>
      <c r="K105" s="158"/>
      <c r="L105" s="161"/>
      <c r="M105" s="161"/>
      <c r="N105" s="161"/>
      <c r="O105" s="161"/>
      <c r="P105" t="str" s="159" cm="1">
        <f t="array" ref="P105">IF(AG105="","",AC105-R105-Q105)</f>
      </c>
      <c r="Q105" s="162"/>
      <c r="R105" s="162"/>
      <c r="S105" s="161"/>
      <c r="T105" s="161"/>
      <c r="U105" s="161"/>
      <c r="V105" s="161"/>
      <c r="W105" s="161"/>
      <c r="X105" s="161"/>
      <c r="Y105" s="161"/>
      <c r="Z105" s="161"/>
      <c r="AA105" s="161"/>
      <c r="AB105" s="160"/>
      <c r="AC105" s="163"/>
      <c r="AD105" t="str" s="159" cm="1">
        <f t="array" ref="AD105">IF(AG105="","",$AG105-$AF105)</f>
      </c>
      <c r="AE105" s="160"/>
      <c r="AF105" s="196"/>
      <c r="AG105" s="165"/>
      <c r="AH105" s="164"/>
      <c r="AI105" s="163"/>
      <c r="AJ105" s="161"/>
      <c r="AK105" s="161"/>
      <c r="AL105" s="160"/>
      <c r="AM105" s="165"/>
      <c r="AN105" s="166"/>
      <c r="AO105" s="10"/>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row>
    <row r="106" ht="25.5" customHeight="1">
      <c r="A106" s="155" cm="1">
        <f t="array" ref="A106">A105+1</f>
        <v>95</v>
      </c>
      <c r="B106" s="151"/>
      <c r="C106" s="170"/>
      <c r="D106" s="165"/>
      <c r="E106" s="164"/>
      <c r="F106" t="str" s="195" cm="1">
        <f t="array" ref="F106">IF(AG106="","",I106-H106)</f>
      </c>
      <c r="G106" s="160"/>
      <c r="H106" s="158"/>
      <c r="I106" t="str" s="159" cm="1">
        <f t="array" ref="I106">IF(AG106="","",P106-K106)</f>
      </c>
      <c r="J106" s="160"/>
      <c r="K106" s="158"/>
      <c r="L106" s="161"/>
      <c r="M106" s="161"/>
      <c r="N106" s="161"/>
      <c r="O106" s="161"/>
      <c r="P106" t="str" s="159" cm="1">
        <f t="array" ref="P106">IF(AG106="","",AC106-R106-Q106)</f>
      </c>
      <c r="Q106" s="162"/>
      <c r="R106" s="162"/>
      <c r="S106" s="161"/>
      <c r="T106" s="161"/>
      <c r="U106" s="161"/>
      <c r="V106" s="161"/>
      <c r="W106" s="161"/>
      <c r="X106" s="161"/>
      <c r="Y106" s="161"/>
      <c r="Z106" s="161"/>
      <c r="AA106" s="161"/>
      <c r="AB106" s="160"/>
      <c r="AC106" s="163"/>
      <c r="AD106" s="161"/>
      <c r="AE106" s="160"/>
      <c r="AF106" s="196"/>
      <c r="AG106" s="165"/>
      <c r="AH106" s="164"/>
      <c r="AI106" s="163"/>
      <c r="AJ106" s="161"/>
      <c r="AK106" s="161"/>
      <c r="AL106" s="160"/>
      <c r="AM106" s="165"/>
      <c r="AN106" s="166"/>
      <c r="AO106" s="10"/>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row>
    <row r="107" ht="25.5" customHeight="1">
      <c r="A107" s="155" cm="1">
        <f t="array" ref="A107">A106+1</f>
        <v>96</v>
      </c>
      <c r="B107" s="151"/>
      <c r="C107" s="170"/>
      <c r="D107" s="165"/>
      <c r="E107" s="164"/>
      <c r="F107" t="str" s="195" cm="1">
        <f t="array" ref="F107">IF(AG107="","",I107-H107)</f>
      </c>
      <c r="G107" s="160"/>
      <c r="H107" s="158"/>
      <c r="I107" t="str" s="159" cm="1">
        <f t="array" ref="I107">IF(AG107="","",P107-K107)</f>
      </c>
      <c r="J107" s="160"/>
      <c r="K107" s="158"/>
      <c r="L107" s="161"/>
      <c r="M107" s="161"/>
      <c r="N107" s="161"/>
      <c r="O107" s="161"/>
      <c r="P107" t="str" s="159" cm="1">
        <f t="array" ref="P107">IF(AG107="","",AC107-R107-Q107)</f>
      </c>
      <c r="Q107" s="162"/>
      <c r="R107" s="162"/>
      <c r="S107" s="161"/>
      <c r="T107" s="161"/>
      <c r="U107" s="161"/>
      <c r="V107" s="161"/>
      <c r="W107" s="161"/>
      <c r="X107" s="161"/>
      <c r="Y107" s="161"/>
      <c r="Z107" s="161"/>
      <c r="AA107" s="161"/>
      <c r="AB107" s="160"/>
      <c r="AC107" s="163"/>
      <c r="AD107" s="161"/>
      <c r="AE107" s="160"/>
      <c r="AF107" s="196"/>
      <c r="AG107" s="165"/>
      <c r="AH107" s="164"/>
      <c r="AI107" s="163"/>
      <c r="AJ107" s="161"/>
      <c r="AK107" s="161"/>
      <c r="AL107" s="160"/>
      <c r="AM107" s="165"/>
      <c r="AN107" s="166"/>
      <c r="AO107" s="10"/>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row>
    <row r="108" ht="25.5" customHeight="1">
      <c r="A108" s="155" cm="1">
        <f t="array" ref="A108">A107+1</f>
        <v>97</v>
      </c>
      <c r="B108" s="151"/>
      <c r="C108" s="170"/>
      <c r="D108" s="165"/>
      <c r="E108" s="164"/>
      <c r="F108" t="str" s="195" cm="1">
        <f t="array" ref="F108">IF(AG108="","",I108-H108)</f>
      </c>
      <c r="G108" s="160"/>
      <c r="H108" s="158"/>
      <c r="I108" t="str" s="159" cm="1">
        <f t="array" ref="I108">IF(AG108="","",P108-K108)</f>
      </c>
      <c r="J108" s="160"/>
      <c r="K108" s="158"/>
      <c r="L108" s="161"/>
      <c r="M108" s="161"/>
      <c r="N108" s="161"/>
      <c r="O108" s="161"/>
      <c r="P108" t="str" s="159" cm="1">
        <f t="array" ref="P108">IF(AG108="","",AC108-R108-Q108)</f>
      </c>
      <c r="Q108" s="162"/>
      <c r="R108" s="162"/>
      <c r="S108" s="161"/>
      <c r="T108" s="161"/>
      <c r="U108" s="161"/>
      <c r="V108" s="161"/>
      <c r="W108" s="161"/>
      <c r="X108" s="161"/>
      <c r="Y108" s="161"/>
      <c r="Z108" s="161"/>
      <c r="AA108" s="161"/>
      <c r="AB108" s="160"/>
      <c r="AC108" s="163"/>
      <c r="AD108" s="161"/>
      <c r="AE108" s="160"/>
      <c r="AF108" s="196"/>
      <c r="AG108" s="165"/>
      <c r="AH108" s="164"/>
      <c r="AI108" s="163"/>
      <c r="AJ108" s="161"/>
      <c r="AK108" s="161"/>
      <c r="AL108" s="160"/>
      <c r="AM108" s="165"/>
      <c r="AN108" s="166"/>
      <c r="AO108" s="10"/>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row>
    <row r="109" ht="25.5" customHeight="1">
      <c r="A109" s="155" cm="1">
        <f t="array" ref="A109">A108+1</f>
        <v>98</v>
      </c>
      <c r="B109" s="151"/>
      <c r="C109" s="170"/>
      <c r="D109" s="165"/>
      <c r="E109" s="164"/>
      <c r="F109" t="str" s="195" cm="1">
        <f t="array" ref="F109">IF(AG109="","",I109-H109)</f>
      </c>
      <c r="G109" s="160"/>
      <c r="H109" s="158"/>
      <c r="I109" t="str" s="159" cm="1">
        <f t="array" ref="I109">IF(AG109="","",P109-K109)</f>
      </c>
      <c r="J109" s="160"/>
      <c r="K109" s="158"/>
      <c r="L109" s="161"/>
      <c r="M109" s="161"/>
      <c r="N109" s="161"/>
      <c r="O109" s="161"/>
      <c r="P109" t="str" s="159" cm="1">
        <f t="array" ref="P109">IF(AG109="","",AC109-R109-Q109)</f>
      </c>
      <c r="Q109" s="162"/>
      <c r="R109" s="162"/>
      <c r="S109" s="161"/>
      <c r="T109" s="161"/>
      <c r="U109" s="161"/>
      <c r="V109" s="161"/>
      <c r="W109" s="161"/>
      <c r="X109" s="161"/>
      <c r="Y109" s="161"/>
      <c r="Z109" s="161"/>
      <c r="AA109" s="161"/>
      <c r="AB109" s="160"/>
      <c r="AC109" s="163"/>
      <c r="AD109" s="161"/>
      <c r="AE109" s="160"/>
      <c r="AF109" s="196"/>
      <c r="AG109" s="165"/>
      <c r="AH109" s="164"/>
      <c r="AI109" s="163"/>
      <c r="AJ109" s="161"/>
      <c r="AK109" s="161"/>
      <c r="AL109" s="160"/>
      <c r="AM109" s="165"/>
      <c r="AN109" s="166"/>
      <c r="AO109" s="10"/>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row>
    <row r="110" ht="25.15" customHeight="1">
      <c r="A110" s="155" cm="1">
        <f t="array" ref="A110">A109+1</f>
        <v>99</v>
      </c>
      <c r="B110" s="151"/>
      <c r="C110" s="170"/>
      <c r="D110" s="165"/>
      <c r="E110" s="164"/>
      <c r="F110" t="str" s="195" cm="1">
        <f t="array" ref="F110">IF(AG110="","",I110-H110)</f>
      </c>
      <c r="G110" s="160"/>
      <c r="H110" s="158"/>
      <c r="I110" t="str" s="159" cm="1">
        <f t="array" ref="I110">IF(AG110="","",P110-K110)</f>
      </c>
      <c r="J110" s="160"/>
      <c r="K110" s="158"/>
      <c r="L110" s="161"/>
      <c r="M110" s="161"/>
      <c r="N110" s="161"/>
      <c r="O110" s="161"/>
      <c r="P110" t="str" s="159" cm="1">
        <f t="array" ref="P110">IF(AG110="","",AC110-R110-Q110)</f>
      </c>
      <c r="Q110" s="162"/>
      <c r="R110" s="162"/>
      <c r="S110" s="161"/>
      <c r="T110" s="161"/>
      <c r="U110" s="161"/>
      <c r="V110" s="161"/>
      <c r="W110" s="161"/>
      <c r="X110" s="161"/>
      <c r="Y110" s="161"/>
      <c r="Z110" s="161"/>
      <c r="AA110" s="161"/>
      <c r="AB110" s="160"/>
      <c r="AC110" s="163"/>
      <c r="AD110" s="161"/>
      <c r="AE110" s="160"/>
      <c r="AF110" s="196"/>
      <c r="AG110" s="165"/>
      <c r="AH110" s="164"/>
      <c r="AI110" s="163"/>
      <c r="AJ110" s="161"/>
      <c r="AK110" s="161"/>
      <c r="AL110" s="160"/>
      <c r="AM110" s="165"/>
      <c r="AN110" s="166"/>
      <c r="AO110" s="10"/>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row>
    <row r="111" ht="25.15" customHeight="1">
      <c r="A111" s="155" cm="1">
        <f t="array" ref="A111">A110+1</f>
        <v>100</v>
      </c>
      <c r="B111" s="151"/>
      <c r="C111" s="170"/>
      <c r="D111" s="165"/>
      <c r="E111" s="164"/>
      <c r="F111" t="str" s="195" cm="1">
        <f t="array" ref="F111">IF(AG111="","",I111-H111)</f>
      </c>
      <c r="G111" s="160"/>
      <c r="H111" s="158"/>
      <c r="I111" t="str" s="159" cm="1">
        <f t="array" ref="I111">IF(AG111="","",P111-K111)</f>
      </c>
      <c r="J111" s="160"/>
      <c r="K111" s="158"/>
      <c r="L111" s="161"/>
      <c r="M111" s="161"/>
      <c r="N111" s="161"/>
      <c r="O111" s="161"/>
      <c r="P111" t="str" s="159" cm="1">
        <f t="array" ref="P111">IF(AG111="","",AC111-R111-Q111)</f>
      </c>
      <c r="Q111" s="162"/>
      <c r="R111" s="162"/>
      <c r="S111" s="161"/>
      <c r="T111" s="161"/>
      <c r="U111" s="161"/>
      <c r="V111" s="161"/>
      <c r="W111" s="161"/>
      <c r="X111" s="161"/>
      <c r="Y111" s="161"/>
      <c r="Z111" s="161"/>
      <c r="AA111" s="161"/>
      <c r="AB111" s="160"/>
      <c r="AC111" s="163"/>
      <c r="AD111" s="161"/>
      <c r="AE111" s="160"/>
      <c r="AF111" s="196"/>
      <c r="AG111" s="165"/>
      <c r="AH111" s="164"/>
      <c r="AI111" s="163"/>
      <c r="AJ111" s="161"/>
      <c r="AK111" s="161"/>
      <c r="AL111" s="160"/>
      <c r="AM111" s="165"/>
      <c r="AN111" s="166"/>
      <c r="AO111" s="10"/>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row>
    <row r="112" ht="25.15" customHeight="1">
      <c r="A112" s="155" cm="1">
        <f t="array" ref="A112">A111+1</f>
        <v>101</v>
      </c>
      <c r="B112" s="151"/>
      <c r="C112" s="170"/>
      <c r="D112" s="165"/>
      <c r="E112" s="164"/>
      <c r="F112" t="str" s="195" cm="1">
        <f t="array" ref="F112">IF(AG112="","",I112-H112)</f>
      </c>
      <c r="G112" s="160"/>
      <c r="H112" s="158"/>
      <c r="I112" t="str" s="159" cm="1">
        <f t="array" ref="I112">IF(AG112="","",P112-K112)</f>
      </c>
      <c r="J112" s="160"/>
      <c r="K112" s="158"/>
      <c r="L112" s="161"/>
      <c r="M112" s="161"/>
      <c r="N112" s="161"/>
      <c r="O112" s="161"/>
      <c r="P112" t="str" s="159" cm="1">
        <f t="array" ref="P112">IF(AG112="","",AC112-R112-Q112)</f>
      </c>
      <c r="Q112" s="162"/>
      <c r="R112" s="162"/>
      <c r="S112" s="161"/>
      <c r="T112" s="161"/>
      <c r="U112" s="161"/>
      <c r="V112" s="161"/>
      <c r="W112" s="161"/>
      <c r="X112" s="161"/>
      <c r="Y112" s="161"/>
      <c r="Z112" s="161"/>
      <c r="AA112" s="161"/>
      <c r="AB112" s="160"/>
      <c r="AC112" s="163"/>
      <c r="AD112" s="161"/>
      <c r="AE112" s="160"/>
      <c r="AF112" s="196"/>
      <c r="AG112" s="165"/>
      <c r="AH112" s="164"/>
      <c r="AI112" s="163"/>
      <c r="AJ112" s="161"/>
      <c r="AK112" s="161"/>
      <c r="AL112" s="160"/>
      <c r="AM112" s="165"/>
      <c r="AN112" s="166"/>
      <c r="AO112" s="10"/>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row>
    <row r="113" ht="25.15" customHeight="1">
      <c r="A113" s="155" cm="1">
        <f t="array" ref="A113">A112+1</f>
        <v>102</v>
      </c>
      <c r="B113" s="151"/>
      <c r="C113" s="170"/>
      <c r="D113" s="165"/>
      <c r="E113" s="164"/>
      <c r="F113" t="str" s="195" cm="1">
        <f t="array" ref="F113">IF(AG113="","",I113-H113)</f>
      </c>
      <c r="G113" s="160"/>
      <c r="H113" s="158"/>
      <c r="I113" t="str" s="159" cm="1">
        <f t="array" ref="I113">IF(AG113="","",P113-K113)</f>
      </c>
      <c r="J113" s="160"/>
      <c r="K113" s="158"/>
      <c r="L113" s="161"/>
      <c r="M113" s="161"/>
      <c r="N113" s="161"/>
      <c r="O113" s="161"/>
      <c r="P113" t="str" s="159" cm="1">
        <f t="array" ref="P113">IF(AG113="","",AC113-R113-Q113)</f>
      </c>
      <c r="Q113" s="162"/>
      <c r="R113" s="162"/>
      <c r="S113" s="161"/>
      <c r="T113" s="161"/>
      <c r="U113" s="161"/>
      <c r="V113" s="161"/>
      <c r="W113" s="161"/>
      <c r="X113" s="161"/>
      <c r="Y113" s="161"/>
      <c r="Z113" s="161"/>
      <c r="AA113" s="161"/>
      <c r="AB113" s="160"/>
      <c r="AC113" s="163"/>
      <c r="AD113" s="161"/>
      <c r="AE113" s="160"/>
      <c r="AF113" s="196"/>
      <c r="AG113" s="165"/>
      <c r="AH113" s="164"/>
      <c r="AI113" s="163"/>
      <c r="AJ113" s="161"/>
      <c r="AK113" s="161"/>
      <c r="AL113" s="160"/>
      <c r="AM113" s="165"/>
      <c r="AN113" s="166"/>
      <c r="AO113" s="10"/>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row>
    <row r="114" ht="25.15" customHeight="1">
      <c r="A114" s="155" cm="1">
        <f t="array" ref="A114">A113+1</f>
        <v>103</v>
      </c>
      <c r="B114" s="151"/>
      <c r="C114" s="170"/>
      <c r="D114" s="165"/>
      <c r="E114" s="164"/>
      <c r="F114" t="str" s="195" cm="1">
        <f t="array" ref="F114">IF(AG114="","",I114-H114)</f>
      </c>
      <c r="G114" s="160"/>
      <c r="H114" s="158"/>
      <c r="I114" t="str" s="159" cm="1">
        <f t="array" ref="I114">IF(AG114="","",P114-K114)</f>
      </c>
      <c r="J114" s="160"/>
      <c r="K114" s="158"/>
      <c r="L114" s="161"/>
      <c r="M114" s="161"/>
      <c r="N114" s="161"/>
      <c r="O114" s="161"/>
      <c r="P114" t="str" s="159" cm="1">
        <f t="array" ref="P114">IF(AG114="","",AC114-R114-Q114)</f>
      </c>
      <c r="Q114" s="162"/>
      <c r="R114" s="162"/>
      <c r="S114" s="161"/>
      <c r="T114" s="161"/>
      <c r="U114" s="161"/>
      <c r="V114" s="161"/>
      <c r="W114" s="161"/>
      <c r="X114" s="161"/>
      <c r="Y114" s="161"/>
      <c r="Z114" s="161"/>
      <c r="AA114" s="161"/>
      <c r="AB114" s="160"/>
      <c r="AC114" s="163"/>
      <c r="AD114" s="161"/>
      <c r="AE114" s="160"/>
      <c r="AF114" s="196"/>
      <c r="AG114" s="165"/>
      <c r="AH114" s="164"/>
      <c r="AI114" s="163"/>
      <c r="AJ114" s="161"/>
      <c r="AK114" s="161"/>
      <c r="AL114" s="160"/>
      <c r="AM114" s="165"/>
      <c r="AN114" s="166"/>
      <c r="AO114" s="10"/>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row>
    <row r="115" ht="25.15" customHeight="1">
      <c r="A115" s="155" cm="1">
        <f t="array" ref="A115">A114+1</f>
        <v>104</v>
      </c>
      <c r="B115" s="151"/>
      <c r="C115" s="170"/>
      <c r="D115" s="165"/>
      <c r="E115" s="164"/>
      <c r="F115" t="str" s="195" cm="1">
        <f t="array" ref="F115">IF(AG115="","",I115-H115)</f>
      </c>
      <c r="G115" s="160"/>
      <c r="H115" s="158"/>
      <c r="I115" t="str" s="159" cm="1">
        <f t="array" ref="I115">IF(AG115="","",P115-K115)</f>
      </c>
      <c r="J115" s="160"/>
      <c r="K115" s="158"/>
      <c r="L115" s="161"/>
      <c r="M115" s="161"/>
      <c r="N115" s="161"/>
      <c r="O115" s="161"/>
      <c r="P115" t="str" s="159" cm="1">
        <f t="array" ref="P115">IF(AG115="","",AC115-R115-Q115)</f>
      </c>
      <c r="Q115" s="162"/>
      <c r="R115" s="162"/>
      <c r="S115" s="161"/>
      <c r="T115" s="161"/>
      <c r="U115" s="161"/>
      <c r="V115" s="161"/>
      <c r="W115" s="161"/>
      <c r="X115" s="161"/>
      <c r="Y115" s="161"/>
      <c r="Z115" s="161"/>
      <c r="AA115" s="161"/>
      <c r="AB115" s="160"/>
      <c r="AC115" s="163"/>
      <c r="AD115" s="161"/>
      <c r="AE115" s="160"/>
      <c r="AF115" s="196"/>
      <c r="AG115" s="165"/>
      <c r="AH115" s="164"/>
      <c r="AI115" s="163"/>
      <c r="AJ115" s="161"/>
      <c r="AK115" s="161"/>
      <c r="AL115" s="160"/>
      <c r="AM115" s="165"/>
      <c r="AN115" s="166"/>
      <c r="AO115" s="10"/>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row>
    <row r="116" ht="25.15" customHeight="1">
      <c r="A116" s="155" cm="1">
        <f t="array" ref="A116">A115+1</f>
        <v>105</v>
      </c>
      <c r="B116" s="151"/>
      <c r="C116" s="170"/>
      <c r="D116" s="165"/>
      <c r="E116" s="164"/>
      <c r="F116" t="str" s="195" cm="1">
        <f t="array" ref="F116">IF(AG116="","",I116-H116)</f>
      </c>
      <c r="G116" s="160"/>
      <c r="H116" s="158"/>
      <c r="I116" t="str" s="159" cm="1">
        <f t="array" ref="I116">IF(AG116="","",P116-K116)</f>
      </c>
      <c r="J116" s="160"/>
      <c r="K116" s="158"/>
      <c r="L116" s="161"/>
      <c r="M116" s="161"/>
      <c r="N116" s="161"/>
      <c r="O116" s="161"/>
      <c r="P116" t="str" s="159" cm="1">
        <f t="array" ref="P116">IF(AG116="","",AC116-R116-Q116)</f>
      </c>
      <c r="Q116" s="162"/>
      <c r="R116" s="162"/>
      <c r="S116" s="161"/>
      <c r="T116" s="161"/>
      <c r="U116" s="161"/>
      <c r="V116" s="161"/>
      <c r="W116" s="161"/>
      <c r="X116" s="161"/>
      <c r="Y116" s="161"/>
      <c r="Z116" s="161"/>
      <c r="AA116" s="161"/>
      <c r="AB116" s="160"/>
      <c r="AC116" s="163"/>
      <c r="AD116" s="161"/>
      <c r="AE116" s="160"/>
      <c r="AF116" s="196"/>
      <c r="AG116" s="165"/>
      <c r="AH116" s="164"/>
      <c r="AI116" s="163"/>
      <c r="AJ116" s="161"/>
      <c r="AK116" s="161"/>
      <c r="AL116" s="160"/>
      <c r="AM116" s="165"/>
      <c r="AN116" s="166"/>
      <c r="AO116" s="10"/>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row>
    <row r="117" ht="25.15" customHeight="1">
      <c r="A117" s="155" cm="1">
        <f t="array" ref="A117">A116+1</f>
        <v>106</v>
      </c>
      <c r="B117" s="151"/>
      <c r="C117" s="170"/>
      <c r="D117" s="165"/>
      <c r="E117" s="164"/>
      <c r="F117" t="str" s="195" cm="1">
        <f t="array" ref="F117">IF(AG117="","",I117-H117)</f>
      </c>
      <c r="G117" s="160"/>
      <c r="H117" s="158"/>
      <c r="I117" t="str" s="159" cm="1">
        <f t="array" ref="I117">IF(AG117="","",P117-K117)</f>
      </c>
      <c r="J117" s="160"/>
      <c r="K117" s="158"/>
      <c r="L117" s="161"/>
      <c r="M117" s="161"/>
      <c r="N117" s="161"/>
      <c r="O117" s="161"/>
      <c r="P117" t="str" s="159" cm="1">
        <f t="array" ref="P117">IF(AG117="","",AC117-R117-Q117)</f>
      </c>
      <c r="Q117" s="162"/>
      <c r="R117" s="162"/>
      <c r="S117" s="161"/>
      <c r="T117" s="161"/>
      <c r="U117" s="161"/>
      <c r="V117" s="161"/>
      <c r="W117" s="161"/>
      <c r="X117" s="161"/>
      <c r="Y117" s="161"/>
      <c r="Z117" s="161"/>
      <c r="AA117" s="161"/>
      <c r="AB117" s="160"/>
      <c r="AC117" s="163"/>
      <c r="AD117" s="161"/>
      <c r="AE117" s="160"/>
      <c r="AF117" s="196"/>
      <c r="AG117" s="165"/>
      <c r="AH117" s="164"/>
      <c r="AI117" s="163"/>
      <c r="AJ117" s="161"/>
      <c r="AK117" s="161"/>
      <c r="AL117" s="160"/>
      <c r="AM117" s="165"/>
      <c r="AN117" s="166"/>
      <c r="AO117" s="10"/>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row>
    <row r="118" ht="25.15" customHeight="1">
      <c r="A118" s="155" cm="1">
        <f t="array" ref="A118">A117+1</f>
        <v>107</v>
      </c>
      <c r="B118" s="151"/>
      <c r="C118" s="170"/>
      <c r="D118" s="165"/>
      <c r="E118" s="164"/>
      <c r="F118" t="str" s="195" cm="1">
        <f t="array" ref="F118">IF(AG118="","",I118-H118)</f>
      </c>
      <c r="G118" s="160"/>
      <c r="H118" s="158"/>
      <c r="I118" t="str" s="159" cm="1">
        <f t="array" ref="I118">IF(AG118="","",P118-K118)</f>
      </c>
      <c r="J118" s="160"/>
      <c r="K118" s="158"/>
      <c r="L118" s="161"/>
      <c r="M118" s="161"/>
      <c r="N118" s="161"/>
      <c r="O118" s="161"/>
      <c r="P118" t="str" s="159" cm="1">
        <f t="array" ref="P118">IF(AG118="","",AC118-R118-Q118)</f>
      </c>
      <c r="Q118" s="162"/>
      <c r="R118" s="162"/>
      <c r="S118" s="161"/>
      <c r="T118" s="161"/>
      <c r="U118" s="161"/>
      <c r="V118" s="161"/>
      <c r="W118" s="161"/>
      <c r="X118" s="161"/>
      <c r="Y118" s="161"/>
      <c r="Z118" s="161"/>
      <c r="AA118" s="161"/>
      <c r="AB118" s="160"/>
      <c r="AC118" s="163"/>
      <c r="AD118" s="161"/>
      <c r="AE118" s="160"/>
      <c r="AF118" s="196"/>
      <c r="AG118" s="165"/>
      <c r="AH118" s="164"/>
      <c r="AI118" s="163"/>
      <c r="AJ118" s="161"/>
      <c r="AK118" s="161"/>
      <c r="AL118" s="160"/>
      <c r="AM118" s="165"/>
      <c r="AN118" s="166"/>
      <c r="AO118" s="10"/>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row>
    <row r="119" ht="25.15" customHeight="1">
      <c r="A119" s="155" cm="1">
        <f t="array" ref="A119">A118+1</f>
        <v>108</v>
      </c>
      <c r="B119" s="151"/>
      <c r="C119" s="170"/>
      <c r="D119" s="165"/>
      <c r="E119" s="164"/>
      <c r="F119" t="str" s="195" cm="1">
        <f t="array" ref="F119">IF(AG119="","",I119-H119)</f>
      </c>
      <c r="G119" s="160"/>
      <c r="H119" s="158"/>
      <c r="I119" t="str" s="159" cm="1">
        <f t="array" ref="I119">IF(AG119="","",P119-K119)</f>
      </c>
      <c r="J119" s="160"/>
      <c r="K119" s="158"/>
      <c r="L119" s="161"/>
      <c r="M119" s="161"/>
      <c r="N119" s="161"/>
      <c r="O119" s="161"/>
      <c r="P119" t="str" s="159" cm="1">
        <f t="array" ref="P119">IF(AG119="","",AC119-R119-Q119)</f>
      </c>
      <c r="Q119" s="162"/>
      <c r="R119" s="162"/>
      <c r="S119" s="161"/>
      <c r="T119" s="161"/>
      <c r="U119" s="161"/>
      <c r="V119" s="161"/>
      <c r="W119" s="161"/>
      <c r="X119" s="161"/>
      <c r="Y119" s="161"/>
      <c r="Z119" s="161"/>
      <c r="AA119" s="161"/>
      <c r="AB119" s="160"/>
      <c r="AC119" s="163"/>
      <c r="AD119" s="161"/>
      <c r="AE119" s="160"/>
      <c r="AF119" s="196"/>
      <c r="AG119" s="165"/>
      <c r="AH119" s="164"/>
      <c r="AI119" s="163"/>
      <c r="AJ119" s="161"/>
      <c r="AK119" s="161"/>
      <c r="AL119" s="160"/>
      <c r="AM119" s="165"/>
      <c r="AN119" s="166"/>
      <c r="AO119" s="10"/>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row>
    <row r="120" ht="25.15" customHeight="1">
      <c r="A120" s="155" cm="1">
        <f t="array" ref="A120">A119+1</f>
        <v>109</v>
      </c>
      <c r="B120" s="151"/>
      <c r="C120" s="170"/>
      <c r="D120" s="165"/>
      <c r="E120" s="164"/>
      <c r="F120" t="str" s="195" cm="1">
        <f t="array" ref="F120">IF(AG120="","",I120-H120)</f>
      </c>
      <c r="G120" s="160"/>
      <c r="H120" s="158"/>
      <c r="I120" t="str" s="159" cm="1">
        <f t="array" ref="I120">IF(AG120="","",P120-K120)</f>
      </c>
      <c r="J120" s="160"/>
      <c r="K120" s="158"/>
      <c r="L120" s="161"/>
      <c r="M120" s="161"/>
      <c r="N120" s="161"/>
      <c r="O120" s="161"/>
      <c r="P120" t="str" s="159" cm="1">
        <f t="array" ref="P120">IF(AG120="","",AC120-R120-Q120)</f>
      </c>
      <c r="Q120" s="162"/>
      <c r="R120" s="162"/>
      <c r="S120" s="161"/>
      <c r="T120" s="161"/>
      <c r="U120" s="161"/>
      <c r="V120" s="161"/>
      <c r="W120" s="161"/>
      <c r="X120" s="161"/>
      <c r="Y120" s="161"/>
      <c r="Z120" s="161"/>
      <c r="AA120" s="161"/>
      <c r="AB120" s="160"/>
      <c r="AC120" s="163"/>
      <c r="AD120" s="161"/>
      <c r="AE120" s="160"/>
      <c r="AF120" s="196"/>
      <c r="AG120" s="165"/>
      <c r="AH120" s="164"/>
      <c r="AI120" s="163"/>
      <c r="AJ120" s="161"/>
      <c r="AK120" s="161"/>
      <c r="AL120" s="160"/>
      <c r="AM120" s="165"/>
      <c r="AN120" s="166"/>
      <c r="AO120" s="10"/>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row>
    <row r="121" ht="25.15" customHeight="1">
      <c r="A121" s="155" cm="1">
        <f t="array" ref="A121">A120+1</f>
        <v>110</v>
      </c>
      <c r="B121" s="151"/>
      <c r="C121" s="170"/>
      <c r="D121" s="165"/>
      <c r="E121" s="164"/>
      <c r="F121" t="str" s="195" cm="1">
        <f t="array" ref="F121">IF(AG121="","",I121-H121)</f>
      </c>
      <c r="G121" s="160"/>
      <c r="H121" s="158"/>
      <c r="I121" t="str" s="159" cm="1">
        <f t="array" ref="I121">IF(AG121="","",P121-K121)</f>
      </c>
      <c r="J121" s="160"/>
      <c r="K121" s="158"/>
      <c r="L121" s="161"/>
      <c r="M121" s="161"/>
      <c r="N121" s="161"/>
      <c r="O121" s="161"/>
      <c r="P121" t="str" s="159" cm="1">
        <f t="array" ref="P121">IF(AG121="","",AC121-R121-Q121)</f>
      </c>
      <c r="Q121" s="162"/>
      <c r="R121" s="162"/>
      <c r="S121" s="161"/>
      <c r="T121" s="161"/>
      <c r="U121" s="161"/>
      <c r="V121" s="161"/>
      <c r="W121" s="161"/>
      <c r="X121" s="161"/>
      <c r="Y121" s="161"/>
      <c r="Z121" s="161"/>
      <c r="AA121" s="161"/>
      <c r="AB121" s="160"/>
      <c r="AC121" s="163"/>
      <c r="AD121" s="161"/>
      <c r="AE121" s="160"/>
      <c r="AF121" s="196"/>
      <c r="AG121" s="165"/>
      <c r="AH121" s="164"/>
      <c r="AI121" s="163"/>
      <c r="AJ121" s="161"/>
      <c r="AK121" s="161"/>
      <c r="AL121" s="160"/>
      <c r="AM121" s="165"/>
      <c r="AN121" s="166"/>
      <c r="AO121" s="10"/>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row>
    <row r="122" ht="25.15" customHeight="1">
      <c r="A122" s="155" cm="1">
        <f t="array" ref="A122">A121+1</f>
        <v>111</v>
      </c>
      <c r="B122" s="151"/>
      <c r="C122" s="170"/>
      <c r="D122" s="165"/>
      <c r="E122" s="164"/>
      <c r="F122" t="str" s="195" cm="1">
        <f t="array" ref="F122">IF(AG122="","",I122-H122)</f>
      </c>
      <c r="G122" s="160"/>
      <c r="H122" s="158"/>
      <c r="I122" t="str" s="159" cm="1">
        <f t="array" ref="I122">IF(AG122="","",P122-K122)</f>
      </c>
      <c r="J122" s="160"/>
      <c r="K122" s="158"/>
      <c r="L122" s="161"/>
      <c r="M122" s="161"/>
      <c r="N122" s="161"/>
      <c r="O122" s="161"/>
      <c r="P122" t="str" s="159" cm="1">
        <f t="array" ref="P122">IF(AG122="","",AC122-R122-Q122)</f>
      </c>
      <c r="Q122" s="162"/>
      <c r="R122" s="162"/>
      <c r="S122" s="161"/>
      <c r="T122" s="161"/>
      <c r="U122" s="161"/>
      <c r="V122" s="161"/>
      <c r="W122" s="161"/>
      <c r="X122" s="161"/>
      <c r="Y122" s="161"/>
      <c r="Z122" s="161"/>
      <c r="AA122" s="161"/>
      <c r="AB122" s="160"/>
      <c r="AC122" s="163"/>
      <c r="AD122" s="161"/>
      <c r="AE122" s="160"/>
      <c r="AF122" s="196"/>
      <c r="AG122" s="165"/>
      <c r="AH122" s="164"/>
      <c r="AI122" s="163"/>
      <c r="AJ122" s="161"/>
      <c r="AK122" s="161"/>
      <c r="AL122" s="160"/>
      <c r="AM122" s="165"/>
      <c r="AN122" s="166"/>
      <c r="AO122" s="10"/>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row>
    <row r="123" ht="25.15" customHeight="1">
      <c r="A123" s="155" cm="1">
        <f t="array" ref="A123">A122+1</f>
        <v>112</v>
      </c>
      <c r="B123" s="151"/>
      <c r="C123" s="170"/>
      <c r="D123" s="165"/>
      <c r="E123" s="164"/>
      <c r="F123" t="str" s="195" cm="1">
        <f t="array" ref="F123">IF(AG123="","",I123-H123)</f>
      </c>
      <c r="G123" s="160"/>
      <c r="H123" s="158"/>
      <c r="I123" t="str" s="159" cm="1">
        <f t="array" ref="I123">IF(AG123="","",P123-K123)</f>
      </c>
      <c r="J123" s="160"/>
      <c r="K123" s="158"/>
      <c r="L123" s="161"/>
      <c r="M123" s="161"/>
      <c r="N123" s="161"/>
      <c r="O123" s="161"/>
      <c r="P123" t="str" s="159" cm="1">
        <f t="array" ref="P123">IF(AG123="","",AC123-R123-Q123)</f>
      </c>
      <c r="Q123" s="162"/>
      <c r="R123" s="162"/>
      <c r="S123" s="161"/>
      <c r="T123" s="161"/>
      <c r="U123" s="161"/>
      <c r="V123" s="161"/>
      <c r="W123" s="161"/>
      <c r="X123" s="161"/>
      <c r="Y123" s="161"/>
      <c r="Z123" s="161"/>
      <c r="AA123" s="161"/>
      <c r="AB123" s="160"/>
      <c r="AC123" s="163"/>
      <c r="AD123" s="161"/>
      <c r="AE123" s="160"/>
      <c r="AF123" s="196"/>
      <c r="AG123" s="165"/>
      <c r="AH123" s="164"/>
      <c r="AI123" s="163"/>
      <c r="AJ123" s="161"/>
      <c r="AK123" s="161"/>
      <c r="AL123" s="160"/>
      <c r="AM123" s="165"/>
      <c r="AN123" s="166"/>
      <c r="AO123" s="10"/>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row>
    <row r="124" ht="25.15" customHeight="1">
      <c r="A124" s="155" cm="1">
        <f t="array" ref="A124">A123+1</f>
        <v>113</v>
      </c>
      <c r="B124" s="151"/>
      <c r="C124" s="170"/>
      <c r="D124" s="165"/>
      <c r="E124" s="164"/>
      <c r="F124" t="str" s="195" cm="1">
        <f t="array" ref="F124">IF(AG124="","",I124-H124)</f>
      </c>
      <c r="G124" s="160"/>
      <c r="H124" s="158"/>
      <c r="I124" t="str" s="159" cm="1">
        <f t="array" ref="I124">IF(AG124="","",P124-K124)</f>
      </c>
      <c r="J124" s="160"/>
      <c r="K124" s="158"/>
      <c r="L124" s="161"/>
      <c r="M124" s="161"/>
      <c r="N124" s="161"/>
      <c r="O124" s="161"/>
      <c r="P124" t="str" s="159" cm="1">
        <f t="array" ref="P124">IF(AG124="","",AC124-R124-Q124)</f>
      </c>
      <c r="Q124" s="162"/>
      <c r="R124" s="162"/>
      <c r="S124" s="161"/>
      <c r="T124" s="161"/>
      <c r="U124" s="161"/>
      <c r="V124" s="161"/>
      <c r="W124" s="161"/>
      <c r="X124" s="161"/>
      <c r="Y124" s="161"/>
      <c r="Z124" s="161"/>
      <c r="AA124" s="161"/>
      <c r="AB124" s="160"/>
      <c r="AC124" s="163"/>
      <c r="AD124" s="161"/>
      <c r="AE124" s="160"/>
      <c r="AF124" s="196"/>
      <c r="AG124" s="165"/>
      <c r="AH124" s="164"/>
      <c r="AI124" s="163"/>
      <c r="AJ124" s="161"/>
      <c r="AK124" s="161"/>
      <c r="AL124" s="160"/>
      <c r="AM124" s="165"/>
      <c r="AN124" s="166"/>
      <c r="AO124" s="10"/>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row>
    <row r="125" ht="25.15" customHeight="1">
      <c r="A125" s="155" cm="1">
        <f t="array" ref="A125">A124+1</f>
        <v>114</v>
      </c>
      <c r="B125" s="151"/>
      <c r="C125" s="170"/>
      <c r="D125" s="165"/>
      <c r="E125" s="164"/>
      <c r="F125" t="str" s="195" cm="1">
        <f t="array" ref="F125">IF(AG125="","",I125-H125)</f>
      </c>
      <c r="G125" s="160"/>
      <c r="H125" s="158"/>
      <c r="I125" t="str" s="159" cm="1">
        <f t="array" ref="I125">IF(AG125="","",P125-K125)</f>
      </c>
      <c r="J125" s="160"/>
      <c r="K125" s="158"/>
      <c r="L125" s="161"/>
      <c r="M125" s="161"/>
      <c r="N125" s="161"/>
      <c r="O125" s="161"/>
      <c r="P125" t="str" s="159" cm="1">
        <f t="array" ref="P125">IF(AG125="","",AC125-R125-Q125)</f>
      </c>
      <c r="Q125" s="162"/>
      <c r="R125" s="162"/>
      <c r="S125" s="161"/>
      <c r="T125" s="161"/>
      <c r="U125" s="161"/>
      <c r="V125" s="161"/>
      <c r="W125" s="161"/>
      <c r="X125" s="161"/>
      <c r="Y125" s="161"/>
      <c r="Z125" s="161"/>
      <c r="AA125" s="161"/>
      <c r="AB125" s="160"/>
      <c r="AC125" s="163"/>
      <c r="AD125" s="161"/>
      <c r="AE125" s="160"/>
      <c r="AF125" s="196"/>
      <c r="AG125" s="165"/>
      <c r="AH125" s="164"/>
      <c r="AI125" s="163"/>
      <c r="AJ125" s="161"/>
      <c r="AK125" s="161"/>
      <c r="AL125" s="160"/>
      <c r="AM125" s="165"/>
      <c r="AN125" s="166"/>
      <c r="AO125" s="10"/>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row>
    <row r="126" ht="25.15" customHeight="1">
      <c r="A126" s="155" cm="1">
        <f t="array" ref="A126">A125+1</f>
        <v>115</v>
      </c>
      <c r="B126" s="151"/>
      <c r="C126" s="170"/>
      <c r="D126" s="165"/>
      <c r="E126" s="164"/>
      <c r="F126" t="str" s="195" cm="1">
        <f t="array" ref="F126">IF(AG126="","",I126-H126)</f>
      </c>
      <c r="G126" s="160"/>
      <c r="H126" s="158"/>
      <c r="I126" t="str" s="159" cm="1">
        <f t="array" ref="I126">IF(AG126="","",P126-K126)</f>
      </c>
      <c r="J126" s="160"/>
      <c r="K126" s="158"/>
      <c r="L126" s="161"/>
      <c r="M126" s="161"/>
      <c r="N126" s="161"/>
      <c r="O126" s="161"/>
      <c r="P126" t="str" s="159" cm="1">
        <f t="array" ref="P126">IF(AG126="","",AC126-R126-Q126)</f>
      </c>
      <c r="Q126" s="162"/>
      <c r="R126" s="162"/>
      <c r="S126" s="161"/>
      <c r="T126" s="161"/>
      <c r="U126" s="161"/>
      <c r="V126" s="161"/>
      <c r="W126" s="161"/>
      <c r="X126" s="161"/>
      <c r="Y126" s="161"/>
      <c r="Z126" s="161"/>
      <c r="AA126" s="161"/>
      <c r="AB126" s="160"/>
      <c r="AC126" s="163"/>
      <c r="AD126" s="161"/>
      <c r="AE126" s="160"/>
      <c r="AF126" s="196"/>
      <c r="AG126" s="165"/>
      <c r="AH126" s="164"/>
      <c r="AI126" s="163"/>
      <c r="AJ126" s="161"/>
      <c r="AK126" s="161"/>
      <c r="AL126" s="160"/>
      <c r="AM126" s="165"/>
      <c r="AN126" s="166"/>
      <c r="AO126" s="10"/>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row>
    <row r="127" ht="25.15" customHeight="1">
      <c r="A127" s="155" cm="1">
        <f t="array" ref="A127">A126+1</f>
        <v>116</v>
      </c>
      <c r="B127" s="151"/>
      <c r="C127" s="170"/>
      <c r="D127" s="165"/>
      <c r="E127" s="164"/>
      <c r="F127" t="str" s="195" cm="1">
        <f t="array" ref="F127">IF(AG127="","",I127-H127)</f>
      </c>
      <c r="G127" s="160"/>
      <c r="H127" s="158"/>
      <c r="I127" t="str" s="159" cm="1">
        <f t="array" ref="I127">IF(AG127="","",P127-K127)</f>
      </c>
      <c r="J127" s="160"/>
      <c r="K127" s="158"/>
      <c r="L127" s="161"/>
      <c r="M127" s="161"/>
      <c r="N127" s="161"/>
      <c r="O127" s="161"/>
      <c r="P127" t="str" s="159" cm="1">
        <f t="array" ref="P127">IF(AG127="","",AC127-R127-Q127)</f>
      </c>
      <c r="Q127" s="162"/>
      <c r="R127" s="162"/>
      <c r="S127" s="161"/>
      <c r="T127" s="161"/>
      <c r="U127" s="161"/>
      <c r="V127" s="161"/>
      <c r="W127" s="161"/>
      <c r="X127" s="161"/>
      <c r="Y127" s="161"/>
      <c r="Z127" s="161"/>
      <c r="AA127" s="161"/>
      <c r="AB127" s="160"/>
      <c r="AC127" s="163"/>
      <c r="AD127" s="161"/>
      <c r="AE127" s="160"/>
      <c r="AF127" s="196"/>
      <c r="AG127" s="165"/>
      <c r="AH127" s="164"/>
      <c r="AI127" s="163"/>
      <c r="AJ127" s="161"/>
      <c r="AK127" s="161"/>
      <c r="AL127" s="160"/>
      <c r="AM127" s="165"/>
      <c r="AN127" s="166"/>
      <c r="AO127" s="10"/>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row>
    <row r="128" ht="25.15" customHeight="1">
      <c r="A128" s="155" cm="1">
        <f t="array" ref="A128">A127+1</f>
        <v>117</v>
      </c>
      <c r="B128" s="151"/>
      <c r="C128" s="170"/>
      <c r="D128" s="165"/>
      <c r="E128" s="164"/>
      <c r="F128" t="str" s="195" cm="1">
        <f t="array" ref="F128">IF(AG128="","",I128-H128)</f>
      </c>
      <c r="G128" s="160"/>
      <c r="H128" s="158"/>
      <c r="I128" t="str" s="159" cm="1">
        <f t="array" ref="I128">IF(AG128="","",P128-K128)</f>
      </c>
      <c r="J128" s="160"/>
      <c r="K128" s="158"/>
      <c r="L128" s="161"/>
      <c r="M128" s="161"/>
      <c r="N128" s="161"/>
      <c r="O128" s="161"/>
      <c r="P128" t="str" s="159" cm="1">
        <f t="array" ref="P128">IF(AG128="","",AC128-R128-Q128)</f>
      </c>
      <c r="Q128" s="162"/>
      <c r="R128" s="162"/>
      <c r="S128" s="161"/>
      <c r="T128" s="161"/>
      <c r="U128" s="161"/>
      <c r="V128" s="161"/>
      <c r="W128" s="161"/>
      <c r="X128" s="161"/>
      <c r="Y128" s="161"/>
      <c r="Z128" s="161"/>
      <c r="AA128" s="161"/>
      <c r="AB128" s="160"/>
      <c r="AC128" s="163"/>
      <c r="AD128" s="161"/>
      <c r="AE128" s="160"/>
      <c r="AF128" s="196"/>
      <c r="AG128" s="165"/>
      <c r="AH128" s="164"/>
      <c r="AI128" s="163"/>
      <c r="AJ128" s="161"/>
      <c r="AK128" s="161"/>
      <c r="AL128" s="160"/>
      <c r="AM128" s="165"/>
      <c r="AN128" s="166"/>
      <c r="AO128" s="10"/>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row>
    <row r="129" ht="25.15" customHeight="1">
      <c r="A129" s="155" cm="1">
        <f t="array" ref="A129">A128+1</f>
        <v>118</v>
      </c>
      <c r="B129" s="151"/>
      <c r="C129" s="170"/>
      <c r="D129" s="165"/>
      <c r="E129" s="164"/>
      <c r="F129" t="str" s="195" cm="1">
        <f t="array" ref="F129">IF(AG129="","",I129-H129)</f>
      </c>
      <c r="G129" s="160"/>
      <c r="H129" s="158"/>
      <c r="I129" t="str" s="159" cm="1">
        <f t="array" ref="I129">IF(AG129="","",P129-K129)</f>
      </c>
      <c r="J129" s="160"/>
      <c r="K129" s="158"/>
      <c r="L129" s="161"/>
      <c r="M129" s="161"/>
      <c r="N129" s="161"/>
      <c r="O129" s="161"/>
      <c r="P129" t="str" s="159" cm="1">
        <f t="array" ref="P129">IF(AG129="","",AC129-R129-Q129)</f>
      </c>
      <c r="Q129" s="162"/>
      <c r="R129" s="162"/>
      <c r="S129" s="161"/>
      <c r="T129" s="161"/>
      <c r="U129" s="161"/>
      <c r="V129" s="161"/>
      <c r="W129" s="161"/>
      <c r="X129" s="161"/>
      <c r="Y129" s="161"/>
      <c r="Z129" s="161"/>
      <c r="AA129" s="161"/>
      <c r="AB129" s="160"/>
      <c r="AC129" s="163"/>
      <c r="AD129" s="161"/>
      <c r="AE129" s="160"/>
      <c r="AF129" s="196"/>
      <c r="AG129" s="165"/>
      <c r="AH129" s="164"/>
      <c r="AI129" s="163"/>
      <c r="AJ129" s="161"/>
      <c r="AK129" s="161"/>
      <c r="AL129" s="160"/>
      <c r="AM129" s="165"/>
      <c r="AN129" s="166"/>
      <c r="AO129" s="10"/>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row>
    <row r="130" ht="25.15" customHeight="1">
      <c r="A130" s="155" cm="1">
        <f t="array" ref="A130">A129+1</f>
        <v>119</v>
      </c>
      <c r="B130" s="151"/>
      <c r="C130" s="170"/>
      <c r="D130" s="165"/>
      <c r="E130" s="164"/>
      <c r="F130" t="str" s="195" cm="1">
        <f t="array" ref="F130">IF(AG130="","",I130-H130)</f>
      </c>
      <c r="G130" s="160"/>
      <c r="H130" s="158"/>
      <c r="I130" t="str" s="159" cm="1">
        <f t="array" ref="I130">IF(AG130="","",P130-K130)</f>
      </c>
      <c r="J130" s="160"/>
      <c r="K130" s="158"/>
      <c r="L130" s="161"/>
      <c r="M130" s="161"/>
      <c r="N130" s="161"/>
      <c r="O130" s="161"/>
      <c r="P130" t="str" s="159" cm="1">
        <f t="array" ref="P130">IF(AG130="","",AC130-R130-Q130)</f>
      </c>
      <c r="Q130" s="162"/>
      <c r="R130" s="162"/>
      <c r="S130" s="161"/>
      <c r="T130" s="161"/>
      <c r="U130" s="161"/>
      <c r="V130" s="161"/>
      <c r="W130" s="161"/>
      <c r="X130" s="161"/>
      <c r="Y130" s="161"/>
      <c r="Z130" s="161"/>
      <c r="AA130" s="161"/>
      <c r="AB130" s="160"/>
      <c r="AC130" s="163"/>
      <c r="AD130" s="161"/>
      <c r="AE130" s="160"/>
      <c r="AF130" s="196"/>
      <c r="AG130" s="165"/>
      <c r="AH130" s="164"/>
      <c r="AI130" s="163"/>
      <c r="AJ130" s="161"/>
      <c r="AK130" s="161"/>
      <c r="AL130" s="160"/>
      <c r="AM130" s="165"/>
      <c r="AN130" s="166"/>
      <c r="AO130" s="10"/>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row>
    <row r="131" ht="25.15" customHeight="1">
      <c r="A131" s="155" cm="1">
        <f t="array" ref="A131">A130+1</f>
        <v>120</v>
      </c>
      <c r="B131" s="151"/>
      <c r="C131" s="170"/>
      <c r="D131" s="165"/>
      <c r="E131" s="164"/>
      <c r="F131" t="str" s="195" cm="1">
        <f t="array" ref="F131">IF(AG131="","",I131-H131)</f>
      </c>
      <c r="G131" s="160"/>
      <c r="H131" s="158"/>
      <c r="I131" t="str" s="159" cm="1">
        <f t="array" ref="I131">IF(AG131="","",P131-K131)</f>
      </c>
      <c r="J131" s="160"/>
      <c r="K131" s="158"/>
      <c r="L131" s="161"/>
      <c r="M131" s="161"/>
      <c r="N131" s="161"/>
      <c r="O131" s="161"/>
      <c r="P131" t="str" s="159" cm="1">
        <f t="array" ref="P131">IF(AG131="","",AC131-R131-Q131)</f>
      </c>
      <c r="Q131" s="162"/>
      <c r="R131" s="162"/>
      <c r="S131" s="161"/>
      <c r="T131" s="161"/>
      <c r="U131" s="161"/>
      <c r="V131" s="161"/>
      <c r="W131" s="161"/>
      <c r="X131" s="161"/>
      <c r="Y131" s="161"/>
      <c r="Z131" s="161"/>
      <c r="AA131" s="161"/>
      <c r="AB131" s="160"/>
      <c r="AC131" s="163"/>
      <c r="AD131" s="161"/>
      <c r="AE131" s="160"/>
      <c r="AF131" s="196"/>
      <c r="AG131" s="165"/>
      <c r="AH131" s="164"/>
      <c r="AI131" s="163"/>
      <c r="AJ131" s="161"/>
      <c r="AK131" s="161"/>
      <c r="AL131" s="160"/>
      <c r="AM131" s="165"/>
      <c r="AN131" s="166"/>
      <c r="AO131" s="10"/>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row>
    <row r="132" ht="25.15" customHeight="1">
      <c r="A132" s="155" cm="1">
        <f t="array" ref="A132">A131+1</f>
        <v>121</v>
      </c>
      <c r="B132" s="151"/>
      <c r="C132" s="170"/>
      <c r="D132" s="165"/>
      <c r="E132" s="164"/>
      <c r="F132" t="str" s="195" cm="1">
        <f t="array" ref="F132">IF(AG132="","",I132-H132)</f>
      </c>
      <c r="G132" s="160"/>
      <c r="H132" s="158"/>
      <c r="I132" t="str" s="159" cm="1">
        <f t="array" ref="I132">IF(AG132="","",P132-K132)</f>
      </c>
      <c r="J132" s="160"/>
      <c r="K132" s="158"/>
      <c r="L132" s="161"/>
      <c r="M132" s="161"/>
      <c r="N132" s="161"/>
      <c r="O132" s="161"/>
      <c r="P132" t="str" s="159" cm="1">
        <f t="array" ref="P132">IF(AG132="","",AC132-R132-Q132)</f>
      </c>
      <c r="Q132" s="162"/>
      <c r="R132" s="162"/>
      <c r="S132" s="161"/>
      <c r="T132" s="161"/>
      <c r="U132" s="161"/>
      <c r="V132" s="161"/>
      <c r="W132" s="161"/>
      <c r="X132" s="161"/>
      <c r="Y132" s="161"/>
      <c r="Z132" s="161"/>
      <c r="AA132" s="161"/>
      <c r="AB132" s="160"/>
      <c r="AC132" s="163"/>
      <c r="AD132" s="161"/>
      <c r="AE132" s="160"/>
      <c r="AF132" s="196"/>
      <c r="AG132" s="165"/>
      <c r="AH132" s="164"/>
      <c r="AI132" s="163"/>
      <c r="AJ132" s="161"/>
      <c r="AK132" s="161"/>
      <c r="AL132" s="160"/>
      <c r="AM132" s="165"/>
      <c r="AN132" s="166"/>
      <c r="AO132" s="10"/>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row>
    <row r="133" ht="25.15" customHeight="1">
      <c r="A133" s="155" cm="1">
        <f t="array" ref="A133">A132+1</f>
        <v>122</v>
      </c>
      <c r="B133" s="151"/>
      <c r="C133" s="170"/>
      <c r="D133" s="165"/>
      <c r="E133" s="164"/>
      <c r="F133" t="str" s="195" cm="1">
        <f t="array" ref="F133">IF(AG133="","",I133-H133)</f>
      </c>
      <c r="G133" s="160"/>
      <c r="H133" s="158"/>
      <c r="I133" t="str" s="159" cm="1">
        <f t="array" ref="I133">IF(AG133="","",P133-K133)</f>
      </c>
      <c r="J133" s="160"/>
      <c r="K133" s="158"/>
      <c r="L133" s="161"/>
      <c r="M133" s="161"/>
      <c r="N133" s="161"/>
      <c r="O133" s="161"/>
      <c r="P133" t="str" s="159" cm="1">
        <f t="array" ref="P133">IF(AG133="","",AC133-R133-Q133)</f>
      </c>
      <c r="Q133" s="162"/>
      <c r="R133" s="162"/>
      <c r="S133" s="161"/>
      <c r="T133" s="161"/>
      <c r="U133" s="161"/>
      <c r="V133" s="161"/>
      <c r="W133" s="161"/>
      <c r="X133" s="161"/>
      <c r="Y133" s="161"/>
      <c r="Z133" s="161"/>
      <c r="AA133" s="161"/>
      <c r="AB133" s="160"/>
      <c r="AC133" s="163"/>
      <c r="AD133" s="161"/>
      <c r="AE133" s="160"/>
      <c r="AF133" s="196"/>
      <c r="AG133" s="165"/>
      <c r="AH133" s="164"/>
      <c r="AI133" s="163"/>
      <c r="AJ133" s="161"/>
      <c r="AK133" s="161"/>
      <c r="AL133" s="160"/>
      <c r="AM133" s="165"/>
      <c r="AN133" s="166"/>
      <c r="AO133" s="10"/>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row>
    <row r="134" ht="25.15" customHeight="1">
      <c r="A134" s="155" cm="1">
        <f t="array" ref="A134">A133+1</f>
        <v>123</v>
      </c>
      <c r="B134" s="151"/>
      <c r="C134" s="170"/>
      <c r="D134" s="165"/>
      <c r="E134" s="164"/>
      <c r="F134" t="str" s="195" cm="1">
        <f t="array" ref="F134">IF(AG134="","",I134-H134)</f>
      </c>
      <c r="G134" s="160"/>
      <c r="H134" s="158"/>
      <c r="I134" t="str" s="159" cm="1">
        <f t="array" ref="I134">IF(AG134="","",P134-K134)</f>
      </c>
      <c r="J134" s="160"/>
      <c r="K134" s="158"/>
      <c r="L134" s="161"/>
      <c r="M134" s="161"/>
      <c r="N134" s="161"/>
      <c r="O134" s="161"/>
      <c r="P134" t="str" s="159" cm="1">
        <f t="array" ref="P134">IF(AG134="","",AC134-R134-Q134)</f>
      </c>
      <c r="Q134" s="162"/>
      <c r="R134" s="162"/>
      <c r="S134" s="161"/>
      <c r="T134" s="161"/>
      <c r="U134" s="161"/>
      <c r="V134" s="161"/>
      <c r="W134" s="161"/>
      <c r="X134" s="161"/>
      <c r="Y134" s="161"/>
      <c r="Z134" s="161"/>
      <c r="AA134" s="161"/>
      <c r="AB134" s="160"/>
      <c r="AC134" s="163"/>
      <c r="AD134" s="161"/>
      <c r="AE134" s="160"/>
      <c r="AF134" s="196"/>
      <c r="AG134" s="165"/>
      <c r="AH134" s="164"/>
      <c r="AI134" s="163"/>
      <c r="AJ134" s="161"/>
      <c r="AK134" s="161"/>
      <c r="AL134" s="160"/>
      <c r="AM134" s="165"/>
      <c r="AN134" s="166"/>
      <c r="AO134" s="10"/>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row>
    <row r="135" ht="25.15" customHeight="1">
      <c r="A135" s="155" cm="1">
        <f t="array" ref="A135">A134+1</f>
        <v>124</v>
      </c>
      <c r="B135" s="151"/>
      <c r="C135" s="170"/>
      <c r="D135" s="165"/>
      <c r="E135" s="164"/>
      <c r="F135" t="str" s="195" cm="1">
        <f t="array" ref="F135">IF(AG135="","",I135-H135)</f>
      </c>
      <c r="G135" s="160"/>
      <c r="H135" s="158"/>
      <c r="I135" t="str" s="159" cm="1">
        <f t="array" ref="I135">IF(AG135="","",P135-K135)</f>
      </c>
      <c r="J135" s="160"/>
      <c r="K135" s="158"/>
      <c r="L135" s="161"/>
      <c r="M135" s="161"/>
      <c r="N135" s="161"/>
      <c r="O135" s="161"/>
      <c r="P135" t="str" s="159" cm="1">
        <f t="array" ref="P135">IF(AG135="","",AC135-R135-Q135)</f>
      </c>
      <c r="Q135" s="162"/>
      <c r="R135" s="162"/>
      <c r="S135" s="161"/>
      <c r="T135" s="161"/>
      <c r="U135" s="161"/>
      <c r="V135" s="161"/>
      <c r="W135" s="161"/>
      <c r="X135" s="161"/>
      <c r="Y135" s="161"/>
      <c r="Z135" s="161"/>
      <c r="AA135" s="161"/>
      <c r="AB135" s="160"/>
      <c r="AC135" s="163"/>
      <c r="AD135" s="161"/>
      <c r="AE135" s="160"/>
      <c r="AF135" s="196"/>
      <c r="AG135" s="165"/>
      <c r="AH135" s="164"/>
      <c r="AI135" s="163"/>
      <c r="AJ135" s="161"/>
      <c r="AK135" s="161"/>
      <c r="AL135" s="160"/>
      <c r="AM135" s="165"/>
      <c r="AN135" s="166"/>
      <c r="AO135" s="10"/>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row>
    <row r="136" ht="25.15" customHeight="1">
      <c r="A136" s="155" cm="1">
        <f t="array" ref="A136">A135+1</f>
        <v>125</v>
      </c>
      <c r="B136" s="151"/>
      <c r="C136" s="170"/>
      <c r="D136" s="165"/>
      <c r="E136" s="164"/>
      <c r="F136" t="str" s="195" cm="1">
        <f t="array" ref="F136">IF(AG136="","",I136-H136)</f>
      </c>
      <c r="G136" s="160"/>
      <c r="H136" s="158"/>
      <c r="I136" t="str" s="159" cm="1">
        <f t="array" ref="I136">IF(AG136="","",P136-K136)</f>
      </c>
      <c r="J136" s="160"/>
      <c r="K136" s="158"/>
      <c r="L136" s="161"/>
      <c r="M136" s="161"/>
      <c r="N136" s="161"/>
      <c r="O136" s="161"/>
      <c r="P136" t="str" s="159" cm="1">
        <f t="array" ref="P136">IF(AG136="","",AC136-R136-Q136)</f>
      </c>
      <c r="Q136" s="162"/>
      <c r="R136" s="162"/>
      <c r="S136" s="161"/>
      <c r="T136" s="161"/>
      <c r="U136" s="161"/>
      <c r="V136" s="161"/>
      <c r="W136" s="161"/>
      <c r="X136" s="161"/>
      <c r="Y136" s="161"/>
      <c r="Z136" s="161"/>
      <c r="AA136" s="161"/>
      <c r="AB136" s="160"/>
      <c r="AC136" s="163"/>
      <c r="AD136" s="161"/>
      <c r="AE136" s="160"/>
      <c r="AF136" s="196"/>
      <c r="AG136" s="165"/>
      <c r="AH136" s="164"/>
      <c r="AI136" s="163"/>
      <c r="AJ136" s="161"/>
      <c r="AK136" s="161"/>
      <c r="AL136" s="160"/>
      <c r="AM136" s="165"/>
      <c r="AN136" s="166"/>
      <c r="AO136" s="10"/>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row>
    <row r="137" ht="25.15" customHeight="1">
      <c r="A137" s="155" cm="1">
        <f t="array" ref="A137">A136+1</f>
        <v>126</v>
      </c>
      <c r="B137" s="151"/>
      <c r="C137" s="170"/>
      <c r="D137" s="165"/>
      <c r="E137" s="164"/>
      <c r="F137" t="str" s="195" cm="1">
        <f t="array" ref="F137">IF(AG137="","",I137-H137)</f>
      </c>
      <c r="G137" s="160"/>
      <c r="H137" s="158"/>
      <c r="I137" t="str" s="159" cm="1">
        <f t="array" ref="I137">IF(AG137="","",P137-K137)</f>
      </c>
      <c r="J137" s="160"/>
      <c r="K137" s="158"/>
      <c r="L137" s="161"/>
      <c r="M137" s="161"/>
      <c r="N137" s="161"/>
      <c r="O137" s="161"/>
      <c r="P137" t="str" s="159" cm="1">
        <f t="array" ref="P137">IF(AG137="","",AC137-R137-Q137)</f>
      </c>
      <c r="Q137" s="162"/>
      <c r="R137" s="162"/>
      <c r="S137" s="161"/>
      <c r="T137" s="161"/>
      <c r="U137" s="161"/>
      <c r="V137" s="161"/>
      <c r="W137" s="161"/>
      <c r="X137" s="161"/>
      <c r="Y137" s="161"/>
      <c r="Z137" s="161"/>
      <c r="AA137" s="161"/>
      <c r="AB137" s="160"/>
      <c r="AC137" s="163"/>
      <c r="AD137" s="161"/>
      <c r="AE137" s="160"/>
      <c r="AF137" s="196"/>
      <c r="AG137" s="165"/>
      <c r="AH137" s="164"/>
      <c r="AI137" s="163"/>
      <c r="AJ137" s="161"/>
      <c r="AK137" s="161"/>
      <c r="AL137" s="160"/>
      <c r="AM137" s="165"/>
      <c r="AN137" s="166"/>
      <c r="AO137" s="10"/>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row>
    <row r="138" ht="25.15" customHeight="1">
      <c r="A138" s="155" cm="1">
        <f t="array" ref="A138">A137+1</f>
        <v>127</v>
      </c>
      <c r="B138" s="151"/>
      <c r="C138" s="170"/>
      <c r="D138" s="165"/>
      <c r="E138" s="164"/>
      <c r="F138" t="str" s="195" cm="1">
        <f t="array" ref="F138">IF(AG138="","",I138-H138)</f>
      </c>
      <c r="G138" s="160"/>
      <c r="H138" s="158"/>
      <c r="I138" t="str" s="159" cm="1">
        <f t="array" ref="I138">IF(AG138="","",P138-K138)</f>
      </c>
      <c r="J138" s="160"/>
      <c r="K138" s="158"/>
      <c r="L138" s="161"/>
      <c r="M138" s="161"/>
      <c r="N138" s="161"/>
      <c r="O138" s="161"/>
      <c r="P138" t="str" s="159" cm="1">
        <f t="array" ref="P138">IF(AG138="","",AC138-R138-Q138)</f>
      </c>
      <c r="Q138" s="162"/>
      <c r="R138" s="162"/>
      <c r="S138" s="161"/>
      <c r="T138" s="161"/>
      <c r="U138" s="161"/>
      <c r="V138" s="161"/>
      <c r="W138" s="161"/>
      <c r="X138" s="161"/>
      <c r="Y138" s="161"/>
      <c r="Z138" s="161"/>
      <c r="AA138" s="161"/>
      <c r="AB138" s="160"/>
      <c r="AC138" s="163"/>
      <c r="AD138" s="161"/>
      <c r="AE138" s="160"/>
      <c r="AF138" s="196"/>
      <c r="AG138" s="165"/>
      <c r="AH138" s="164"/>
      <c r="AI138" s="163"/>
      <c r="AJ138" s="161"/>
      <c r="AK138" s="161"/>
      <c r="AL138" s="160"/>
      <c r="AM138" s="165"/>
      <c r="AN138" s="166"/>
      <c r="AO138" s="10"/>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row>
    <row r="139" ht="25.15" customHeight="1">
      <c r="A139" s="155" cm="1">
        <f t="array" ref="A139">A138+1</f>
        <v>128</v>
      </c>
      <c r="B139" s="151"/>
      <c r="C139" s="170"/>
      <c r="D139" s="165"/>
      <c r="E139" s="164"/>
      <c r="F139" t="str" s="195" cm="1">
        <f t="array" ref="F139">IF(AG139="","",I139-H139)</f>
      </c>
      <c r="G139" s="160"/>
      <c r="H139" s="158"/>
      <c r="I139" t="str" s="159" cm="1">
        <f t="array" ref="I139">IF(AG139="","",P139-K139)</f>
      </c>
      <c r="J139" s="160"/>
      <c r="K139" s="158"/>
      <c r="L139" s="161"/>
      <c r="M139" s="161"/>
      <c r="N139" s="161"/>
      <c r="O139" s="161"/>
      <c r="P139" t="str" s="159" cm="1">
        <f t="array" ref="P139">IF(AG139="","",AC139-R139-Q139)</f>
      </c>
      <c r="Q139" s="162"/>
      <c r="R139" s="162"/>
      <c r="S139" s="161"/>
      <c r="T139" s="161"/>
      <c r="U139" s="161"/>
      <c r="V139" s="161"/>
      <c r="W139" s="161"/>
      <c r="X139" s="161"/>
      <c r="Y139" s="161"/>
      <c r="Z139" s="161"/>
      <c r="AA139" s="161"/>
      <c r="AB139" s="160"/>
      <c r="AC139" s="163"/>
      <c r="AD139" s="161"/>
      <c r="AE139" s="160"/>
      <c r="AF139" s="196"/>
      <c r="AG139" s="165"/>
      <c r="AH139" s="164"/>
      <c r="AI139" s="163"/>
      <c r="AJ139" s="161"/>
      <c r="AK139" s="161"/>
      <c r="AL139" s="160"/>
      <c r="AM139" s="165"/>
      <c r="AN139" s="166"/>
      <c r="AO139" s="10"/>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row>
    <row r="140" ht="25.15" customHeight="1">
      <c r="A140" s="155" cm="1">
        <f t="array" ref="A140">A139+1</f>
        <v>129</v>
      </c>
      <c r="B140" s="151"/>
      <c r="C140" s="170"/>
      <c r="D140" s="165"/>
      <c r="E140" s="164"/>
      <c r="F140" t="str" s="195" cm="1">
        <f t="array" ref="F140">IF(AG140="","",I140-H140)</f>
      </c>
      <c r="G140" s="160"/>
      <c r="H140" s="158"/>
      <c r="I140" t="str" s="159" cm="1">
        <f t="array" ref="I140">IF(AG140="","",P140-K140)</f>
      </c>
      <c r="J140" s="160"/>
      <c r="K140" s="158"/>
      <c r="L140" s="161"/>
      <c r="M140" s="161"/>
      <c r="N140" s="161"/>
      <c r="O140" s="161"/>
      <c r="P140" t="str" s="159" cm="1">
        <f t="array" ref="P140">IF(AG140="","",AC140-R140-Q140)</f>
      </c>
      <c r="Q140" s="162"/>
      <c r="R140" s="162"/>
      <c r="S140" s="161"/>
      <c r="T140" s="161"/>
      <c r="U140" s="161"/>
      <c r="V140" s="161"/>
      <c r="W140" s="161"/>
      <c r="X140" s="161"/>
      <c r="Y140" s="161"/>
      <c r="Z140" s="161"/>
      <c r="AA140" s="161"/>
      <c r="AB140" s="160"/>
      <c r="AC140" s="163"/>
      <c r="AD140" s="161"/>
      <c r="AE140" s="160"/>
      <c r="AF140" s="196"/>
      <c r="AG140" s="165"/>
      <c r="AH140" s="164"/>
      <c r="AI140" s="163"/>
      <c r="AJ140" s="161"/>
      <c r="AK140" s="161"/>
      <c r="AL140" s="160"/>
      <c r="AM140" s="165"/>
      <c r="AN140" s="166"/>
      <c r="AO140" s="10"/>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row>
    <row r="141" ht="25.15" customHeight="1">
      <c r="A141" s="155" cm="1">
        <f t="array" ref="A141">A140+1</f>
        <v>130</v>
      </c>
      <c r="B141" s="151"/>
      <c r="C141" s="170"/>
      <c r="D141" s="165"/>
      <c r="E141" s="164"/>
      <c r="F141" t="str" s="195" cm="1">
        <f t="array" ref="F141">IF(AG141="","",I141-H141)</f>
      </c>
      <c r="G141" s="160"/>
      <c r="H141" s="158"/>
      <c r="I141" t="str" s="159" cm="1">
        <f t="array" ref="I141">IF(AG141="","",P141-K141)</f>
      </c>
      <c r="J141" s="160"/>
      <c r="K141" s="158"/>
      <c r="L141" s="161"/>
      <c r="M141" s="161"/>
      <c r="N141" s="161"/>
      <c r="O141" s="161"/>
      <c r="P141" t="str" s="159" cm="1">
        <f t="array" ref="P141">IF(AG141="","",AC141-R141-Q141)</f>
      </c>
      <c r="Q141" s="162"/>
      <c r="R141" s="162"/>
      <c r="S141" s="161"/>
      <c r="T141" s="161"/>
      <c r="U141" s="161"/>
      <c r="V141" s="161"/>
      <c r="W141" s="161"/>
      <c r="X141" s="161"/>
      <c r="Y141" s="161"/>
      <c r="Z141" s="161"/>
      <c r="AA141" s="161"/>
      <c r="AB141" s="160"/>
      <c r="AC141" s="163"/>
      <c r="AD141" s="161"/>
      <c r="AE141" s="160"/>
      <c r="AF141" s="196"/>
      <c r="AG141" s="165"/>
      <c r="AH141" s="164"/>
      <c r="AI141" s="163"/>
      <c r="AJ141" s="161"/>
      <c r="AK141" s="161"/>
      <c r="AL141" s="160"/>
      <c r="AM141" s="165"/>
      <c r="AN141" s="166"/>
      <c r="AO141" s="10"/>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row>
    <row r="142" ht="25.15" customHeight="1">
      <c r="A142" s="155" cm="1">
        <f t="array" ref="A142">A141+1</f>
        <v>131</v>
      </c>
      <c r="B142" s="151"/>
      <c r="C142" s="170"/>
      <c r="D142" s="165"/>
      <c r="E142" s="164"/>
      <c r="F142" t="str" s="195" cm="1">
        <f t="array" ref="F142">IF(AG142="","",I142-H142)</f>
      </c>
      <c r="G142" s="160"/>
      <c r="H142" s="158"/>
      <c r="I142" t="str" s="159" cm="1">
        <f t="array" ref="I142">IF(AG142="","",P142-K142)</f>
      </c>
      <c r="J142" s="160"/>
      <c r="K142" s="158"/>
      <c r="L142" s="161"/>
      <c r="M142" s="161"/>
      <c r="N142" s="161"/>
      <c r="O142" s="161"/>
      <c r="P142" t="str" s="159" cm="1">
        <f t="array" ref="P142">IF(AG142="","",AC142-R142-Q142)</f>
      </c>
      <c r="Q142" s="162"/>
      <c r="R142" s="162"/>
      <c r="S142" s="161"/>
      <c r="T142" s="161"/>
      <c r="U142" s="161"/>
      <c r="V142" s="161"/>
      <c r="W142" s="161"/>
      <c r="X142" s="161"/>
      <c r="Y142" s="161"/>
      <c r="Z142" s="161"/>
      <c r="AA142" s="161"/>
      <c r="AB142" s="160"/>
      <c r="AC142" s="163"/>
      <c r="AD142" s="161"/>
      <c r="AE142" s="160"/>
      <c r="AF142" s="196"/>
      <c r="AG142" s="165"/>
      <c r="AH142" s="164"/>
      <c r="AI142" s="163"/>
      <c r="AJ142" s="161"/>
      <c r="AK142" s="161"/>
      <c r="AL142" s="160"/>
      <c r="AM142" s="165"/>
      <c r="AN142" s="166"/>
      <c r="AO142" s="10"/>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row>
    <row r="143" ht="25.15" customHeight="1">
      <c r="A143" s="155" cm="1">
        <f t="array" ref="A143">A142+1</f>
        <v>132</v>
      </c>
      <c r="B143" s="151"/>
      <c r="C143" s="170"/>
      <c r="D143" s="165"/>
      <c r="E143" s="164"/>
      <c r="F143" t="str" s="195" cm="1">
        <f t="array" ref="F143">IF(AG143="","",I143-H143)</f>
      </c>
      <c r="G143" s="160"/>
      <c r="H143" s="158"/>
      <c r="I143" t="str" s="159" cm="1">
        <f t="array" ref="I143">IF(AG143="","",P143-K143)</f>
      </c>
      <c r="J143" s="160"/>
      <c r="K143" s="158"/>
      <c r="L143" s="161"/>
      <c r="M143" s="161"/>
      <c r="N143" s="161"/>
      <c r="O143" s="161"/>
      <c r="P143" t="str" s="159" cm="1">
        <f t="array" ref="P143">IF(AG143="","",AC143-R143-Q143)</f>
      </c>
      <c r="Q143" s="162"/>
      <c r="R143" s="162"/>
      <c r="S143" s="161"/>
      <c r="T143" s="161"/>
      <c r="U143" s="161"/>
      <c r="V143" s="161"/>
      <c r="W143" s="161"/>
      <c r="X143" s="161"/>
      <c r="Y143" s="161"/>
      <c r="Z143" s="161"/>
      <c r="AA143" s="161"/>
      <c r="AB143" s="160"/>
      <c r="AC143" s="163"/>
      <c r="AD143" s="161"/>
      <c r="AE143" s="160"/>
      <c r="AF143" s="196"/>
      <c r="AG143" s="165"/>
      <c r="AH143" s="164"/>
      <c r="AI143" s="163"/>
      <c r="AJ143" s="161"/>
      <c r="AK143" s="161"/>
      <c r="AL143" s="160"/>
      <c r="AM143" s="165"/>
      <c r="AN143" s="166"/>
      <c r="AO143" s="10"/>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row>
    <row r="144" ht="25.15" customHeight="1">
      <c r="A144" s="155" cm="1">
        <f t="array" ref="A144">A143+1</f>
        <v>133</v>
      </c>
      <c r="B144" s="151"/>
      <c r="C144" s="170"/>
      <c r="D144" s="165"/>
      <c r="E144" s="164"/>
      <c r="F144" t="str" s="195" cm="1">
        <f t="array" ref="F144">IF(AG144="","",I144-H144)</f>
      </c>
      <c r="G144" s="160"/>
      <c r="H144" s="158"/>
      <c r="I144" t="str" s="159" cm="1">
        <f t="array" ref="I144">IF(AG144="","",P144-K144)</f>
      </c>
      <c r="J144" s="160"/>
      <c r="K144" s="158"/>
      <c r="L144" s="161"/>
      <c r="M144" s="161"/>
      <c r="N144" s="161"/>
      <c r="O144" s="161"/>
      <c r="P144" t="str" s="159" cm="1">
        <f t="array" ref="P144">IF(AG144="","",AC144-R144-Q144)</f>
      </c>
      <c r="Q144" s="162"/>
      <c r="R144" s="162"/>
      <c r="S144" s="161"/>
      <c r="T144" s="161"/>
      <c r="U144" s="161"/>
      <c r="V144" s="161"/>
      <c r="W144" s="161"/>
      <c r="X144" s="161"/>
      <c r="Y144" s="161"/>
      <c r="Z144" s="161"/>
      <c r="AA144" s="161"/>
      <c r="AB144" s="160"/>
      <c r="AC144" s="163"/>
      <c r="AD144" s="161"/>
      <c r="AE144" s="160"/>
      <c r="AF144" s="196"/>
      <c r="AG144" s="165"/>
      <c r="AH144" s="164"/>
      <c r="AI144" s="163"/>
      <c r="AJ144" s="161"/>
      <c r="AK144" s="161"/>
      <c r="AL144" s="160"/>
      <c r="AM144" s="165"/>
      <c r="AN144" s="166"/>
      <c r="AO144" s="10"/>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row>
    <row r="145" ht="25.15" customHeight="1">
      <c r="A145" s="155" cm="1">
        <f t="array" ref="A145">A144+1</f>
        <v>134</v>
      </c>
      <c r="B145" s="151"/>
      <c r="C145" s="170"/>
      <c r="D145" s="165"/>
      <c r="E145" s="164"/>
      <c r="F145" t="str" s="195" cm="1">
        <f t="array" ref="F145">IF(AG145="","",I145-H145)</f>
      </c>
      <c r="G145" s="160"/>
      <c r="H145" s="158"/>
      <c r="I145" t="str" s="159" cm="1">
        <f t="array" ref="I145">IF(AG145="","",P145-K145)</f>
      </c>
      <c r="J145" s="160"/>
      <c r="K145" s="158"/>
      <c r="L145" s="161"/>
      <c r="M145" s="161"/>
      <c r="N145" s="161"/>
      <c r="O145" s="161"/>
      <c r="P145" t="str" s="159" cm="1">
        <f t="array" ref="P145">IF(AG145="","",AC145-R145-Q145)</f>
      </c>
      <c r="Q145" s="162"/>
      <c r="R145" s="162"/>
      <c r="S145" s="161"/>
      <c r="T145" s="161"/>
      <c r="U145" s="161"/>
      <c r="V145" s="161"/>
      <c r="W145" s="161"/>
      <c r="X145" s="161"/>
      <c r="Y145" s="161"/>
      <c r="Z145" s="161"/>
      <c r="AA145" s="161"/>
      <c r="AB145" s="160"/>
      <c r="AC145" s="163"/>
      <c r="AD145" s="161"/>
      <c r="AE145" s="160"/>
      <c r="AF145" s="196"/>
      <c r="AG145" s="165"/>
      <c r="AH145" s="164"/>
      <c r="AI145" s="163"/>
      <c r="AJ145" s="161"/>
      <c r="AK145" s="161"/>
      <c r="AL145" s="160"/>
      <c r="AM145" s="165"/>
      <c r="AN145" s="166"/>
      <c r="AO145" s="10"/>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row>
    <row r="146" ht="25.15" customHeight="1">
      <c r="A146" s="155" cm="1">
        <f t="array" ref="A146">A145+1</f>
        <v>135</v>
      </c>
      <c r="B146" s="151"/>
      <c r="C146" s="170"/>
      <c r="D146" s="165"/>
      <c r="E146" s="164"/>
      <c r="F146" t="str" s="195" cm="1">
        <f t="array" ref="F146">IF(AG146="","",I146-H146)</f>
      </c>
      <c r="G146" s="160"/>
      <c r="H146" s="158"/>
      <c r="I146" t="str" s="159" cm="1">
        <f t="array" ref="I146">IF(AG146="","",P146-K146)</f>
      </c>
      <c r="J146" s="160"/>
      <c r="K146" s="158"/>
      <c r="L146" s="161"/>
      <c r="M146" s="161"/>
      <c r="N146" s="161"/>
      <c r="O146" s="161"/>
      <c r="P146" t="str" s="159" cm="1">
        <f t="array" ref="P146">IF(AG146="","",AC146-R146-Q146)</f>
      </c>
      <c r="Q146" s="162"/>
      <c r="R146" s="162"/>
      <c r="S146" s="161"/>
      <c r="T146" s="161"/>
      <c r="U146" s="161"/>
      <c r="V146" s="161"/>
      <c r="W146" s="161"/>
      <c r="X146" s="161"/>
      <c r="Y146" s="161"/>
      <c r="Z146" s="161"/>
      <c r="AA146" s="161"/>
      <c r="AB146" s="160"/>
      <c r="AC146" s="163"/>
      <c r="AD146" s="161"/>
      <c r="AE146" s="160"/>
      <c r="AF146" s="196"/>
      <c r="AG146" s="165"/>
      <c r="AH146" s="164"/>
      <c r="AI146" s="163"/>
      <c r="AJ146" s="161"/>
      <c r="AK146" s="161"/>
      <c r="AL146" s="160"/>
      <c r="AM146" s="165"/>
      <c r="AN146" s="166"/>
      <c r="AO146" s="10"/>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row>
    <row r="147" ht="25.15" customHeight="1">
      <c r="A147" s="155" cm="1">
        <f t="array" ref="A147">A146+1</f>
        <v>136</v>
      </c>
      <c r="B147" s="151"/>
      <c r="C147" s="170"/>
      <c r="D147" s="165"/>
      <c r="E147" s="164"/>
      <c r="F147" t="str" s="195" cm="1">
        <f t="array" ref="F147">IF(AG147="","",I147-H147)</f>
      </c>
      <c r="G147" s="160"/>
      <c r="H147" s="158"/>
      <c r="I147" t="str" s="159" cm="1">
        <f t="array" ref="I147">IF(AG147="","",P147-K147)</f>
      </c>
      <c r="J147" s="160"/>
      <c r="K147" s="158"/>
      <c r="L147" s="161"/>
      <c r="M147" s="161"/>
      <c r="N147" s="161"/>
      <c r="O147" s="161"/>
      <c r="P147" t="str" s="159" cm="1">
        <f t="array" ref="P147">IF(AG147="","",AC147-R147-Q147)</f>
      </c>
      <c r="Q147" s="162"/>
      <c r="R147" s="162"/>
      <c r="S147" s="161"/>
      <c r="T147" s="161"/>
      <c r="U147" s="161"/>
      <c r="V147" s="161"/>
      <c r="W147" s="161"/>
      <c r="X147" s="161"/>
      <c r="Y147" s="161"/>
      <c r="Z147" s="161"/>
      <c r="AA147" s="161"/>
      <c r="AB147" s="160"/>
      <c r="AC147" s="163"/>
      <c r="AD147" s="161"/>
      <c r="AE147" s="160"/>
      <c r="AF147" s="196"/>
      <c r="AG147" s="165"/>
      <c r="AH147" s="164"/>
      <c r="AI147" s="163"/>
      <c r="AJ147" s="161"/>
      <c r="AK147" s="161"/>
      <c r="AL147" s="160"/>
      <c r="AM147" s="165"/>
      <c r="AN147" s="166"/>
      <c r="AO147" s="10"/>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row>
    <row r="148" ht="25.15" customHeight="1">
      <c r="A148" s="155" cm="1">
        <f t="array" ref="A148">A147+1</f>
        <v>137</v>
      </c>
      <c r="B148" s="151"/>
      <c r="C148" s="170"/>
      <c r="D148" s="165"/>
      <c r="E148" s="164"/>
      <c r="F148" t="str" s="195" cm="1">
        <f t="array" ref="F148">IF(AG148="","",I148-H148)</f>
      </c>
      <c r="G148" s="160"/>
      <c r="H148" s="158"/>
      <c r="I148" t="str" s="159" cm="1">
        <f t="array" ref="I148">IF(AG148="","",P148-K148)</f>
      </c>
      <c r="J148" s="160"/>
      <c r="K148" s="158"/>
      <c r="L148" s="161"/>
      <c r="M148" s="161"/>
      <c r="N148" s="161"/>
      <c r="O148" s="161"/>
      <c r="P148" t="str" s="159" cm="1">
        <f t="array" ref="P148">IF(AG148="","",AC148-R148-Q148)</f>
      </c>
      <c r="Q148" s="162"/>
      <c r="R148" s="162"/>
      <c r="S148" s="161"/>
      <c r="T148" s="161"/>
      <c r="U148" s="161"/>
      <c r="V148" s="161"/>
      <c r="W148" s="161"/>
      <c r="X148" s="161"/>
      <c r="Y148" s="161"/>
      <c r="Z148" s="161"/>
      <c r="AA148" s="161"/>
      <c r="AB148" s="160"/>
      <c r="AC148" s="163"/>
      <c r="AD148" s="161"/>
      <c r="AE148" s="160"/>
      <c r="AF148" s="196"/>
      <c r="AG148" s="165"/>
      <c r="AH148" s="164"/>
      <c r="AI148" s="163"/>
      <c r="AJ148" s="161"/>
      <c r="AK148" s="161"/>
      <c r="AL148" s="160"/>
      <c r="AM148" s="165"/>
      <c r="AN148" s="166"/>
      <c r="AO148" s="10"/>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row>
    <row r="149" ht="25.15" customHeight="1">
      <c r="A149" s="155" cm="1">
        <f t="array" ref="A149">A148+1</f>
        <v>138</v>
      </c>
      <c r="B149" s="151"/>
      <c r="C149" s="170"/>
      <c r="D149" s="165"/>
      <c r="E149" s="164"/>
      <c r="F149" t="str" s="195" cm="1">
        <f t="array" ref="F149">IF(AG149="","",I149-H149)</f>
      </c>
      <c r="G149" s="160"/>
      <c r="H149" s="158"/>
      <c r="I149" t="str" s="159" cm="1">
        <f t="array" ref="I149">IF(AG149="","",P149-K149)</f>
      </c>
      <c r="J149" s="160"/>
      <c r="K149" s="158"/>
      <c r="L149" s="161"/>
      <c r="M149" s="161"/>
      <c r="N149" s="161"/>
      <c r="O149" s="161"/>
      <c r="P149" t="str" s="159" cm="1">
        <f t="array" ref="P149">IF(AG149="","",AC149-R149-Q149)</f>
      </c>
      <c r="Q149" s="162"/>
      <c r="R149" s="162"/>
      <c r="S149" s="161"/>
      <c r="T149" s="161"/>
      <c r="U149" s="161"/>
      <c r="V149" s="161"/>
      <c r="W149" s="161"/>
      <c r="X149" s="161"/>
      <c r="Y149" s="161"/>
      <c r="Z149" s="161"/>
      <c r="AA149" s="161"/>
      <c r="AB149" s="160"/>
      <c r="AC149" s="163"/>
      <c r="AD149" s="161"/>
      <c r="AE149" s="160"/>
      <c r="AF149" s="196"/>
      <c r="AG149" s="165"/>
      <c r="AH149" s="164"/>
      <c r="AI149" s="163"/>
      <c r="AJ149" s="161"/>
      <c r="AK149" s="161"/>
      <c r="AL149" s="160"/>
      <c r="AM149" s="165"/>
      <c r="AN149" s="166"/>
      <c r="AO149" s="10"/>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row>
    <row r="150" ht="25.15" customHeight="1">
      <c r="A150" s="155" cm="1">
        <f t="array" ref="A150">A149+1</f>
        <v>139</v>
      </c>
      <c r="B150" s="151"/>
      <c r="C150" s="170"/>
      <c r="D150" s="165"/>
      <c r="E150" s="164"/>
      <c r="F150" t="str" s="195" cm="1">
        <f t="array" ref="F150">IF(AG150="","",I150-H150)</f>
      </c>
      <c r="G150" s="160"/>
      <c r="H150" s="158"/>
      <c r="I150" t="str" s="159" cm="1">
        <f t="array" ref="I150">IF(AG150="","",P150-K150)</f>
      </c>
      <c r="J150" s="160"/>
      <c r="K150" s="158"/>
      <c r="L150" s="161"/>
      <c r="M150" s="161"/>
      <c r="N150" s="161"/>
      <c r="O150" s="161"/>
      <c r="P150" t="str" s="159" cm="1">
        <f t="array" ref="P150">IF(AG150="","",AC150-R150-Q150)</f>
      </c>
      <c r="Q150" s="162"/>
      <c r="R150" s="162"/>
      <c r="S150" s="161"/>
      <c r="T150" s="161"/>
      <c r="U150" s="161"/>
      <c r="V150" s="161"/>
      <c r="W150" s="161"/>
      <c r="X150" s="161"/>
      <c r="Y150" s="161"/>
      <c r="Z150" s="161"/>
      <c r="AA150" s="161"/>
      <c r="AB150" s="160"/>
      <c r="AC150" s="163"/>
      <c r="AD150" s="161"/>
      <c r="AE150" s="160"/>
      <c r="AF150" s="196"/>
      <c r="AG150" s="165"/>
      <c r="AH150" s="164"/>
      <c r="AI150" s="163"/>
      <c r="AJ150" s="161"/>
      <c r="AK150" s="161"/>
      <c r="AL150" s="160"/>
      <c r="AM150" s="165"/>
      <c r="AN150" s="166"/>
      <c r="AO150" s="10"/>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row>
    <row r="151" ht="25.15" customHeight="1">
      <c r="A151" s="155" cm="1">
        <f t="array" ref="A151">A150+1</f>
        <v>140</v>
      </c>
      <c r="B151" s="151"/>
      <c r="C151" s="170"/>
      <c r="D151" s="165"/>
      <c r="E151" s="164"/>
      <c r="F151" t="str" s="195" cm="1">
        <f t="array" ref="F151">IF(AG151="","",I151-H151)</f>
      </c>
      <c r="G151" s="160"/>
      <c r="H151" s="158"/>
      <c r="I151" t="str" s="159" cm="1">
        <f t="array" ref="I151">IF(AG151="","",P151-K151)</f>
      </c>
      <c r="J151" s="160"/>
      <c r="K151" s="158"/>
      <c r="L151" s="161"/>
      <c r="M151" s="161"/>
      <c r="N151" s="161"/>
      <c r="O151" s="161"/>
      <c r="P151" t="str" s="159" cm="1">
        <f t="array" ref="P151">IF(AG151="","",AC151-R151-Q151)</f>
      </c>
      <c r="Q151" s="162"/>
      <c r="R151" s="162"/>
      <c r="S151" s="161"/>
      <c r="T151" s="161"/>
      <c r="U151" s="161"/>
      <c r="V151" s="161"/>
      <c r="W151" s="161"/>
      <c r="X151" s="161"/>
      <c r="Y151" s="161"/>
      <c r="Z151" s="161"/>
      <c r="AA151" s="161"/>
      <c r="AB151" s="160"/>
      <c r="AC151" s="163"/>
      <c r="AD151" s="161"/>
      <c r="AE151" s="160"/>
      <c r="AF151" s="196"/>
      <c r="AG151" s="165"/>
      <c r="AH151" s="164"/>
      <c r="AI151" s="163"/>
      <c r="AJ151" s="161"/>
      <c r="AK151" s="161"/>
      <c r="AL151" s="160"/>
      <c r="AM151" s="165"/>
      <c r="AN151" s="166"/>
      <c r="AO151" s="10"/>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row>
    <row r="152" ht="25.15" customHeight="1">
      <c r="A152" s="155" cm="1">
        <f t="array" ref="A152">A151+1</f>
        <v>141</v>
      </c>
      <c r="B152" s="151"/>
      <c r="C152" s="170"/>
      <c r="D152" s="165"/>
      <c r="E152" s="164"/>
      <c r="F152" t="str" s="195" cm="1">
        <f t="array" ref="F152">IF(AG152="","",I152-H152)</f>
      </c>
      <c r="G152" s="160"/>
      <c r="H152" s="158"/>
      <c r="I152" t="str" s="159" cm="1">
        <f t="array" ref="I152">IF(AG152="","",P152-K152)</f>
      </c>
      <c r="J152" s="160"/>
      <c r="K152" s="158"/>
      <c r="L152" s="161"/>
      <c r="M152" s="161"/>
      <c r="N152" s="161"/>
      <c r="O152" s="161"/>
      <c r="P152" t="str" s="159" cm="1">
        <f t="array" ref="P152">IF(AG152="","",AC152-R152-Q152)</f>
      </c>
      <c r="Q152" s="162"/>
      <c r="R152" s="162"/>
      <c r="S152" s="161"/>
      <c r="T152" s="161"/>
      <c r="U152" s="161"/>
      <c r="V152" s="161"/>
      <c r="W152" s="161"/>
      <c r="X152" s="161"/>
      <c r="Y152" s="161"/>
      <c r="Z152" s="161"/>
      <c r="AA152" s="161"/>
      <c r="AB152" s="160"/>
      <c r="AC152" t="str" s="195" cm="1">
        <f t="array" ref="AC152">IF(AG152="","",AG152-AF152)</f>
      </c>
      <c r="AD152" s="161"/>
      <c r="AE152" s="160"/>
      <c r="AF152" s="196"/>
      <c r="AG152" s="165"/>
      <c r="AH152" s="164"/>
      <c r="AI152" s="163"/>
      <c r="AJ152" s="161"/>
      <c r="AK152" s="161"/>
      <c r="AL152" s="160"/>
      <c r="AM152" s="165"/>
      <c r="AN152" s="166"/>
      <c r="AO152" s="10"/>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row>
    <row r="153" ht="25.5" customHeight="1">
      <c r="A153" s="155" cm="1">
        <f t="array" ref="A153">A152+1</f>
        <v>142</v>
      </c>
      <c r="B153" s="151"/>
      <c r="C153" s="170"/>
      <c r="D153" s="165"/>
      <c r="E153" s="164"/>
      <c r="F153" t="str" s="195" cm="1">
        <f t="array" ref="F153">IF(AG153="","",I153-H153)</f>
      </c>
      <c r="G153" s="160"/>
      <c r="H153" s="158"/>
      <c r="I153" t="str" s="159" cm="1">
        <f t="array" ref="I153">IF(AG153="","",P153-K153)</f>
      </c>
      <c r="J153" s="160"/>
      <c r="K153" s="158"/>
      <c r="L153" s="161"/>
      <c r="M153" s="161"/>
      <c r="N153" s="161"/>
      <c r="O153" s="161"/>
      <c r="P153" t="str" s="159" cm="1">
        <f t="array" ref="P153">IF(AG153="","",AC153-R153-Q153)</f>
      </c>
      <c r="Q153" s="162"/>
      <c r="R153" s="162"/>
      <c r="S153" s="161"/>
      <c r="T153" s="161"/>
      <c r="U153" s="161"/>
      <c r="V153" s="161"/>
      <c r="W153" s="161"/>
      <c r="X153" s="161"/>
      <c r="Y153" s="161"/>
      <c r="Z153" s="161"/>
      <c r="AA153" s="161"/>
      <c r="AB153" s="160"/>
      <c r="AC153" t="str" s="195" cm="1">
        <f t="array" ref="AC153">IF(AG153="","",AG153-AF153)</f>
      </c>
      <c r="AD153" s="161"/>
      <c r="AE153" s="160"/>
      <c r="AF153" s="196"/>
      <c r="AG153" s="165"/>
      <c r="AH153" s="164"/>
      <c r="AI153" s="163"/>
      <c r="AJ153" s="161"/>
      <c r="AK153" s="161"/>
      <c r="AL153" s="160"/>
      <c r="AM153" s="165"/>
      <c r="AN153" s="166"/>
      <c r="AO153" s="10"/>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row>
    <row r="154" ht="25.5" customHeight="1">
      <c r="A154" s="155" cm="1">
        <f t="array" ref="A154">A153+1</f>
        <v>143</v>
      </c>
      <c r="B154" s="151"/>
      <c r="C154" s="170"/>
      <c r="D154" s="165"/>
      <c r="E154" s="164"/>
      <c r="F154" t="str" s="195" cm="1">
        <f t="array" ref="F154">IF(AG154="","",I154-H154)</f>
      </c>
      <c r="G154" s="160"/>
      <c r="H154" s="158"/>
      <c r="I154" t="str" s="159" cm="1">
        <f t="array" ref="I154">IF(AG154="","",P154-K154)</f>
      </c>
      <c r="J154" s="160"/>
      <c r="K154" s="158"/>
      <c r="L154" s="161"/>
      <c r="M154" s="161"/>
      <c r="N154" s="161"/>
      <c r="O154" s="161"/>
      <c r="P154" t="str" s="159" cm="1">
        <f t="array" ref="P154">IF(AG154="","",AC154-R154-Q154)</f>
      </c>
      <c r="Q154" s="162"/>
      <c r="R154" s="162"/>
      <c r="S154" s="161"/>
      <c r="T154" s="161"/>
      <c r="U154" s="161"/>
      <c r="V154" s="161"/>
      <c r="W154" s="161"/>
      <c r="X154" s="161"/>
      <c r="Y154" s="161"/>
      <c r="Z154" s="161"/>
      <c r="AA154" s="161"/>
      <c r="AB154" s="160"/>
      <c r="AC154" t="str" s="195" cm="1">
        <f t="array" ref="AC154">IF(AG154="","",AG154-AF154)</f>
      </c>
      <c r="AD154" s="161"/>
      <c r="AE154" s="160"/>
      <c r="AF154" s="196"/>
      <c r="AG154" s="165"/>
      <c r="AH154" s="164"/>
      <c r="AI154" s="163"/>
      <c r="AJ154" s="161"/>
      <c r="AK154" s="161"/>
      <c r="AL154" s="160"/>
      <c r="AM154" s="165"/>
      <c r="AN154" s="166"/>
      <c r="AO154" s="10"/>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row>
    <row r="155" ht="25.5" customHeight="1">
      <c r="A155" s="155" cm="1">
        <f t="array" ref="A155">A154+1</f>
        <v>144</v>
      </c>
      <c r="B155" s="151"/>
      <c r="C155" s="170"/>
      <c r="D155" s="165"/>
      <c r="E155" s="164"/>
      <c r="F155" t="str" s="195" cm="1">
        <f t="array" ref="F155">IF(AG155="","",I155-H155)</f>
      </c>
      <c r="G155" s="160"/>
      <c r="H155" s="158"/>
      <c r="I155" t="str" s="159" cm="1">
        <f t="array" ref="I155">IF(AG155="","",P155-K155)</f>
      </c>
      <c r="J155" s="160"/>
      <c r="K155" s="158"/>
      <c r="L155" s="161"/>
      <c r="M155" s="161"/>
      <c r="N155" s="161"/>
      <c r="O155" s="161"/>
      <c r="P155" t="str" s="159" cm="1">
        <f t="array" ref="P155">IF(AG155="","",AC155-R155-Q155)</f>
      </c>
      <c r="Q155" s="162"/>
      <c r="R155" s="162"/>
      <c r="S155" s="161"/>
      <c r="T155" s="161"/>
      <c r="U155" s="161"/>
      <c r="V155" s="161"/>
      <c r="W155" s="161"/>
      <c r="X155" s="161"/>
      <c r="Y155" s="161"/>
      <c r="Z155" s="161"/>
      <c r="AA155" s="161"/>
      <c r="AB155" s="160"/>
      <c r="AC155" t="str" s="195" cm="1">
        <f t="array" ref="AC155">IF(AG155="","",AG155-AF155)</f>
      </c>
      <c r="AD155" s="161"/>
      <c r="AE155" s="160"/>
      <c r="AF155" s="196"/>
      <c r="AG155" s="165"/>
      <c r="AH155" s="164"/>
      <c r="AI155" s="163"/>
      <c r="AJ155" s="161"/>
      <c r="AK155" s="161"/>
      <c r="AL155" s="160"/>
      <c r="AM155" s="165"/>
      <c r="AN155" s="166"/>
      <c r="AO155" s="10"/>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row>
    <row r="156" ht="25.5" customHeight="1">
      <c r="A156" s="155" cm="1">
        <f t="array" ref="A156">A155+1</f>
        <v>145</v>
      </c>
      <c r="B156" s="151"/>
      <c r="C156" s="170"/>
      <c r="D156" s="165"/>
      <c r="E156" s="164"/>
      <c r="F156" t="str" s="195" cm="1">
        <f t="array" ref="F156">IF(AG156="","",I156-H156)</f>
      </c>
      <c r="G156" s="160"/>
      <c r="H156" s="158"/>
      <c r="I156" t="str" s="159" cm="1">
        <f t="array" ref="I156">IF(AG156="","",P156-K156)</f>
      </c>
      <c r="J156" s="160"/>
      <c r="K156" s="158"/>
      <c r="L156" s="161"/>
      <c r="M156" s="161"/>
      <c r="N156" s="161"/>
      <c r="O156" s="161"/>
      <c r="P156" t="str" s="159" cm="1">
        <f t="array" ref="P156">IF(AG156="","",AC156-R156-Q156)</f>
      </c>
      <c r="Q156" s="162"/>
      <c r="R156" s="162"/>
      <c r="S156" s="161"/>
      <c r="T156" s="161"/>
      <c r="U156" s="161"/>
      <c r="V156" s="161"/>
      <c r="W156" s="161"/>
      <c r="X156" s="161"/>
      <c r="Y156" s="161"/>
      <c r="Z156" s="161"/>
      <c r="AA156" s="161"/>
      <c r="AB156" s="160"/>
      <c r="AC156" t="str" s="195" cm="1">
        <f t="array" ref="AC156">IF(AG156="","",AG156-AF156)</f>
      </c>
      <c r="AD156" s="161"/>
      <c r="AE156" s="160"/>
      <c r="AF156" s="196"/>
      <c r="AG156" s="165"/>
      <c r="AH156" s="164"/>
      <c r="AI156" s="163"/>
      <c r="AJ156" s="161"/>
      <c r="AK156" s="161"/>
      <c r="AL156" s="160"/>
      <c r="AM156" s="165"/>
      <c r="AN156" s="166"/>
      <c r="AO156" s="10"/>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row>
    <row r="157" ht="25.5" customHeight="1">
      <c r="A157" s="155" cm="1">
        <f t="array" ref="A157">A156+1</f>
        <v>146</v>
      </c>
      <c r="B157" s="151"/>
      <c r="C157" s="170"/>
      <c r="D157" s="165"/>
      <c r="E157" s="164"/>
      <c r="F157" t="str" s="195" cm="1">
        <f t="array" ref="F157">IF(AG157="","",I157-H157)</f>
      </c>
      <c r="G157" s="160"/>
      <c r="H157" s="158"/>
      <c r="I157" t="str" s="159" cm="1">
        <f t="array" ref="I157">IF(AG157="","",P157-K157)</f>
      </c>
      <c r="J157" s="160"/>
      <c r="K157" s="158"/>
      <c r="L157" s="161"/>
      <c r="M157" s="161"/>
      <c r="N157" s="161"/>
      <c r="O157" s="161"/>
      <c r="P157" t="str" s="159" cm="1">
        <f t="array" ref="P157">IF(AG157="","",AC157-R157-Q157)</f>
      </c>
      <c r="Q157" s="162"/>
      <c r="R157" s="162"/>
      <c r="S157" s="161"/>
      <c r="T157" s="161"/>
      <c r="U157" s="161"/>
      <c r="V157" s="161"/>
      <c r="W157" s="161"/>
      <c r="X157" s="161"/>
      <c r="Y157" s="161"/>
      <c r="Z157" s="161"/>
      <c r="AA157" s="161"/>
      <c r="AB157" s="160"/>
      <c r="AC157" t="str" s="195" cm="1">
        <f t="array" ref="AC157">IF(AG157="","",AG157-AF157)</f>
      </c>
      <c r="AD157" s="161"/>
      <c r="AE157" s="160"/>
      <c r="AF157" s="196"/>
      <c r="AG157" s="165"/>
      <c r="AH157" s="164"/>
      <c r="AI157" s="163"/>
      <c r="AJ157" s="161"/>
      <c r="AK157" s="161"/>
      <c r="AL157" s="160"/>
      <c r="AM157" s="165"/>
      <c r="AN157" s="166"/>
      <c r="AO157" s="10"/>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row>
    <row r="158" ht="25.5" customHeight="1">
      <c r="A158" s="155" cm="1">
        <f t="array" ref="A158">A157+1</f>
        <v>147</v>
      </c>
      <c r="B158" s="151"/>
      <c r="C158" s="170"/>
      <c r="D158" s="165"/>
      <c r="E158" s="164"/>
      <c r="F158" t="str" s="195" cm="1">
        <f t="array" ref="F158">IF(AG158="","",I158-H158)</f>
      </c>
      <c r="G158" s="160"/>
      <c r="H158" s="158"/>
      <c r="I158" t="str" s="159" cm="1">
        <f t="array" ref="I158">IF(AG158="","",P158-K158)</f>
      </c>
      <c r="J158" s="160"/>
      <c r="K158" s="158"/>
      <c r="L158" s="161"/>
      <c r="M158" s="161"/>
      <c r="N158" s="161"/>
      <c r="O158" s="161"/>
      <c r="P158" t="str" s="159" cm="1">
        <f t="array" ref="P158">IF(AG158="","",AC158-R158-Q158)</f>
      </c>
      <c r="Q158" s="162"/>
      <c r="R158" s="162"/>
      <c r="S158" s="161"/>
      <c r="T158" s="161"/>
      <c r="U158" s="161"/>
      <c r="V158" s="161"/>
      <c r="W158" s="161"/>
      <c r="X158" s="161"/>
      <c r="Y158" s="161"/>
      <c r="Z158" s="161"/>
      <c r="AA158" s="161"/>
      <c r="AB158" s="160"/>
      <c r="AC158" t="str" s="195" cm="1">
        <f t="array" ref="AC158">IF(AG158="","",AG158-AF158)</f>
      </c>
      <c r="AD158" s="161"/>
      <c r="AE158" s="160"/>
      <c r="AF158" s="196"/>
      <c r="AG158" s="165"/>
      <c r="AH158" s="164"/>
      <c r="AI158" s="163"/>
      <c r="AJ158" s="161"/>
      <c r="AK158" s="161"/>
      <c r="AL158" s="160"/>
      <c r="AM158" s="165"/>
      <c r="AN158" s="166"/>
      <c r="AO158" s="10"/>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row>
    <row r="159" ht="25.5" customHeight="1">
      <c r="A159" s="155" cm="1">
        <f t="array" ref="A159">A158+1</f>
        <v>148</v>
      </c>
      <c r="B159" s="151"/>
      <c r="C159" s="170"/>
      <c r="D159" s="165"/>
      <c r="E159" s="164"/>
      <c r="F159" t="str" s="195" cm="1">
        <f t="array" ref="F159">IF(AG159="","",I159-H159)</f>
      </c>
      <c r="G159" s="160"/>
      <c r="H159" s="158"/>
      <c r="I159" t="str" s="159" cm="1">
        <f t="array" ref="I159">IF(AG159="","",P159-K159)</f>
      </c>
      <c r="J159" s="160"/>
      <c r="K159" s="158"/>
      <c r="L159" s="161"/>
      <c r="M159" s="161"/>
      <c r="N159" s="161"/>
      <c r="O159" s="161"/>
      <c r="P159" t="str" s="159" cm="1">
        <f t="array" ref="P159">IF(AG159="","",AC159-R159-Q159)</f>
      </c>
      <c r="Q159" s="162"/>
      <c r="R159" s="162"/>
      <c r="S159" s="161"/>
      <c r="T159" s="161"/>
      <c r="U159" s="161"/>
      <c r="V159" s="161"/>
      <c r="W159" s="161"/>
      <c r="X159" s="161"/>
      <c r="Y159" s="161"/>
      <c r="Z159" s="161"/>
      <c r="AA159" s="161"/>
      <c r="AB159" s="160"/>
      <c r="AC159" t="str" s="195" cm="1">
        <f t="array" ref="AC159">IF(AG159="","",AG159-AF159)</f>
      </c>
      <c r="AD159" s="161"/>
      <c r="AE159" s="160"/>
      <c r="AF159" s="196"/>
      <c r="AG159" s="165"/>
      <c r="AH159" s="164"/>
      <c r="AI159" s="163"/>
      <c r="AJ159" s="161"/>
      <c r="AK159" s="161"/>
      <c r="AL159" s="160"/>
      <c r="AM159" s="165"/>
      <c r="AN159" s="166"/>
      <c r="AO159" s="10"/>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row>
    <row r="160" ht="25.5" customHeight="1">
      <c r="A160" s="155" cm="1">
        <f t="array" ref="A160">A159+1</f>
        <v>149</v>
      </c>
      <c r="B160" s="151"/>
      <c r="C160" s="170"/>
      <c r="D160" s="165"/>
      <c r="E160" s="164"/>
      <c r="F160" t="str" s="195" cm="1">
        <f t="array" ref="F160">IF(AG160="","",I160-H160)</f>
      </c>
      <c r="G160" s="160"/>
      <c r="H160" s="158"/>
      <c r="I160" t="str" s="159" cm="1">
        <f t="array" ref="I160">IF(AG160="","",P160-K160)</f>
      </c>
      <c r="J160" s="160"/>
      <c r="K160" s="158"/>
      <c r="L160" s="161"/>
      <c r="M160" s="161"/>
      <c r="N160" s="161"/>
      <c r="O160" s="161"/>
      <c r="P160" t="str" s="159" cm="1">
        <f t="array" ref="P160">IF(AG160="","",AC160-R160-Q160)</f>
      </c>
      <c r="Q160" s="162"/>
      <c r="R160" s="162"/>
      <c r="S160" s="161"/>
      <c r="T160" s="161"/>
      <c r="U160" s="161"/>
      <c r="V160" s="161"/>
      <c r="W160" s="161"/>
      <c r="X160" s="161"/>
      <c r="Y160" s="161"/>
      <c r="Z160" s="161"/>
      <c r="AA160" s="161"/>
      <c r="AB160" s="160"/>
      <c r="AC160" t="str" s="195" cm="1">
        <f t="array" ref="AC160">IF(AG160="","",AG160-AF160)</f>
      </c>
      <c r="AD160" s="161"/>
      <c r="AE160" s="160"/>
      <c r="AF160" s="196"/>
      <c r="AG160" s="165"/>
      <c r="AH160" s="164"/>
      <c r="AI160" s="163"/>
      <c r="AJ160" s="161"/>
      <c r="AK160" s="161"/>
      <c r="AL160" s="160"/>
      <c r="AM160" s="165"/>
      <c r="AN160" s="166"/>
      <c r="AO160" s="10"/>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row>
    <row r="161" ht="25.5" customHeight="1">
      <c r="A161" s="155" cm="1">
        <f t="array" ref="A161">A160+1</f>
        <v>150</v>
      </c>
      <c r="B161" s="151"/>
      <c r="C161" s="170"/>
      <c r="D161" s="165"/>
      <c r="E161" s="164"/>
      <c r="F161" t="str" s="195" cm="1">
        <f t="array" ref="F161">IF(AG161="","",I161-H161)</f>
      </c>
      <c r="G161" s="160"/>
      <c r="H161" s="158"/>
      <c r="I161" t="str" s="159" cm="1">
        <f t="array" ref="I161">IF(AG161="","",P161-K161)</f>
      </c>
      <c r="J161" s="160"/>
      <c r="K161" s="158"/>
      <c r="L161" s="161"/>
      <c r="M161" s="161"/>
      <c r="N161" s="161"/>
      <c r="O161" s="161"/>
      <c r="P161" t="str" s="159" cm="1">
        <f t="array" ref="P161">IF(AG161="","",AC161-R161-Q161)</f>
      </c>
      <c r="Q161" s="162"/>
      <c r="R161" s="162"/>
      <c r="S161" s="161"/>
      <c r="T161" s="161"/>
      <c r="U161" s="161"/>
      <c r="V161" s="161"/>
      <c r="W161" s="161"/>
      <c r="X161" s="161"/>
      <c r="Y161" s="161"/>
      <c r="Z161" s="161"/>
      <c r="AA161" s="161"/>
      <c r="AB161" s="160"/>
      <c r="AC161" t="str" s="195" cm="1">
        <f t="array" ref="AC161">IF(AG161="","",AG161-AF161)</f>
      </c>
      <c r="AD161" s="161"/>
      <c r="AE161" s="160"/>
      <c r="AF161" s="196"/>
      <c r="AG161" s="165"/>
      <c r="AH161" s="164"/>
      <c r="AI161" s="163"/>
      <c r="AJ161" s="161"/>
      <c r="AK161" s="161"/>
      <c r="AL161" s="160"/>
      <c r="AM161" s="165"/>
      <c r="AN161" s="166"/>
      <c r="AO161" s="10"/>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row>
    <row r="162" ht="25.5" customHeight="1">
      <c r="A162" s="155" cm="1">
        <f t="array" ref="A162">A161+1</f>
        <v>151</v>
      </c>
      <c r="B162" s="151"/>
      <c r="C162" s="170"/>
      <c r="D162" s="165"/>
      <c r="E162" s="164"/>
      <c r="F162" t="str" s="195" cm="1">
        <f t="array" ref="F162">IF(AG162="","",I162-H162)</f>
      </c>
      <c r="G162" s="160"/>
      <c r="H162" s="158"/>
      <c r="I162" t="str" s="159" cm="1">
        <f t="array" ref="I162">IF(AG162="","",P162-K162)</f>
      </c>
      <c r="J162" s="160"/>
      <c r="K162" s="158"/>
      <c r="L162" s="161"/>
      <c r="M162" s="161"/>
      <c r="N162" s="161"/>
      <c r="O162" s="161"/>
      <c r="P162" t="str" s="159" cm="1">
        <f t="array" ref="P162">IF(AG162="","",AC162-R162-Q162)</f>
      </c>
      <c r="Q162" s="162"/>
      <c r="R162" s="162"/>
      <c r="S162" s="161"/>
      <c r="T162" s="161"/>
      <c r="U162" s="161"/>
      <c r="V162" s="161"/>
      <c r="W162" s="161"/>
      <c r="X162" s="161"/>
      <c r="Y162" s="161"/>
      <c r="Z162" s="161"/>
      <c r="AA162" s="161"/>
      <c r="AB162" s="160"/>
      <c r="AC162" t="str" s="195" cm="1">
        <f t="array" ref="AC162">IF(AG162="","",AG162-AF162)</f>
      </c>
      <c r="AD162" s="161"/>
      <c r="AE162" s="160"/>
      <c r="AF162" s="196"/>
      <c r="AG162" s="165"/>
      <c r="AH162" s="164"/>
      <c r="AI162" s="163"/>
      <c r="AJ162" s="161"/>
      <c r="AK162" s="161"/>
      <c r="AL162" s="160"/>
      <c r="AM162" s="165"/>
      <c r="AN162" s="166"/>
      <c r="AO162" s="10"/>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row>
    <row r="163" ht="25.5" customHeight="1">
      <c r="A163" s="155" cm="1">
        <f t="array" ref="A163">A162+1</f>
        <v>152</v>
      </c>
      <c r="B163" s="151"/>
      <c r="C163" s="170"/>
      <c r="D163" s="165"/>
      <c r="E163" s="164"/>
      <c r="F163" t="str" s="195" cm="1">
        <f t="array" ref="F163">IF(AG163="","",I163-H163)</f>
      </c>
      <c r="G163" s="160"/>
      <c r="H163" s="158"/>
      <c r="I163" t="str" s="159" cm="1">
        <f t="array" ref="I163">IF(AG163="","",P163-K163)</f>
      </c>
      <c r="J163" s="160"/>
      <c r="K163" s="158"/>
      <c r="L163" s="161"/>
      <c r="M163" s="161"/>
      <c r="N163" s="161"/>
      <c r="O163" s="161"/>
      <c r="P163" t="str" s="159" cm="1">
        <f t="array" ref="P163">IF(AG163="","",AC163-R163-Q163)</f>
      </c>
      <c r="Q163" s="162"/>
      <c r="R163" s="162"/>
      <c r="S163" s="161"/>
      <c r="T163" s="161"/>
      <c r="U163" s="161"/>
      <c r="V163" s="161"/>
      <c r="W163" s="161"/>
      <c r="X163" s="161"/>
      <c r="Y163" s="161"/>
      <c r="Z163" s="161"/>
      <c r="AA163" s="161"/>
      <c r="AB163" s="160"/>
      <c r="AC163" t="str" s="195" cm="1">
        <f t="array" ref="AC163">IF(AG163="","",AG163-AF163)</f>
      </c>
      <c r="AD163" s="161"/>
      <c r="AE163" s="160"/>
      <c r="AF163" s="196"/>
      <c r="AG163" s="165"/>
      <c r="AH163" s="164"/>
      <c r="AI163" s="163"/>
      <c r="AJ163" s="161"/>
      <c r="AK163" s="161"/>
      <c r="AL163" s="160"/>
      <c r="AM163" s="165"/>
      <c r="AN163" s="166"/>
      <c r="AO163" s="10"/>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row>
    <row r="164" ht="25.5" customHeight="1">
      <c r="A164" s="155" cm="1">
        <f t="array" ref="A164">A163+1</f>
        <v>153</v>
      </c>
      <c r="B164" s="151"/>
      <c r="C164" s="170"/>
      <c r="D164" s="165"/>
      <c r="E164" s="164"/>
      <c r="F164" t="str" s="195" cm="1">
        <f t="array" ref="F164">IF(AG164="","",I164-H164)</f>
      </c>
      <c r="G164" s="160"/>
      <c r="H164" s="158"/>
      <c r="I164" t="str" s="159" cm="1">
        <f t="array" ref="I164">IF(AG164="","",P164-K164)</f>
      </c>
      <c r="J164" s="160"/>
      <c r="K164" s="158"/>
      <c r="L164" s="161"/>
      <c r="M164" s="161"/>
      <c r="N164" s="161"/>
      <c r="O164" s="161"/>
      <c r="P164" t="str" s="159" cm="1">
        <f t="array" ref="P164">IF(AG164="","",AC164-R164-Q164)</f>
      </c>
      <c r="Q164" s="162"/>
      <c r="R164" s="162"/>
      <c r="S164" s="161"/>
      <c r="T164" s="161"/>
      <c r="U164" s="161"/>
      <c r="V164" s="161"/>
      <c r="W164" s="161"/>
      <c r="X164" s="161"/>
      <c r="Y164" s="161"/>
      <c r="Z164" s="161"/>
      <c r="AA164" s="161"/>
      <c r="AB164" s="160"/>
      <c r="AC164" t="str" s="195" cm="1">
        <f t="array" ref="AC164">IF(AG164="","",AG164-AF164)</f>
      </c>
      <c r="AD164" s="161"/>
      <c r="AE164" s="160"/>
      <c r="AF164" s="196"/>
      <c r="AG164" s="165"/>
      <c r="AH164" s="164"/>
      <c r="AI164" s="163"/>
      <c r="AJ164" s="161"/>
      <c r="AK164" s="161"/>
      <c r="AL164" s="160"/>
      <c r="AM164" s="165"/>
      <c r="AN164" s="166"/>
      <c r="AO164" s="10"/>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row>
    <row r="165" ht="25.5" customHeight="1">
      <c r="A165" s="155" cm="1">
        <f t="array" ref="A165">A164+1</f>
        <v>154</v>
      </c>
      <c r="B165" s="151"/>
      <c r="C165" s="170"/>
      <c r="D165" s="165"/>
      <c r="E165" s="164"/>
      <c r="F165" t="str" s="195" cm="1">
        <f t="array" ref="F165">IF(AG165="","",I165-H165)</f>
      </c>
      <c r="G165" s="160"/>
      <c r="H165" s="158"/>
      <c r="I165" t="str" s="159" cm="1">
        <f t="array" ref="I165">IF(AG165="","",P165-K165)</f>
      </c>
      <c r="J165" s="160"/>
      <c r="K165" s="158"/>
      <c r="L165" s="161"/>
      <c r="M165" s="161"/>
      <c r="N165" s="161"/>
      <c r="O165" s="161"/>
      <c r="P165" t="str" s="159" cm="1">
        <f t="array" ref="P165">IF(AG165="","",AC165-R165-Q165)</f>
      </c>
      <c r="Q165" s="162"/>
      <c r="R165" s="162"/>
      <c r="S165" s="161"/>
      <c r="T165" s="161"/>
      <c r="U165" s="161"/>
      <c r="V165" s="161"/>
      <c r="W165" s="161"/>
      <c r="X165" s="161"/>
      <c r="Y165" s="161"/>
      <c r="Z165" s="161"/>
      <c r="AA165" s="161"/>
      <c r="AB165" s="160"/>
      <c r="AC165" t="str" s="195" cm="1">
        <f t="array" ref="AC165">IF(AG165="","",AG165-AF165)</f>
      </c>
      <c r="AD165" s="161"/>
      <c r="AE165" s="160"/>
      <c r="AF165" s="196"/>
      <c r="AG165" s="165"/>
      <c r="AH165" s="164"/>
      <c r="AI165" s="163"/>
      <c r="AJ165" s="161"/>
      <c r="AK165" s="161"/>
      <c r="AL165" s="160"/>
      <c r="AM165" s="165"/>
      <c r="AN165" s="166"/>
      <c r="AO165" s="10"/>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row>
    <row r="166" ht="25.5" customHeight="1">
      <c r="A166" s="155" cm="1">
        <f t="array" ref="A166">A165+1</f>
        <v>155</v>
      </c>
      <c r="B166" s="151"/>
      <c r="C166" s="170"/>
      <c r="D166" s="165"/>
      <c r="E166" s="164"/>
      <c r="F166" t="str" s="195" cm="1">
        <f t="array" ref="F166">IF(AG166="","",I166-H166)</f>
      </c>
      <c r="G166" s="160"/>
      <c r="H166" s="158"/>
      <c r="I166" t="str" s="159" cm="1">
        <f t="array" ref="I166">IF(AG166="","",P166-K166)</f>
      </c>
      <c r="J166" s="160"/>
      <c r="K166" s="158"/>
      <c r="L166" s="161"/>
      <c r="M166" s="161"/>
      <c r="N166" s="161"/>
      <c r="O166" s="161"/>
      <c r="P166" t="str" s="159" cm="1">
        <f t="array" ref="P166">IF(AG166="","",AC166-R166-Q166)</f>
      </c>
      <c r="Q166" s="162"/>
      <c r="R166" s="162"/>
      <c r="S166" s="161"/>
      <c r="T166" s="161"/>
      <c r="U166" s="161"/>
      <c r="V166" s="161"/>
      <c r="W166" s="161"/>
      <c r="X166" s="161"/>
      <c r="Y166" s="161"/>
      <c r="Z166" s="161"/>
      <c r="AA166" s="161"/>
      <c r="AB166" s="160"/>
      <c r="AC166" t="str" s="195" cm="1">
        <f t="array" ref="AC166">IF(AG166="","",AG166-AF166)</f>
      </c>
      <c r="AD166" s="161"/>
      <c r="AE166" s="160"/>
      <c r="AF166" s="196"/>
      <c r="AG166" s="165"/>
      <c r="AH166" s="164"/>
      <c r="AI166" s="163"/>
      <c r="AJ166" s="161"/>
      <c r="AK166" s="161"/>
      <c r="AL166" s="160"/>
      <c r="AM166" s="165"/>
      <c r="AN166" s="166"/>
      <c r="AO166" s="10"/>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row>
    <row r="167" ht="25.5" customHeight="1">
      <c r="A167" s="155" cm="1">
        <f t="array" ref="A167">A166+1</f>
        <v>156</v>
      </c>
      <c r="B167" s="151"/>
      <c r="C167" s="170"/>
      <c r="D167" s="165"/>
      <c r="E167" s="164"/>
      <c r="F167" t="str" s="195" cm="1">
        <f t="array" ref="F167">IF(AG167="","",I167-H167)</f>
      </c>
      <c r="G167" s="160"/>
      <c r="H167" s="158"/>
      <c r="I167" t="str" s="159" cm="1">
        <f t="array" ref="I167">IF(AG167="","",P167-K167)</f>
      </c>
      <c r="J167" s="160"/>
      <c r="K167" s="158"/>
      <c r="L167" s="161"/>
      <c r="M167" s="161"/>
      <c r="N167" s="161"/>
      <c r="O167" s="161"/>
      <c r="P167" t="str" s="159" cm="1">
        <f t="array" ref="P167">IF(AG167="","",AC167-R167-Q167)</f>
      </c>
      <c r="Q167" s="162"/>
      <c r="R167" s="162"/>
      <c r="S167" s="161"/>
      <c r="T167" s="161"/>
      <c r="U167" s="161"/>
      <c r="V167" s="161"/>
      <c r="W167" s="161"/>
      <c r="X167" s="161"/>
      <c r="Y167" s="161"/>
      <c r="Z167" s="161"/>
      <c r="AA167" s="161"/>
      <c r="AB167" s="160"/>
      <c r="AC167" t="str" s="195" cm="1">
        <f t="array" ref="AC167">IF(AG167="","",AG167-AF167)</f>
      </c>
      <c r="AD167" s="161"/>
      <c r="AE167" s="160"/>
      <c r="AF167" s="196"/>
      <c r="AG167" s="165"/>
      <c r="AH167" s="164"/>
      <c r="AI167" s="163"/>
      <c r="AJ167" s="161"/>
      <c r="AK167" s="161"/>
      <c r="AL167" s="160"/>
      <c r="AM167" s="165"/>
      <c r="AN167" s="166"/>
      <c r="AO167" s="10"/>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row>
    <row r="168" ht="25.5" customHeight="1">
      <c r="A168" s="155" cm="1">
        <f t="array" ref="A168">A167+1</f>
        <v>157</v>
      </c>
      <c r="B168" s="151"/>
      <c r="C168" s="170"/>
      <c r="D168" s="165"/>
      <c r="E168" s="164"/>
      <c r="F168" t="str" s="195" cm="1">
        <f t="array" ref="F168">IF(AG168="","",I168-H168)</f>
      </c>
      <c r="G168" s="160"/>
      <c r="H168" s="158"/>
      <c r="I168" t="str" s="159" cm="1">
        <f t="array" ref="I168">IF(AG168="","",P168-K168)</f>
      </c>
      <c r="J168" s="160"/>
      <c r="K168" s="158"/>
      <c r="L168" s="161"/>
      <c r="M168" s="161"/>
      <c r="N168" s="161"/>
      <c r="O168" s="161"/>
      <c r="P168" t="str" s="159" cm="1">
        <f t="array" ref="P168">IF(AG168="","",AC168-R168-Q168)</f>
      </c>
      <c r="Q168" s="162"/>
      <c r="R168" s="162"/>
      <c r="S168" s="161"/>
      <c r="T168" s="161"/>
      <c r="U168" s="161"/>
      <c r="V168" s="161"/>
      <c r="W168" s="161"/>
      <c r="X168" s="161"/>
      <c r="Y168" s="161"/>
      <c r="Z168" s="161"/>
      <c r="AA168" s="161"/>
      <c r="AB168" s="160"/>
      <c r="AC168" t="str" s="195" cm="1">
        <f t="array" ref="AC168">IF(AG168="","",AG168-AF168)</f>
      </c>
      <c r="AD168" s="161"/>
      <c r="AE168" s="160"/>
      <c r="AF168" s="196"/>
      <c r="AG168" s="165"/>
      <c r="AH168" s="164"/>
      <c r="AI168" s="163"/>
      <c r="AJ168" s="161"/>
      <c r="AK168" s="161"/>
      <c r="AL168" s="160"/>
      <c r="AM168" s="165"/>
      <c r="AN168" s="166"/>
      <c r="AO168" s="10"/>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row>
    <row r="169" ht="25.5" customHeight="1">
      <c r="A169" s="155" cm="1">
        <f t="array" ref="A169">A168+1</f>
        <v>158</v>
      </c>
      <c r="B169" s="151"/>
      <c r="C169" s="170"/>
      <c r="D169" s="165"/>
      <c r="E169" s="164"/>
      <c r="F169" t="str" s="195" cm="1">
        <f t="array" ref="F169">IF(AG169="","",I169-H169)</f>
      </c>
      <c r="G169" s="160"/>
      <c r="H169" s="158"/>
      <c r="I169" t="str" s="159" cm="1">
        <f t="array" ref="I169">IF(AG169="","",P169-K169)</f>
      </c>
      <c r="J169" s="160"/>
      <c r="K169" s="158"/>
      <c r="L169" s="161"/>
      <c r="M169" s="161"/>
      <c r="N169" s="161"/>
      <c r="O169" s="161"/>
      <c r="P169" t="str" s="159" cm="1">
        <f t="array" ref="P169">IF(AG169="","",AC169-R169-Q169)</f>
      </c>
      <c r="Q169" s="162"/>
      <c r="R169" s="162"/>
      <c r="S169" s="161"/>
      <c r="T169" s="161"/>
      <c r="U169" s="161"/>
      <c r="V169" s="161"/>
      <c r="W169" s="161"/>
      <c r="X169" s="161"/>
      <c r="Y169" s="161"/>
      <c r="Z169" s="161"/>
      <c r="AA169" s="161"/>
      <c r="AB169" s="160"/>
      <c r="AC169" t="str" s="195" cm="1">
        <f t="array" ref="AC169">IF(AG169="","",AG169-AF169)</f>
      </c>
      <c r="AD169" s="161"/>
      <c r="AE169" s="160"/>
      <c r="AF169" s="196"/>
      <c r="AG169" s="165"/>
      <c r="AH169" s="164"/>
      <c r="AI169" s="163"/>
      <c r="AJ169" s="161"/>
      <c r="AK169" s="161"/>
      <c r="AL169" s="160"/>
      <c r="AM169" s="165"/>
      <c r="AN169" s="166"/>
      <c r="AO169" s="10"/>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row>
    <row r="170" ht="25.5" customHeight="1">
      <c r="A170" s="155" cm="1">
        <f t="array" ref="A170">A169+1</f>
        <v>159</v>
      </c>
      <c r="B170" s="151"/>
      <c r="C170" s="170"/>
      <c r="D170" s="165"/>
      <c r="E170" s="164"/>
      <c r="F170" t="str" s="195" cm="1">
        <f t="array" ref="F170">IF(AG170="","",I170-H170)</f>
      </c>
      <c r="G170" s="160"/>
      <c r="H170" s="158"/>
      <c r="I170" t="str" s="159" cm="1">
        <f t="array" ref="I170">IF(AG170="","",P170-K170)</f>
      </c>
      <c r="J170" s="160"/>
      <c r="K170" s="158"/>
      <c r="L170" s="161"/>
      <c r="M170" s="161"/>
      <c r="N170" s="161"/>
      <c r="O170" s="161"/>
      <c r="P170" t="str" s="159" cm="1">
        <f t="array" ref="P170">IF(AG170="","",AC170-R170-Q170)</f>
      </c>
      <c r="Q170" s="162"/>
      <c r="R170" s="162"/>
      <c r="S170" s="161"/>
      <c r="T170" s="161"/>
      <c r="U170" s="161"/>
      <c r="V170" s="161"/>
      <c r="W170" s="161"/>
      <c r="X170" s="161"/>
      <c r="Y170" s="161"/>
      <c r="Z170" s="161"/>
      <c r="AA170" s="161"/>
      <c r="AB170" s="160"/>
      <c r="AC170" t="str" s="195" cm="1">
        <f t="array" ref="AC170">IF(AG170="","",AG170-AF170)</f>
      </c>
      <c r="AD170" s="161"/>
      <c r="AE170" s="160"/>
      <c r="AF170" s="196"/>
      <c r="AG170" s="165"/>
      <c r="AH170" s="164"/>
      <c r="AI170" s="163"/>
      <c r="AJ170" s="161"/>
      <c r="AK170" s="161"/>
      <c r="AL170" s="160"/>
      <c r="AM170" s="165"/>
      <c r="AN170" s="166"/>
      <c r="AO170" s="10"/>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row>
    <row r="171" ht="25.5" customHeight="1">
      <c r="A171" s="155" cm="1">
        <f t="array" ref="A171">A170+1</f>
        <v>160</v>
      </c>
      <c r="B171" s="151"/>
      <c r="C171" s="170"/>
      <c r="D171" s="165"/>
      <c r="E171" s="164"/>
      <c r="F171" t="str" s="195" cm="1">
        <f t="array" ref="F171">IF(AG171="","",I171-H171)</f>
      </c>
      <c r="G171" s="160"/>
      <c r="H171" s="158"/>
      <c r="I171" t="str" s="159" cm="1">
        <f t="array" ref="I171">IF(AG171="","",P171-K171)</f>
      </c>
      <c r="J171" s="160"/>
      <c r="K171" s="158"/>
      <c r="L171" s="161"/>
      <c r="M171" s="161"/>
      <c r="N171" s="161"/>
      <c r="O171" s="161"/>
      <c r="P171" t="str" s="159" cm="1">
        <f t="array" ref="P171">IF(AG171="","",AC171-R171-Q171)</f>
      </c>
      <c r="Q171" s="162"/>
      <c r="R171" s="162"/>
      <c r="S171" s="161"/>
      <c r="T171" s="161"/>
      <c r="U171" s="161"/>
      <c r="V171" s="161"/>
      <c r="W171" s="161"/>
      <c r="X171" s="161"/>
      <c r="Y171" s="161"/>
      <c r="Z171" s="161"/>
      <c r="AA171" s="161"/>
      <c r="AB171" s="160"/>
      <c r="AC171" t="str" s="195" cm="1">
        <f t="array" ref="AC171">IF(AG171="","",AG171-AF171)</f>
      </c>
      <c r="AD171" s="161"/>
      <c r="AE171" s="160"/>
      <c r="AF171" s="196"/>
      <c r="AG171" s="165"/>
      <c r="AH171" s="164"/>
      <c r="AI171" s="163"/>
      <c r="AJ171" s="161"/>
      <c r="AK171" s="161"/>
      <c r="AL171" s="160"/>
      <c r="AM171" s="165"/>
      <c r="AN171" s="166"/>
      <c r="AO171" s="10"/>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row>
    <row r="172" ht="25.5" customHeight="1">
      <c r="A172" s="155" cm="1">
        <f t="array" ref="A172">A171+1</f>
        <v>161</v>
      </c>
      <c r="B172" s="151"/>
      <c r="C172" s="170"/>
      <c r="D172" s="165"/>
      <c r="E172" s="164"/>
      <c r="F172" t="str" s="195" cm="1">
        <f t="array" ref="F172">IF(AG172="","",I172-H172)</f>
      </c>
      <c r="G172" s="160"/>
      <c r="H172" s="158"/>
      <c r="I172" t="str" s="159" cm="1">
        <f t="array" ref="I172">IF(AG172="","",P172-K172)</f>
      </c>
      <c r="J172" s="160"/>
      <c r="K172" s="158"/>
      <c r="L172" s="161"/>
      <c r="M172" s="161"/>
      <c r="N172" s="161"/>
      <c r="O172" s="161"/>
      <c r="P172" t="str" s="159" cm="1">
        <f t="array" ref="P172">IF(AG172="","",AC172-R172-Q172)</f>
      </c>
      <c r="Q172" s="162"/>
      <c r="R172" s="162"/>
      <c r="S172" s="161"/>
      <c r="T172" s="161"/>
      <c r="U172" s="161"/>
      <c r="V172" s="161"/>
      <c r="W172" s="161"/>
      <c r="X172" s="161"/>
      <c r="Y172" s="161"/>
      <c r="Z172" s="161"/>
      <c r="AA172" s="161"/>
      <c r="AB172" s="160"/>
      <c r="AC172" t="str" s="195" cm="1">
        <f t="array" ref="AC172">IF(AG172="","",AG172-AF172)</f>
      </c>
      <c r="AD172" s="161"/>
      <c r="AE172" s="160"/>
      <c r="AF172" s="196"/>
      <c r="AG172" s="165"/>
      <c r="AH172" s="164"/>
      <c r="AI172" s="163"/>
      <c r="AJ172" s="161"/>
      <c r="AK172" s="161"/>
      <c r="AL172" s="160"/>
      <c r="AM172" s="165"/>
      <c r="AN172" s="166"/>
      <c r="AO172" s="10"/>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row>
    <row r="173" ht="25.5" customHeight="1">
      <c r="A173" s="155" cm="1">
        <f t="array" ref="A173">A172+1</f>
        <v>162</v>
      </c>
      <c r="B173" s="151"/>
      <c r="C173" s="170"/>
      <c r="D173" s="165"/>
      <c r="E173" s="164"/>
      <c r="F173" t="str" s="195" cm="1">
        <f t="array" ref="F173">IF(AG173="","",I173-H173)</f>
      </c>
      <c r="G173" s="160"/>
      <c r="H173" s="158"/>
      <c r="I173" t="str" s="159" cm="1">
        <f t="array" ref="I173">IF(AG173="","",P173-K173)</f>
      </c>
      <c r="J173" s="160"/>
      <c r="K173" s="158"/>
      <c r="L173" s="161"/>
      <c r="M173" s="161"/>
      <c r="N173" s="161"/>
      <c r="O173" s="161"/>
      <c r="P173" t="str" s="159" cm="1">
        <f t="array" ref="P173">IF(AG173="","",AC173-R173-Q173)</f>
      </c>
      <c r="Q173" s="162"/>
      <c r="R173" s="162"/>
      <c r="S173" s="161"/>
      <c r="T173" s="161"/>
      <c r="U173" s="161"/>
      <c r="V173" s="161"/>
      <c r="W173" s="161"/>
      <c r="X173" s="161"/>
      <c r="Y173" s="161"/>
      <c r="Z173" s="161"/>
      <c r="AA173" s="161"/>
      <c r="AB173" s="160"/>
      <c r="AC173" t="str" s="195" cm="1">
        <f t="array" ref="AC173">IF(AG173="","",AG173-AF173)</f>
      </c>
      <c r="AD173" s="161"/>
      <c r="AE173" s="160"/>
      <c r="AF173" s="196"/>
      <c r="AG173" s="165"/>
      <c r="AH173" s="164"/>
      <c r="AI173" s="163"/>
      <c r="AJ173" s="161"/>
      <c r="AK173" s="161"/>
      <c r="AL173" s="160"/>
      <c r="AM173" s="165"/>
      <c r="AN173" s="166"/>
      <c r="AO173" s="10"/>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row>
    <row r="174" ht="25.5" customHeight="1">
      <c r="A174" s="155" cm="1">
        <f t="array" ref="A174">A173+1</f>
        <v>163</v>
      </c>
      <c r="B174" s="151"/>
      <c r="C174" s="170"/>
      <c r="D174" s="165"/>
      <c r="E174" s="164"/>
      <c r="F174" t="str" s="195" cm="1">
        <f t="array" ref="F174">IF(AG174="","",I174-H174)</f>
      </c>
      <c r="G174" s="160"/>
      <c r="H174" s="158"/>
      <c r="I174" t="str" s="159" cm="1">
        <f t="array" ref="I174">IF(AG174="","",P174-K174)</f>
      </c>
      <c r="J174" s="160"/>
      <c r="K174" s="158"/>
      <c r="L174" s="161"/>
      <c r="M174" s="161"/>
      <c r="N174" s="161"/>
      <c r="O174" s="161"/>
      <c r="P174" t="str" s="159" cm="1">
        <f t="array" ref="P174">IF(AG174="","",AC174-R174-Q174)</f>
      </c>
      <c r="Q174" s="162"/>
      <c r="R174" s="162"/>
      <c r="S174" s="161"/>
      <c r="T174" s="161"/>
      <c r="U174" s="161"/>
      <c r="V174" s="161"/>
      <c r="W174" s="161"/>
      <c r="X174" s="161"/>
      <c r="Y174" s="161"/>
      <c r="Z174" s="161"/>
      <c r="AA174" s="161"/>
      <c r="AB174" s="160"/>
      <c r="AC174" t="str" s="195" cm="1">
        <f t="array" ref="AC174">IF(AG174="","",AG174-AF174)</f>
      </c>
      <c r="AD174" s="161"/>
      <c r="AE174" s="160"/>
      <c r="AF174" s="196"/>
      <c r="AG174" s="165"/>
      <c r="AH174" s="164"/>
      <c r="AI174" s="163"/>
      <c r="AJ174" s="161"/>
      <c r="AK174" s="161"/>
      <c r="AL174" s="160"/>
      <c r="AM174" s="165"/>
      <c r="AN174" s="166"/>
      <c r="AO174" s="10"/>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row>
    <row r="175" ht="25.5" customHeight="1">
      <c r="A175" s="155" cm="1">
        <f t="array" ref="A175">A174+1</f>
        <v>164</v>
      </c>
      <c r="B175" s="151"/>
      <c r="C175" s="170"/>
      <c r="D175" s="165"/>
      <c r="E175" s="164"/>
      <c r="F175" t="str" s="195" cm="1">
        <f t="array" ref="F175">IF(AG175="","",I175-H175)</f>
      </c>
      <c r="G175" s="160"/>
      <c r="H175" s="158"/>
      <c r="I175" t="str" s="159" cm="1">
        <f t="array" ref="I175">IF(AG175="","",P175-K175)</f>
      </c>
      <c r="J175" s="160"/>
      <c r="K175" s="158"/>
      <c r="L175" s="161"/>
      <c r="M175" s="161"/>
      <c r="N175" s="161"/>
      <c r="O175" s="161"/>
      <c r="P175" t="str" s="159" cm="1">
        <f t="array" ref="P175">IF(AG175="","",AC175-R175-Q175)</f>
      </c>
      <c r="Q175" s="162"/>
      <c r="R175" s="162"/>
      <c r="S175" s="161"/>
      <c r="T175" s="161"/>
      <c r="U175" s="161"/>
      <c r="V175" s="161"/>
      <c r="W175" s="161"/>
      <c r="X175" s="161"/>
      <c r="Y175" s="161"/>
      <c r="Z175" s="161"/>
      <c r="AA175" s="161"/>
      <c r="AB175" s="160"/>
      <c r="AC175" t="str" s="195" cm="1">
        <f t="array" ref="AC175">IF(AG175="","",AG175-AF175)</f>
      </c>
      <c r="AD175" s="161"/>
      <c r="AE175" s="160"/>
      <c r="AF175" s="196"/>
      <c r="AG175" s="165"/>
      <c r="AH175" s="164"/>
      <c r="AI175" s="163"/>
      <c r="AJ175" s="161"/>
      <c r="AK175" s="161"/>
      <c r="AL175" s="160"/>
      <c r="AM175" s="165"/>
      <c r="AN175" s="166"/>
      <c r="AO175" s="10"/>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row>
    <row r="176" ht="25.5" customHeight="1">
      <c r="A176" s="155" cm="1">
        <f t="array" ref="A176">A175+1</f>
        <v>165</v>
      </c>
      <c r="B176" s="151"/>
      <c r="C176" s="170"/>
      <c r="D176" s="165"/>
      <c r="E176" s="164"/>
      <c r="F176" t="str" s="195" cm="1">
        <f t="array" ref="F176">IF(AG176="","",I176-H176)</f>
      </c>
      <c r="G176" s="160"/>
      <c r="H176" s="158"/>
      <c r="I176" t="str" s="159" cm="1">
        <f t="array" ref="I176">IF(AG176="","",P176-K176)</f>
      </c>
      <c r="J176" s="160"/>
      <c r="K176" s="158"/>
      <c r="L176" s="161"/>
      <c r="M176" s="161"/>
      <c r="N176" s="161"/>
      <c r="O176" s="161"/>
      <c r="P176" t="str" s="159" cm="1">
        <f t="array" ref="P176">IF(AG176="","",AC176-R176-Q176)</f>
      </c>
      <c r="Q176" s="162"/>
      <c r="R176" s="162"/>
      <c r="S176" s="161"/>
      <c r="T176" s="161"/>
      <c r="U176" s="161"/>
      <c r="V176" s="161"/>
      <c r="W176" s="161"/>
      <c r="X176" s="161"/>
      <c r="Y176" s="161"/>
      <c r="Z176" s="161"/>
      <c r="AA176" s="161"/>
      <c r="AB176" s="160"/>
      <c r="AC176" t="str" s="195" cm="1">
        <f t="array" ref="AC176">IF(AG176="","",AG176-AF176)</f>
      </c>
      <c r="AD176" s="161"/>
      <c r="AE176" s="160"/>
      <c r="AF176" s="196"/>
      <c r="AG176" s="165"/>
      <c r="AH176" s="164"/>
      <c r="AI176" s="163"/>
      <c r="AJ176" s="161"/>
      <c r="AK176" s="161"/>
      <c r="AL176" s="160"/>
      <c r="AM176" s="165"/>
      <c r="AN176" s="166"/>
      <c r="AO176" s="10"/>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row>
    <row r="177" ht="25.5" customHeight="1">
      <c r="A177" s="155" cm="1">
        <f t="array" ref="A177">A176+1</f>
        <v>166</v>
      </c>
      <c r="B177" s="151"/>
      <c r="C177" s="170"/>
      <c r="D177" s="165"/>
      <c r="E177" s="164"/>
      <c r="F177" t="str" s="195" cm="1">
        <f t="array" ref="F177">IF(AG177="","",I177-H177)</f>
      </c>
      <c r="G177" s="160"/>
      <c r="H177" s="158"/>
      <c r="I177" t="str" s="159" cm="1">
        <f t="array" ref="I177">IF(AG177="","",P177-K177)</f>
      </c>
      <c r="J177" s="160"/>
      <c r="K177" s="158"/>
      <c r="L177" s="161"/>
      <c r="M177" s="161"/>
      <c r="N177" s="161"/>
      <c r="O177" s="161"/>
      <c r="P177" t="str" s="159" cm="1">
        <f t="array" ref="P177">IF(AG177="","",AC177-R177-Q177)</f>
      </c>
      <c r="Q177" s="162"/>
      <c r="R177" s="162"/>
      <c r="S177" s="161"/>
      <c r="T177" s="161"/>
      <c r="U177" s="161"/>
      <c r="V177" s="161"/>
      <c r="W177" s="161"/>
      <c r="X177" s="161"/>
      <c r="Y177" s="161"/>
      <c r="Z177" s="161"/>
      <c r="AA177" s="161"/>
      <c r="AB177" s="160"/>
      <c r="AC177" t="str" s="195" cm="1">
        <f t="array" ref="AC177">IF(AG177="","",AG177-AF177)</f>
      </c>
      <c r="AD177" s="161"/>
      <c r="AE177" s="160"/>
      <c r="AF177" s="196"/>
      <c r="AG177" s="165"/>
      <c r="AH177" s="164"/>
      <c r="AI177" s="163"/>
      <c r="AJ177" s="161"/>
      <c r="AK177" s="161"/>
      <c r="AL177" s="160"/>
      <c r="AM177" s="165"/>
      <c r="AN177" s="166"/>
      <c r="AO177" s="10"/>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row>
    <row r="178" ht="25.5" customHeight="1">
      <c r="A178" s="155" cm="1">
        <f t="array" ref="A178">A177+1</f>
        <v>167</v>
      </c>
      <c r="B178" s="151"/>
      <c r="C178" s="170"/>
      <c r="D178" s="165"/>
      <c r="E178" s="164"/>
      <c r="F178" t="str" s="195" cm="1">
        <f t="array" ref="F178">IF(AG178="","",I178-H178)</f>
      </c>
      <c r="G178" s="160"/>
      <c r="H178" s="158"/>
      <c r="I178" t="str" s="159" cm="1">
        <f t="array" ref="I178">IF(AG178="","",P178-K178)</f>
      </c>
      <c r="J178" s="160"/>
      <c r="K178" s="158"/>
      <c r="L178" s="161"/>
      <c r="M178" s="161"/>
      <c r="N178" s="161"/>
      <c r="O178" s="161"/>
      <c r="P178" t="str" s="159" cm="1">
        <f t="array" ref="P178">IF(AG178="","",AC178-R178-Q178)</f>
      </c>
      <c r="Q178" s="162"/>
      <c r="R178" s="162"/>
      <c r="S178" s="161"/>
      <c r="T178" s="161"/>
      <c r="U178" s="161"/>
      <c r="V178" s="161"/>
      <c r="W178" s="161"/>
      <c r="X178" s="161"/>
      <c r="Y178" s="161"/>
      <c r="Z178" s="161"/>
      <c r="AA178" s="161"/>
      <c r="AB178" s="160"/>
      <c r="AC178" t="str" s="195" cm="1">
        <f t="array" ref="AC178">IF(AG178="","",AG178-AF178)</f>
      </c>
      <c r="AD178" s="161"/>
      <c r="AE178" s="160"/>
      <c r="AF178" s="196"/>
      <c r="AG178" s="165"/>
      <c r="AH178" s="164"/>
      <c r="AI178" s="163"/>
      <c r="AJ178" s="161"/>
      <c r="AK178" s="161"/>
      <c r="AL178" s="160"/>
      <c r="AM178" s="165"/>
      <c r="AN178" s="166"/>
      <c r="AO178" s="10"/>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row>
    <row r="179" ht="25.5" customHeight="1">
      <c r="A179" s="155" cm="1">
        <f t="array" ref="A179">A178+1</f>
        <v>168</v>
      </c>
      <c r="B179" s="151"/>
      <c r="C179" s="170"/>
      <c r="D179" s="165"/>
      <c r="E179" s="164"/>
      <c r="F179" t="str" s="195" cm="1">
        <f t="array" ref="F179">IF(AG179="","",I179-H179)</f>
      </c>
      <c r="G179" s="160"/>
      <c r="H179" s="158"/>
      <c r="I179" t="str" s="159" cm="1">
        <f t="array" ref="I179">IF(AG179="","",P179-K179)</f>
      </c>
      <c r="J179" s="160"/>
      <c r="K179" s="158"/>
      <c r="L179" s="161"/>
      <c r="M179" s="161"/>
      <c r="N179" s="161"/>
      <c r="O179" s="161"/>
      <c r="P179" t="str" s="159" cm="1">
        <f t="array" ref="P179">IF(AG179="","",AC179-R179-Q179)</f>
      </c>
      <c r="Q179" s="162"/>
      <c r="R179" s="162"/>
      <c r="S179" s="161"/>
      <c r="T179" s="161"/>
      <c r="U179" s="161"/>
      <c r="V179" s="161"/>
      <c r="W179" s="161"/>
      <c r="X179" s="161"/>
      <c r="Y179" s="161"/>
      <c r="Z179" s="161"/>
      <c r="AA179" s="161"/>
      <c r="AB179" s="160"/>
      <c r="AC179" t="str" s="195" cm="1">
        <f t="array" ref="AC179">IF(AG179="","",AG179-AF179)</f>
      </c>
      <c r="AD179" s="161"/>
      <c r="AE179" s="160"/>
      <c r="AF179" s="196"/>
      <c r="AG179" s="165"/>
      <c r="AH179" s="164"/>
      <c r="AI179" s="163"/>
      <c r="AJ179" s="161"/>
      <c r="AK179" s="161"/>
      <c r="AL179" s="160"/>
      <c r="AM179" s="165"/>
      <c r="AN179" s="166"/>
      <c r="AO179" s="10"/>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row>
    <row r="180" ht="25.5" customHeight="1">
      <c r="A180" s="155" cm="1">
        <f t="array" ref="A180">A179+1</f>
        <v>169</v>
      </c>
      <c r="B180" s="151"/>
      <c r="C180" s="170"/>
      <c r="D180" s="165"/>
      <c r="E180" s="164"/>
      <c r="F180" t="str" s="195" cm="1">
        <f t="array" ref="F180">IF(AG180="","",I180-H180)</f>
      </c>
      <c r="G180" s="160"/>
      <c r="H180" s="158"/>
      <c r="I180" t="str" s="159" cm="1">
        <f t="array" ref="I180">IF(AG180="","",P180-K180)</f>
      </c>
      <c r="J180" s="160"/>
      <c r="K180" s="158"/>
      <c r="L180" s="161"/>
      <c r="M180" s="161"/>
      <c r="N180" s="161"/>
      <c r="O180" s="161"/>
      <c r="P180" t="str" s="159" cm="1">
        <f t="array" ref="P180">IF(AG180="","",AC180-R180-Q180)</f>
      </c>
      <c r="Q180" s="162"/>
      <c r="R180" s="162"/>
      <c r="S180" s="161"/>
      <c r="T180" s="161"/>
      <c r="U180" s="161"/>
      <c r="V180" s="161"/>
      <c r="W180" s="161"/>
      <c r="X180" s="161"/>
      <c r="Y180" s="161"/>
      <c r="Z180" s="161"/>
      <c r="AA180" s="161"/>
      <c r="AB180" s="160"/>
      <c r="AC180" t="str" s="195" cm="1">
        <f t="array" ref="AC180">IF(AG180="","",AG180-AF180)</f>
      </c>
      <c r="AD180" s="161"/>
      <c r="AE180" s="160"/>
      <c r="AF180" s="196"/>
      <c r="AG180" s="165"/>
      <c r="AH180" s="164"/>
      <c r="AI180" s="163"/>
      <c r="AJ180" s="161"/>
      <c r="AK180" s="161"/>
      <c r="AL180" s="160"/>
      <c r="AM180" s="165"/>
      <c r="AN180" s="166"/>
      <c r="AO180" s="10"/>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row>
    <row r="181" ht="25.5" customHeight="1">
      <c r="A181" s="155" cm="1">
        <f t="array" ref="A181">A180+1</f>
        <v>170</v>
      </c>
      <c r="B181" s="151"/>
      <c r="C181" s="170"/>
      <c r="D181" s="165"/>
      <c r="E181" s="164"/>
      <c r="F181" t="str" s="195" cm="1">
        <f t="array" ref="F181">IF(AG181="","",I181-H181)</f>
      </c>
      <c r="G181" s="160"/>
      <c r="H181" s="158"/>
      <c r="I181" t="str" s="159" cm="1">
        <f t="array" ref="I181">IF(AG181="","",P181-K181)</f>
      </c>
      <c r="J181" s="160"/>
      <c r="K181" s="158"/>
      <c r="L181" s="161"/>
      <c r="M181" s="161"/>
      <c r="N181" s="161"/>
      <c r="O181" s="161"/>
      <c r="P181" t="str" s="159" cm="1">
        <f t="array" ref="P181">IF(AG181="","",AC181-R181-Q181)</f>
      </c>
      <c r="Q181" s="162"/>
      <c r="R181" s="162"/>
      <c r="S181" s="161"/>
      <c r="T181" s="161"/>
      <c r="U181" s="161"/>
      <c r="V181" s="161"/>
      <c r="W181" s="161"/>
      <c r="X181" s="161"/>
      <c r="Y181" s="161"/>
      <c r="Z181" s="161"/>
      <c r="AA181" s="161"/>
      <c r="AB181" s="160"/>
      <c r="AC181" t="str" s="195" cm="1">
        <f t="array" ref="AC181">IF(AG181="","",AG181-AF181)</f>
      </c>
      <c r="AD181" s="161"/>
      <c r="AE181" s="160"/>
      <c r="AF181" s="196"/>
      <c r="AG181" s="165"/>
      <c r="AH181" s="164"/>
      <c r="AI181" s="163"/>
      <c r="AJ181" s="161"/>
      <c r="AK181" s="161"/>
      <c r="AL181" s="160"/>
      <c r="AM181" s="165"/>
      <c r="AN181" s="166"/>
      <c r="AO181" s="10"/>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row>
    <row r="182" ht="25.5" customHeight="1">
      <c r="A182" s="155" cm="1">
        <f t="array" ref="A182">A181+1</f>
        <v>171</v>
      </c>
      <c r="B182" s="151"/>
      <c r="C182" s="170"/>
      <c r="D182" s="165"/>
      <c r="E182" s="164"/>
      <c r="F182" t="str" s="195" cm="1">
        <f t="array" ref="F182">IF(AG182="","",I182-H182)</f>
      </c>
      <c r="G182" s="160"/>
      <c r="H182" s="158"/>
      <c r="I182" t="str" s="159" cm="1">
        <f t="array" ref="I182">IF(AG182="","",P182-K182)</f>
      </c>
      <c r="J182" s="160"/>
      <c r="K182" s="158"/>
      <c r="L182" s="161"/>
      <c r="M182" s="161"/>
      <c r="N182" s="161"/>
      <c r="O182" s="161"/>
      <c r="P182" t="str" s="159" cm="1">
        <f t="array" ref="P182">IF(AG182="","",AC182-R182-Q182)</f>
      </c>
      <c r="Q182" s="162"/>
      <c r="R182" s="162"/>
      <c r="S182" s="161"/>
      <c r="T182" s="161"/>
      <c r="U182" s="161"/>
      <c r="V182" s="161"/>
      <c r="W182" s="161"/>
      <c r="X182" s="161"/>
      <c r="Y182" s="161"/>
      <c r="Z182" s="161"/>
      <c r="AA182" s="161"/>
      <c r="AB182" s="160"/>
      <c r="AC182" t="str" s="195" cm="1">
        <f t="array" ref="AC182">IF(AG182="","",AG182-AF182)</f>
      </c>
      <c r="AD182" s="161"/>
      <c r="AE182" s="160"/>
      <c r="AF182" s="196"/>
      <c r="AG182" s="165"/>
      <c r="AH182" s="164"/>
      <c r="AI182" s="163"/>
      <c r="AJ182" s="161"/>
      <c r="AK182" s="161"/>
      <c r="AL182" s="160"/>
      <c r="AM182" s="165"/>
      <c r="AN182" s="166"/>
      <c r="AO182" s="10"/>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row>
    <row r="183" ht="25.5" customHeight="1">
      <c r="A183" s="155" cm="1">
        <f t="array" ref="A183">A182+1</f>
        <v>172</v>
      </c>
      <c r="B183" s="151"/>
      <c r="C183" s="170"/>
      <c r="D183" s="165"/>
      <c r="E183" s="164"/>
      <c r="F183" t="str" s="195" cm="1">
        <f t="array" ref="F183">IF(AG183="","",I183-H183)</f>
      </c>
      <c r="G183" s="160"/>
      <c r="H183" s="158"/>
      <c r="I183" t="str" s="159" cm="1">
        <f t="array" ref="I183">IF(AG183="","",P183-K183)</f>
      </c>
      <c r="J183" s="160"/>
      <c r="K183" s="158"/>
      <c r="L183" s="161"/>
      <c r="M183" s="161"/>
      <c r="N183" s="161"/>
      <c r="O183" s="161"/>
      <c r="P183" t="str" s="159" cm="1">
        <f t="array" ref="P183">IF(AG183="","",AC183-R183-Q183)</f>
      </c>
      <c r="Q183" s="162"/>
      <c r="R183" s="162"/>
      <c r="S183" s="161"/>
      <c r="T183" s="161"/>
      <c r="U183" s="161"/>
      <c r="V183" s="161"/>
      <c r="W183" s="161"/>
      <c r="X183" s="161"/>
      <c r="Y183" s="161"/>
      <c r="Z183" s="161"/>
      <c r="AA183" s="161"/>
      <c r="AB183" s="160"/>
      <c r="AC183" t="str" s="195" cm="1">
        <f t="array" ref="AC183">IF(AG183="","",AG183-AF183)</f>
      </c>
      <c r="AD183" s="161"/>
      <c r="AE183" s="160"/>
      <c r="AF183" s="196"/>
      <c r="AG183" s="165"/>
      <c r="AH183" s="164"/>
      <c r="AI183" s="163"/>
      <c r="AJ183" s="161"/>
      <c r="AK183" s="161"/>
      <c r="AL183" s="160"/>
      <c r="AM183" s="165"/>
      <c r="AN183" s="166"/>
      <c r="AO183" s="10"/>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row>
    <row r="184" ht="25.5" customHeight="1">
      <c r="A184" s="155" cm="1">
        <f t="array" ref="A184">A183+1</f>
        <v>173</v>
      </c>
      <c r="B184" s="151"/>
      <c r="C184" s="170"/>
      <c r="D184" s="165"/>
      <c r="E184" s="164"/>
      <c r="F184" t="str" s="195" cm="1">
        <f t="array" ref="F184">IF(AG184="","",I184-H184)</f>
      </c>
      <c r="G184" s="160"/>
      <c r="H184" s="158"/>
      <c r="I184" t="str" s="159" cm="1">
        <f t="array" ref="I184">IF(AG184="","",P184-K184)</f>
      </c>
      <c r="J184" s="160"/>
      <c r="K184" s="158"/>
      <c r="L184" s="161"/>
      <c r="M184" s="161"/>
      <c r="N184" s="161"/>
      <c r="O184" s="161"/>
      <c r="P184" t="str" s="159" cm="1">
        <f t="array" ref="P184">IF(AG184="","",AC184-R184-Q184)</f>
      </c>
      <c r="Q184" s="162"/>
      <c r="R184" s="162"/>
      <c r="S184" s="161"/>
      <c r="T184" s="161"/>
      <c r="U184" s="161"/>
      <c r="V184" s="161"/>
      <c r="W184" s="161"/>
      <c r="X184" s="161"/>
      <c r="Y184" s="161"/>
      <c r="Z184" s="161"/>
      <c r="AA184" s="161"/>
      <c r="AB184" s="160"/>
      <c r="AC184" t="str" s="195" cm="1">
        <f t="array" ref="AC184">IF(AG184="","",AG184-AF184)</f>
      </c>
      <c r="AD184" s="161"/>
      <c r="AE184" s="160"/>
      <c r="AF184" s="196"/>
      <c r="AG184" s="165"/>
      <c r="AH184" s="164"/>
      <c r="AI184" s="163"/>
      <c r="AJ184" s="161"/>
      <c r="AK184" s="161"/>
      <c r="AL184" s="160"/>
      <c r="AM184" s="165"/>
      <c r="AN184" s="166"/>
      <c r="AO184" s="10"/>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row>
    <row r="185" ht="25.5" customHeight="1">
      <c r="A185" s="155" cm="1">
        <f t="array" ref="A185">A184+1</f>
        <v>174</v>
      </c>
      <c r="B185" s="151"/>
      <c r="C185" s="170"/>
      <c r="D185" s="165"/>
      <c r="E185" s="164"/>
      <c r="F185" t="str" s="195" cm="1">
        <f t="array" ref="F185">IF(AG185="","",I185-H185)</f>
      </c>
      <c r="G185" s="160"/>
      <c r="H185" s="158"/>
      <c r="I185" t="str" s="159" cm="1">
        <f t="array" ref="I185">IF(AG185="","",P185-K185)</f>
      </c>
      <c r="J185" s="160"/>
      <c r="K185" s="158"/>
      <c r="L185" s="161"/>
      <c r="M185" s="161"/>
      <c r="N185" s="161"/>
      <c r="O185" s="161"/>
      <c r="P185" t="str" s="159" cm="1">
        <f t="array" ref="P185">IF(AG185="","",AC185-R185-Q185)</f>
      </c>
      <c r="Q185" s="162"/>
      <c r="R185" s="162"/>
      <c r="S185" s="161"/>
      <c r="T185" s="161"/>
      <c r="U185" s="161"/>
      <c r="V185" s="161"/>
      <c r="W185" s="161"/>
      <c r="X185" s="161"/>
      <c r="Y185" s="161"/>
      <c r="Z185" s="161"/>
      <c r="AA185" s="161"/>
      <c r="AB185" s="160"/>
      <c r="AC185" t="str" s="195" cm="1">
        <f t="array" ref="AC185">IF(AG185="","",AG185-AF185)</f>
      </c>
      <c r="AD185" s="161"/>
      <c r="AE185" s="160"/>
      <c r="AF185" s="196"/>
      <c r="AG185" s="165"/>
      <c r="AH185" s="164"/>
      <c r="AI185" s="163"/>
      <c r="AJ185" s="161"/>
      <c r="AK185" s="161"/>
      <c r="AL185" s="160"/>
      <c r="AM185" s="165"/>
      <c r="AN185" s="166"/>
      <c r="AO185" s="10"/>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row>
    <row r="186" ht="25.5" customHeight="1">
      <c r="A186" s="155" cm="1">
        <f t="array" ref="A186">A185+1</f>
        <v>175</v>
      </c>
      <c r="B186" s="151"/>
      <c r="C186" s="170"/>
      <c r="D186" s="165"/>
      <c r="E186" s="164"/>
      <c r="F186" t="str" s="195" cm="1">
        <f t="array" ref="F186">IF(AG186="","",I186-H186)</f>
      </c>
      <c r="G186" s="160"/>
      <c r="H186" s="158"/>
      <c r="I186" t="str" s="159" cm="1">
        <f t="array" ref="I186">IF(AG186="","",P186-K186)</f>
      </c>
      <c r="J186" s="160"/>
      <c r="K186" s="158"/>
      <c r="L186" s="161"/>
      <c r="M186" s="161"/>
      <c r="N186" s="161"/>
      <c r="O186" s="161"/>
      <c r="P186" t="str" s="159" cm="1">
        <f t="array" ref="P186">IF(AG186="","",AC186-R186-Q186)</f>
      </c>
      <c r="Q186" s="162"/>
      <c r="R186" s="162"/>
      <c r="S186" s="161"/>
      <c r="T186" s="161"/>
      <c r="U186" s="161"/>
      <c r="V186" s="161"/>
      <c r="W186" s="161"/>
      <c r="X186" s="161"/>
      <c r="Y186" s="161"/>
      <c r="Z186" s="161"/>
      <c r="AA186" s="161"/>
      <c r="AB186" s="160"/>
      <c r="AC186" t="str" s="195" cm="1">
        <f t="array" ref="AC186">IF(AG186="","",AG186-AF186)</f>
      </c>
      <c r="AD186" s="161"/>
      <c r="AE186" s="160"/>
      <c r="AF186" s="196"/>
      <c r="AG186" s="165"/>
      <c r="AH186" s="164"/>
      <c r="AI186" s="163"/>
      <c r="AJ186" s="161"/>
      <c r="AK186" s="161"/>
      <c r="AL186" s="160"/>
      <c r="AM186" s="165"/>
      <c r="AN186" s="166"/>
      <c r="AO186" s="10"/>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row>
    <row r="187" ht="25.5" customHeight="1">
      <c r="A187" s="155" cm="1">
        <f t="array" ref="A187">A186+1</f>
        <v>176</v>
      </c>
      <c r="B187" s="151"/>
      <c r="C187" s="170"/>
      <c r="D187" s="165"/>
      <c r="E187" s="164"/>
      <c r="F187" t="str" s="195" cm="1">
        <f t="array" ref="F187">IF(AG187="","",I187-H187)</f>
      </c>
      <c r="G187" s="160"/>
      <c r="H187" s="158"/>
      <c r="I187" t="str" s="159" cm="1">
        <f t="array" ref="I187">IF(AG187="","",P187-K187)</f>
      </c>
      <c r="J187" s="160"/>
      <c r="K187" s="158"/>
      <c r="L187" s="161"/>
      <c r="M187" s="161"/>
      <c r="N187" s="161"/>
      <c r="O187" s="161"/>
      <c r="P187" t="str" s="159" cm="1">
        <f t="array" ref="P187">IF(AG187="","",AC187-R187-Q187)</f>
      </c>
      <c r="Q187" s="162"/>
      <c r="R187" s="162"/>
      <c r="S187" s="161"/>
      <c r="T187" s="161"/>
      <c r="U187" s="161"/>
      <c r="V187" s="161"/>
      <c r="W187" s="161"/>
      <c r="X187" s="161"/>
      <c r="Y187" s="161"/>
      <c r="Z187" s="161"/>
      <c r="AA187" s="161"/>
      <c r="AB187" s="160"/>
      <c r="AC187" t="str" s="195" cm="1">
        <f t="array" ref="AC187">IF(AG187="","",AG187-AF187)</f>
      </c>
      <c r="AD187" s="161"/>
      <c r="AE187" s="160"/>
      <c r="AF187" s="196"/>
      <c r="AG187" s="165"/>
      <c r="AH187" s="164"/>
      <c r="AI187" s="163"/>
      <c r="AJ187" s="161"/>
      <c r="AK187" s="161"/>
      <c r="AL187" s="160"/>
      <c r="AM187" s="165"/>
      <c r="AN187" s="166"/>
      <c r="AO187" s="10"/>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row>
    <row r="188" ht="25.5" customHeight="1">
      <c r="A188" s="155" cm="1">
        <f t="array" ref="A188">A187+1</f>
        <v>177</v>
      </c>
      <c r="B188" s="151"/>
      <c r="C188" s="170"/>
      <c r="D188" s="165"/>
      <c r="E188" s="164"/>
      <c r="F188" t="str" s="195" cm="1">
        <f t="array" ref="F188">IF(AG188="","",I188-H188)</f>
      </c>
      <c r="G188" s="160"/>
      <c r="H188" s="158"/>
      <c r="I188" t="str" s="159" cm="1">
        <f t="array" ref="I188">IF(AG188="","",P188-K188)</f>
      </c>
      <c r="J188" s="160"/>
      <c r="K188" s="158"/>
      <c r="L188" s="161"/>
      <c r="M188" s="161"/>
      <c r="N188" s="161"/>
      <c r="O188" s="161"/>
      <c r="P188" t="str" s="159" cm="1">
        <f t="array" ref="P188">IF(AG188="","",AC188-R188-Q188)</f>
      </c>
      <c r="Q188" s="162"/>
      <c r="R188" s="162"/>
      <c r="S188" s="161"/>
      <c r="T188" s="161"/>
      <c r="U188" s="161"/>
      <c r="V188" s="161"/>
      <c r="W188" s="161"/>
      <c r="X188" s="161"/>
      <c r="Y188" s="161"/>
      <c r="Z188" s="161"/>
      <c r="AA188" s="161"/>
      <c r="AB188" s="160"/>
      <c r="AC188" t="str" s="195" cm="1">
        <f t="array" ref="AC188">IF(AG188="","",AG188-AF188)</f>
      </c>
      <c r="AD188" s="161"/>
      <c r="AE188" s="160"/>
      <c r="AF188" s="196"/>
      <c r="AG188" s="165"/>
      <c r="AH188" s="164"/>
      <c r="AI188" s="163"/>
      <c r="AJ188" s="161"/>
      <c r="AK188" s="161"/>
      <c r="AL188" s="160"/>
      <c r="AM188" s="165"/>
      <c r="AN188" s="166"/>
      <c r="AO188" s="10"/>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row>
    <row r="189" ht="25.5" customHeight="1">
      <c r="A189" s="155" cm="1">
        <f t="array" ref="A189">A188+1</f>
        <v>178</v>
      </c>
      <c r="B189" s="151"/>
      <c r="C189" s="170"/>
      <c r="D189" s="165"/>
      <c r="E189" s="164"/>
      <c r="F189" t="str" s="195" cm="1">
        <f t="array" ref="F189">IF(AG189="","",I189-H189)</f>
      </c>
      <c r="G189" s="160"/>
      <c r="H189" s="158"/>
      <c r="I189" t="str" s="159" cm="1">
        <f t="array" ref="I189">IF(AG189="","",P189-K189)</f>
      </c>
      <c r="J189" s="160"/>
      <c r="K189" s="158"/>
      <c r="L189" s="161"/>
      <c r="M189" s="161"/>
      <c r="N189" s="161"/>
      <c r="O189" s="161"/>
      <c r="P189" t="str" s="159" cm="1">
        <f t="array" ref="P189">IF(AG189="","",AC189-R189-Q189)</f>
      </c>
      <c r="Q189" s="162"/>
      <c r="R189" s="162"/>
      <c r="S189" s="161"/>
      <c r="T189" s="161"/>
      <c r="U189" s="161"/>
      <c r="V189" s="161"/>
      <c r="W189" s="161"/>
      <c r="X189" s="161"/>
      <c r="Y189" s="161"/>
      <c r="Z189" s="161"/>
      <c r="AA189" s="161"/>
      <c r="AB189" s="160"/>
      <c r="AC189" t="str" s="195" cm="1">
        <f t="array" ref="AC189">IF(AG189="","",AG189-AF189)</f>
      </c>
      <c r="AD189" s="161"/>
      <c r="AE189" s="160"/>
      <c r="AF189" s="196"/>
      <c r="AG189" s="165"/>
      <c r="AH189" s="164"/>
      <c r="AI189" s="163"/>
      <c r="AJ189" s="161"/>
      <c r="AK189" s="161"/>
      <c r="AL189" s="160"/>
      <c r="AM189" s="165"/>
      <c r="AN189" s="166"/>
      <c r="AO189" s="10"/>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row>
    <row r="190" ht="25.5" customHeight="1">
      <c r="A190" s="155" cm="1">
        <f t="array" ref="A190">A189+1</f>
        <v>179</v>
      </c>
      <c r="B190" s="151"/>
      <c r="C190" s="170"/>
      <c r="D190" s="165"/>
      <c r="E190" s="164"/>
      <c r="F190" t="str" s="195" cm="1">
        <f t="array" ref="F190">IF(AG190="","",I190-H190)</f>
      </c>
      <c r="G190" s="160"/>
      <c r="H190" s="158"/>
      <c r="I190" t="str" s="159" cm="1">
        <f t="array" ref="I190">IF(AG190="","",P190-K190)</f>
      </c>
      <c r="J190" s="160"/>
      <c r="K190" s="158"/>
      <c r="L190" s="161"/>
      <c r="M190" s="161"/>
      <c r="N190" s="161"/>
      <c r="O190" s="161"/>
      <c r="P190" t="str" s="159" cm="1">
        <f t="array" ref="P190">IF(AG190="","",AC190-R190-Q190)</f>
      </c>
      <c r="Q190" s="162"/>
      <c r="R190" s="162"/>
      <c r="S190" s="161"/>
      <c r="T190" s="161"/>
      <c r="U190" s="161"/>
      <c r="V190" s="161"/>
      <c r="W190" s="161"/>
      <c r="X190" s="161"/>
      <c r="Y190" s="161"/>
      <c r="Z190" s="161"/>
      <c r="AA190" s="161"/>
      <c r="AB190" s="160"/>
      <c r="AC190" t="str" s="195" cm="1">
        <f t="array" ref="AC190">IF(AG190="","",AG190-AF190)</f>
      </c>
      <c r="AD190" s="161"/>
      <c r="AE190" s="160"/>
      <c r="AF190" s="196"/>
      <c r="AG190" s="165"/>
      <c r="AH190" s="164"/>
      <c r="AI190" s="163"/>
      <c r="AJ190" s="161"/>
      <c r="AK190" s="161"/>
      <c r="AL190" s="160"/>
      <c r="AM190" s="165"/>
      <c r="AN190" s="166"/>
      <c r="AO190" s="10"/>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row>
    <row r="191" ht="25.5" customHeight="1">
      <c r="A191" s="155" cm="1">
        <f t="array" ref="A191">A190+1</f>
        <v>180</v>
      </c>
      <c r="B191" s="151"/>
      <c r="C191" s="170"/>
      <c r="D191" s="165"/>
      <c r="E191" s="164"/>
      <c r="F191" t="str" s="195" cm="1">
        <f t="array" ref="F191">IF(AG191="","",I191-H191)</f>
      </c>
      <c r="G191" s="160"/>
      <c r="H191" s="158"/>
      <c r="I191" t="str" s="159" cm="1">
        <f t="array" ref="I191">IF(AG191="","",P191-K191)</f>
      </c>
      <c r="J191" s="160"/>
      <c r="K191" s="158"/>
      <c r="L191" s="161"/>
      <c r="M191" s="161"/>
      <c r="N191" s="161"/>
      <c r="O191" s="161"/>
      <c r="P191" t="str" s="159" cm="1">
        <f t="array" ref="P191">IF(AG191="","",AC191-R191-Q191)</f>
      </c>
      <c r="Q191" s="162"/>
      <c r="R191" s="162"/>
      <c r="S191" s="161"/>
      <c r="T191" s="161"/>
      <c r="U191" s="161"/>
      <c r="V191" s="161"/>
      <c r="W191" s="161"/>
      <c r="X191" s="161"/>
      <c r="Y191" s="161"/>
      <c r="Z191" s="161"/>
      <c r="AA191" s="161"/>
      <c r="AB191" s="160"/>
      <c r="AC191" t="str" s="195" cm="1">
        <f t="array" ref="AC191">IF(AG191="","",AG191-AF191)</f>
      </c>
      <c r="AD191" s="161"/>
      <c r="AE191" s="160"/>
      <c r="AF191" s="196"/>
      <c r="AG191" s="165"/>
      <c r="AH191" s="164"/>
      <c r="AI191" s="163"/>
      <c r="AJ191" s="161"/>
      <c r="AK191" s="161"/>
      <c r="AL191" s="160"/>
      <c r="AM191" s="165"/>
      <c r="AN191" s="166"/>
      <c r="AO191" s="10"/>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row>
    <row r="192" ht="25.5" customHeight="1">
      <c r="A192" s="155" cm="1">
        <f t="array" ref="A192">A191+1</f>
        <v>181</v>
      </c>
      <c r="B192" s="151"/>
      <c r="C192" s="170"/>
      <c r="D192" s="165"/>
      <c r="E192" s="164"/>
      <c r="F192" t="str" s="195" cm="1">
        <f t="array" ref="F192">IF(AG192="","",I192-H192)</f>
      </c>
      <c r="G192" s="160"/>
      <c r="H192" s="158"/>
      <c r="I192" t="str" s="159" cm="1">
        <f t="array" ref="I192">IF(AG192="","",P192-K192)</f>
      </c>
      <c r="J192" s="160"/>
      <c r="K192" s="158"/>
      <c r="L192" s="161"/>
      <c r="M192" s="161"/>
      <c r="N192" s="161"/>
      <c r="O192" s="161"/>
      <c r="P192" t="str" s="159" cm="1">
        <f t="array" ref="P192">IF(AG192="","",AC192-R192-Q192)</f>
      </c>
      <c r="Q192" s="162"/>
      <c r="R192" s="162"/>
      <c r="S192" s="161"/>
      <c r="T192" s="161"/>
      <c r="U192" s="161"/>
      <c r="V192" s="161"/>
      <c r="W192" s="161"/>
      <c r="X192" s="161"/>
      <c r="Y192" s="161"/>
      <c r="Z192" s="161"/>
      <c r="AA192" s="161"/>
      <c r="AB192" s="160"/>
      <c r="AC192" t="str" s="195" cm="1">
        <f t="array" ref="AC192">IF(AG192="","",AG192-AF192)</f>
      </c>
      <c r="AD192" s="161"/>
      <c r="AE192" s="160"/>
      <c r="AF192" s="196"/>
      <c r="AG192" s="165"/>
      <c r="AH192" s="164"/>
      <c r="AI192" s="163"/>
      <c r="AJ192" s="161"/>
      <c r="AK192" s="161"/>
      <c r="AL192" s="160"/>
      <c r="AM192" s="165"/>
      <c r="AN192" s="166"/>
      <c r="AO192" s="10"/>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row>
    <row r="193" ht="25.5" customHeight="1">
      <c r="A193" s="155" cm="1">
        <f t="array" ref="A193">A192+1</f>
        <v>182</v>
      </c>
      <c r="B193" s="151"/>
      <c r="C193" s="170"/>
      <c r="D193" s="165"/>
      <c r="E193" s="164"/>
      <c r="F193" t="str" s="195" cm="1">
        <f t="array" ref="F193">IF(AG193="","",I193-H193)</f>
      </c>
      <c r="G193" s="160"/>
      <c r="H193" s="158"/>
      <c r="I193" t="str" s="159" cm="1">
        <f t="array" ref="I193">IF(AG193="","",P193-K193)</f>
      </c>
      <c r="J193" s="160"/>
      <c r="K193" s="158"/>
      <c r="L193" s="161"/>
      <c r="M193" s="161"/>
      <c r="N193" s="161"/>
      <c r="O193" s="161"/>
      <c r="P193" t="str" s="159" cm="1">
        <f t="array" ref="P193">IF(AG193="","",AC193-R193-Q193)</f>
      </c>
      <c r="Q193" s="162"/>
      <c r="R193" s="162"/>
      <c r="S193" s="161"/>
      <c r="T193" s="161"/>
      <c r="U193" s="161"/>
      <c r="V193" s="161"/>
      <c r="W193" s="161"/>
      <c r="X193" s="161"/>
      <c r="Y193" s="161"/>
      <c r="Z193" s="161"/>
      <c r="AA193" s="161"/>
      <c r="AB193" s="160"/>
      <c r="AC193" t="str" s="195" cm="1">
        <f t="array" ref="AC193">IF(AG193="","",AG193-AF193)</f>
      </c>
      <c r="AD193" s="161"/>
      <c r="AE193" s="160"/>
      <c r="AF193" s="196"/>
      <c r="AG193" s="165"/>
      <c r="AH193" s="164"/>
      <c r="AI193" s="163"/>
      <c r="AJ193" s="161"/>
      <c r="AK193" s="161"/>
      <c r="AL193" s="160"/>
      <c r="AM193" s="165"/>
      <c r="AN193" s="166"/>
      <c r="AO193" s="10"/>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row>
    <row r="194" ht="25.5" customHeight="1">
      <c r="A194" s="155" cm="1">
        <f t="array" ref="A194">A193+1</f>
        <v>183</v>
      </c>
      <c r="B194" s="151"/>
      <c r="C194" s="170"/>
      <c r="D194" s="165"/>
      <c r="E194" s="164"/>
      <c r="F194" t="str" s="195" cm="1">
        <f t="array" ref="F194">IF(AG194="","",I194-H194)</f>
      </c>
      <c r="G194" s="160"/>
      <c r="H194" s="158"/>
      <c r="I194" t="str" s="159" cm="1">
        <f t="array" ref="I194">IF(AG194="","",P194-K194)</f>
      </c>
      <c r="J194" s="160"/>
      <c r="K194" s="158"/>
      <c r="L194" s="161"/>
      <c r="M194" s="161"/>
      <c r="N194" s="161"/>
      <c r="O194" s="161"/>
      <c r="P194" t="str" s="159" cm="1">
        <f t="array" ref="P194">IF(AG194="","",AC194-R194-Q194)</f>
      </c>
      <c r="Q194" s="162"/>
      <c r="R194" s="162"/>
      <c r="S194" s="161"/>
      <c r="T194" s="161"/>
      <c r="U194" s="161"/>
      <c r="V194" s="161"/>
      <c r="W194" s="161"/>
      <c r="X194" s="161"/>
      <c r="Y194" s="161"/>
      <c r="Z194" s="161"/>
      <c r="AA194" s="161"/>
      <c r="AB194" s="160"/>
      <c r="AC194" t="str" s="195" cm="1">
        <f t="array" ref="AC194">IF(AG194="","",AG194-AF194)</f>
      </c>
      <c r="AD194" s="161"/>
      <c r="AE194" s="160"/>
      <c r="AF194" s="196"/>
      <c r="AG194" s="165"/>
      <c r="AH194" s="164"/>
      <c r="AI194" s="163"/>
      <c r="AJ194" s="161"/>
      <c r="AK194" s="161"/>
      <c r="AL194" s="160"/>
      <c r="AM194" s="165"/>
      <c r="AN194" s="166"/>
      <c r="AO194" s="10"/>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row>
    <row r="195" ht="25.5" customHeight="1">
      <c r="A195" s="155" cm="1">
        <f t="array" ref="A195">A194+1</f>
        <v>184</v>
      </c>
      <c r="B195" s="151"/>
      <c r="C195" s="170"/>
      <c r="D195" s="165"/>
      <c r="E195" s="164"/>
      <c r="F195" t="str" s="195" cm="1">
        <f t="array" ref="F195">IF(AG195="","",I195-H195)</f>
      </c>
      <c r="G195" s="160"/>
      <c r="H195" s="158"/>
      <c r="I195" t="str" s="159" cm="1">
        <f t="array" ref="I195">IF(AG195="","",P195-K195)</f>
      </c>
      <c r="J195" s="160"/>
      <c r="K195" s="158"/>
      <c r="L195" s="161"/>
      <c r="M195" s="161"/>
      <c r="N195" s="161"/>
      <c r="O195" s="161"/>
      <c r="P195" t="str" s="159" cm="1">
        <f t="array" ref="P195">IF(AG195="","",AC195-R195-Q195)</f>
      </c>
      <c r="Q195" s="162"/>
      <c r="R195" s="162"/>
      <c r="S195" s="161"/>
      <c r="T195" s="161"/>
      <c r="U195" s="161"/>
      <c r="V195" s="161"/>
      <c r="W195" s="161"/>
      <c r="X195" s="161"/>
      <c r="Y195" s="161"/>
      <c r="Z195" s="161"/>
      <c r="AA195" s="161"/>
      <c r="AB195" s="160"/>
      <c r="AC195" t="str" s="195" cm="1">
        <f t="array" ref="AC195">IF(AG195="","",AG195-AF195)</f>
      </c>
      <c r="AD195" s="161"/>
      <c r="AE195" s="160"/>
      <c r="AF195" s="196"/>
      <c r="AG195" s="165"/>
      <c r="AH195" s="164"/>
      <c r="AI195" s="163"/>
      <c r="AJ195" s="161"/>
      <c r="AK195" s="161"/>
      <c r="AL195" s="160"/>
      <c r="AM195" s="165"/>
      <c r="AN195" s="166"/>
      <c r="AO195" s="10"/>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row>
    <row r="196" ht="25.5" customHeight="1">
      <c r="A196" s="155" cm="1">
        <f t="array" ref="A196">A195+1</f>
        <v>185</v>
      </c>
      <c r="B196" s="151"/>
      <c r="C196" s="170"/>
      <c r="D196" s="165"/>
      <c r="E196" s="164"/>
      <c r="F196" t="str" s="195" cm="1">
        <f t="array" ref="F196">IF(AG196="","",I196-H196)</f>
      </c>
      <c r="G196" s="160"/>
      <c r="H196" s="158"/>
      <c r="I196" t="str" s="159" cm="1">
        <f t="array" ref="I196">IF(AG196="","",P196-K196)</f>
      </c>
      <c r="J196" s="160"/>
      <c r="K196" s="158"/>
      <c r="L196" s="161"/>
      <c r="M196" s="161"/>
      <c r="N196" s="161"/>
      <c r="O196" s="161"/>
      <c r="P196" t="str" s="159" cm="1">
        <f t="array" ref="P196">IF(AG196="","",AC196-R196-Q196)</f>
      </c>
      <c r="Q196" s="162"/>
      <c r="R196" s="162"/>
      <c r="S196" s="161"/>
      <c r="T196" s="161"/>
      <c r="U196" s="161"/>
      <c r="V196" s="161"/>
      <c r="W196" s="161"/>
      <c r="X196" s="161"/>
      <c r="Y196" s="161"/>
      <c r="Z196" s="161"/>
      <c r="AA196" s="161"/>
      <c r="AB196" s="160"/>
      <c r="AC196" t="str" s="195" cm="1">
        <f t="array" ref="AC196">IF(AG196="","",AG196-AF196)</f>
      </c>
      <c r="AD196" s="161"/>
      <c r="AE196" s="160"/>
      <c r="AF196" s="196"/>
      <c r="AG196" s="165"/>
      <c r="AH196" s="164"/>
      <c r="AI196" s="163"/>
      <c r="AJ196" s="161"/>
      <c r="AK196" s="161"/>
      <c r="AL196" s="160"/>
      <c r="AM196" s="165"/>
      <c r="AN196" s="166"/>
      <c r="AO196" s="10"/>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row>
    <row r="197" ht="25.5" customHeight="1">
      <c r="A197" s="155" cm="1">
        <f t="array" ref="A197">A196+1</f>
        <v>186</v>
      </c>
      <c r="B197" s="151"/>
      <c r="C197" s="170"/>
      <c r="D197" s="165"/>
      <c r="E197" s="164"/>
      <c r="F197" t="str" s="195" cm="1">
        <f t="array" ref="F197">IF(AG197="","",I197-H197)</f>
      </c>
      <c r="G197" s="160"/>
      <c r="H197" s="158"/>
      <c r="I197" t="str" s="159" cm="1">
        <f t="array" ref="I197">IF(AG197="","",P197-K197)</f>
      </c>
      <c r="J197" s="160"/>
      <c r="K197" s="158"/>
      <c r="L197" s="161"/>
      <c r="M197" s="161"/>
      <c r="N197" s="161"/>
      <c r="O197" s="161"/>
      <c r="P197" t="str" s="159" cm="1">
        <f t="array" ref="P197">IF(AG197="","",AC197-R197-Q197)</f>
      </c>
      <c r="Q197" s="162"/>
      <c r="R197" s="162"/>
      <c r="S197" s="161"/>
      <c r="T197" s="161"/>
      <c r="U197" s="161"/>
      <c r="V197" s="161"/>
      <c r="W197" s="161"/>
      <c r="X197" s="161"/>
      <c r="Y197" s="161"/>
      <c r="Z197" s="161"/>
      <c r="AA197" s="161"/>
      <c r="AB197" s="160"/>
      <c r="AC197" t="str" s="195" cm="1">
        <f t="array" ref="AC197">IF(AG197="","",AG197-AF197)</f>
      </c>
      <c r="AD197" s="161"/>
      <c r="AE197" s="160"/>
      <c r="AF197" s="196"/>
      <c r="AG197" s="165"/>
      <c r="AH197" s="164"/>
      <c r="AI197" s="163"/>
      <c r="AJ197" s="161"/>
      <c r="AK197" s="161"/>
      <c r="AL197" s="160"/>
      <c r="AM197" s="165"/>
      <c r="AN197" s="166"/>
      <c r="AO197" s="10"/>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row>
    <row r="198" ht="25.5" customHeight="1">
      <c r="A198" s="155" cm="1">
        <f t="array" ref="A198">A197+1</f>
        <v>187</v>
      </c>
      <c r="B198" s="151"/>
      <c r="C198" s="170"/>
      <c r="D198" s="165"/>
      <c r="E198" s="164"/>
      <c r="F198" t="str" s="195" cm="1">
        <f t="array" ref="F198">IF(AG198="","",I198-H198)</f>
      </c>
      <c r="G198" s="160"/>
      <c r="H198" s="158"/>
      <c r="I198" t="str" s="159" cm="1">
        <f t="array" ref="I198">IF(AG198="","",P198-K198)</f>
      </c>
      <c r="J198" s="160"/>
      <c r="K198" s="158"/>
      <c r="L198" s="161"/>
      <c r="M198" s="161"/>
      <c r="N198" s="161"/>
      <c r="O198" s="161"/>
      <c r="P198" t="str" s="159" cm="1">
        <f t="array" ref="P198">IF(AG198="","",AC198-R198-Q198)</f>
      </c>
      <c r="Q198" s="162"/>
      <c r="R198" s="162"/>
      <c r="S198" s="161"/>
      <c r="T198" s="161"/>
      <c r="U198" s="161"/>
      <c r="V198" s="161"/>
      <c r="W198" s="161"/>
      <c r="X198" s="161"/>
      <c r="Y198" s="161"/>
      <c r="Z198" s="161"/>
      <c r="AA198" s="161"/>
      <c r="AB198" s="160"/>
      <c r="AC198" t="str" s="195" cm="1">
        <f t="array" ref="AC198">IF(AG198="","",AG198-AF198)</f>
      </c>
      <c r="AD198" s="161"/>
      <c r="AE198" s="160"/>
      <c r="AF198" s="196"/>
      <c r="AG198" s="165"/>
      <c r="AH198" s="164"/>
      <c r="AI198" s="163"/>
      <c r="AJ198" s="161"/>
      <c r="AK198" s="161"/>
      <c r="AL198" s="160"/>
      <c r="AM198" s="165"/>
      <c r="AN198" s="166"/>
      <c r="AO198" s="10"/>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row>
    <row r="199" ht="25.5" customHeight="1">
      <c r="A199" s="155" cm="1">
        <f t="array" ref="A199">A198+1</f>
        <v>188</v>
      </c>
      <c r="B199" s="151"/>
      <c r="C199" s="170"/>
      <c r="D199" s="165"/>
      <c r="E199" s="164"/>
      <c r="F199" t="str" s="195" cm="1">
        <f t="array" ref="F199">IF(AG199="","",I199-H199)</f>
      </c>
      <c r="G199" s="160"/>
      <c r="H199" s="158"/>
      <c r="I199" t="str" s="159" cm="1">
        <f t="array" ref="I199">IF(AG199="","",P199-K199)</f>
      </c>
      <c r="J199" s="160"/>
      <c r="K199" s="158"/>
      <c r="L199" s="161"/>
      <c r="M199" s="161"/>
      <c r="N199" s="161"/>
      <c r="O199" s="161"/>
      <c r="P199" t="str" s="159" cm="1">
        <f t="array" ref="P199">IF(AG199="","",AC199-R199-Q199)</f>
      </c>
      <c r="Q199" s="162"/>
      <c r="R199" s="162"/>
      <c r="S199" s="161"/>
      <c r="T199" s="161"/>
      <c r="U199" s="161"/>
      <c r="V199" s="161"/>
      <c r="W199" s="161"/>
      <c r="X199" s="161"/>
      <c r="Y199" s="161"/>
      <c r="Z199" s="161"/>
      <c r="AA199" s="161"/>
      <c r="AB199" s="160"/>
      <c r="AC199" t="str" s="195" cm="1">
        <f t="array" ref="AC199">IF(AG199="","",AG199-AF199)</f>
      </c>
      <c r="AD199" s="161"/>
      <c r="AE199" s="160"/>
      <c r="AF199" s="196"/>
      <c r="AG199" s="165"/>
      <c r="AH199" s="164"/>
      <c r="AI199" s="163"/>
      <c r="AJ199" s="161"/>
      <c r="AK199" s="161"/>
      <c r="AL199" s="160"/>
      <c r="AM199" s="165"/>
      <c r="AN199" s="166"/>
      <c r="AO199" s="10"/>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row>
    <row r="200" ht="25.5" customHeight="1">
      <c r="A200" s="155" cm="1">
        <f t="array" ref="A200">A199+1</f>
        <v>189</v>
      </c>
      <c r="B200" s="151"/>
      <c r="C200" s="170"/>
      <c r="D200" s="165"/>
      <c r="E200" s="164"/>
      <c r="F200" t="str" s="195" cm="1">
        <f t="array" ref="F200">IF(AG200="","",I200-H200)</f>
      </c>
      <c r="G200" s="160"/>
      <c r="H200" s="158"/>
      <c r="I200" t="str" s="159" cm="1">
        <f t="array" ref="I200">IF(AG200="","",P200-K200)</f>
      </c>
      <c r="J200" s="160"/>
      <c r="K200" s="158"/>
      <c r="L200" s="161"/>
      <c r="M200" s="161"/>
      <c r="N200" s="161"/>
      <c r="O200" s="161"/>
      <c r="P200" t="str" s="159" cm="1">
        <f t="array" ref="P200">IF(AG200="","",AC200-R200-Q200)</f>
      </c>
      <c r="Q200" s="162"/>
      <c r="R200" s="162"/>
      <c r="S200" s="161"/>
      <c r="T200" s="161"/>
      <c r="U200" s="161"/>
      <c r="V200" s="161"/>
      <c r="W200" s="161"/>
      <c r="X200" s="161"/>
      <c r="Y200" s="161"/>
      <c r="Z200" s="161"/>
      <c r="AA200" s="161"/>
      <c r="AB200" s="160"/>
      <c r="AC200" t="str" s="195" cm="1">
        <f t="array" ref="AC200">IF(AG200="","",AG200-AF200)</f>
      </c>
      <c r="AD200" s="161"/>
      <c r="AE200" s="160"/>
      <c r="AF200" s="196"/>
      <c r="AG200" s="165"/>
      <c r="AH200" s="164"/>
      <c r="AI200" s="163"/>
      <c r="AJ200" s="161"/>
      <c r="AK200" s="161"/>
      <c r="AL200" s="160"/>
      <c r="AM200" s="165"/>
      <c r="AN200" s="166"/>
      <c r="AO200" s="10"/>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row>
    <row r="201" ht="25.5" customHeight="1">
      <c r="A201" s="155" cm="1">
        <f t="array" ref="A201">A200+1</f>
        <v>190</v>
      </c>
      <c r="B201" s="151"/>
      <c r="C201" s="170"/>
      <c r="D201" s="165"/>
      <c r="E201" s="164"/>
      <c r="F201" t="str" s="195" cm="1">
        <f t="array" ref="F201">IF(AG201="","",I201-H201)</f>
      </c>
      <c r="G201" s="160"/>
      <c r="H201" s="158"/>
      <c r="I201" t="str" s="159" cm="1">
        <f t="array" ref="I201">IF(AG201="","",P201-K201)</f>
      </c>
      <c r="J201" s="160"/>
      <c r="K201" s="158"/>
      <c r="L201" s="161"/>
      <c r="M201" s="161"/>
      <c r="N201" s="161"/>
      <c r="O201" s="161"/>
      <c r="P201" t="str" s="159" cm="1">
        <f t="array" ref="P201">IF(AG201="","",AC201-R201-Q201)</f>
      </c>
      <c r="Q201" s="162"/>
      <c r="R201" s="162"/>
      <c r="S201" s="161"/>
      <c r="T201" s="161"/>
      <c r="U201" s="161"/>
      <c r="V201" s="161"/>
      <c r="W201" s="161"/>
      <c r="X201" s="161"/>
      <c r="Y201" s="161"/>
      <c r="Z201" s="161"/>
      <c r="AA201" s="161"/>
      <c r="AB201" s="160"/>
      <c r="AC201" t="str" s="195" cm="1">
        <f t="array" ref="AC201">IF(AG201="","",AG201-AF201)</f>
      </c>
      <c r="AD201" s="161"/>
      <c r="AE201" s="160"/>
      <c r="AF201" s="196"/>
      <c r="AG201" s="165"/>
      <c r="AH201" s="164"/>
      <c r="AI201" s="163"/>
      <c r="AJ201" s="161"/>
      <c r="AK201" s="161"/>
      <c r="AL201" s="160"/>
      <c r="AM201" s="165"/>
      <c r="AN201" s="166"/>
      <c r="AO201" s="10"/>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row>
    <row r="202" ht="25.5" customHeight="1">
      <c r="A202" s="155" cm="1">
        <f t="array" ref="A202">A201+1</f>
        <v>191</v>
      </c>
      <c r="B202" s="151"/>
      <c r="C202" s="170"/>
      <c r="D202" s="165"/>
      <c r="E202" s="164"/>
      <c r="F202" t="str" s="195" cm="1">
        <f t="array" ref="F202">IF(AG202="","",I202-H202)</f>
      </c>
      <c r="G202" s="160"/>
      <c r="H202" s="158"/>
      <c r="I202" t="str" s="159" cm="1">
        <f t="array" ref="I202">IF(AG202="","",P202-K202)</f>
      </c>
      <c r="J202" s="160"/>
      <c r="K202" s="158"/>
      <c r="L202" s="161"/>
      <c r="M202" s="161"/>
      <c r="N202" s="161"/>
      <c r="O202" s="161"/>
      <c r="P202" t="str" s="159" cm="1">
        <f t="array" ref="P202">IF(AG202="","",AC202-R202-Q202)</f>
      </c>
      <c r="Q202" s="162"/>
      <c r="R202" s="162"/>
      <c r="S202" s="161"/>
      <c r="T202" s="161"/>
      <c r="U202" s="161"/>
      <c r="V202" s="161"/>
      <c r="W202" s="161"/>
      <c r="X202" s="161"/>
      <c r="Y202" s="161"/>
      <c r="Z202" s="161"/>
      <c r="AA202" s="161"/>
      <c r="AB202" s="160"/>
      <c r="AC202" t="str" s="195" cm="1">
        <f t="array" ref="AC202">IF(AG202="","",AG202-AF202)</f>
      </c>
      <c r="AD202" s="161"/>
      <c r="AE202" s="160"/>
      <c r="AF202" s="196"/>
      <c r="AG202" s="165"/>
      <c r="AH202" s="164"/>
      <c r="AI202" s="163"/>
      <c r="AJ202" s="161"/>
      <c r="AK202" s="161"/>
      <c r="AL202" s="160"/>
      <c r="AM202" s="165"/>
      <c r="AN202" s="166"/>
      <c r="AO202" s="10"/>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row>
    <row r="203" ht="25.5" customHeight="1">
      <c r="A203" s="155" cm="1">
        <f t="array" ref="A203">A202+1</f>
        <v>192</v>
      </c>
      <c r="B203" s="151"/>
      <c r="C203" s="170"/>
      <c r="D203" s="165"/>
      <c r="E203" s="164"/>
      <c r="F203" t="str" s="195" cm="1">
        <f t="array" ref="F203">IF(AG203="","",I203-H203)</f>
      </c>
      <c r="G203" s="160"/>
      <c r="H203" s="158"/>
      <c r="I203" t="str" s="159" cm="1">
        <f t="array" ref="I203">IF(AG203="","",P203-K203)</f>
      </c>
      <c r="J203" s="160"/>
      <c r="K203" s="158"/>
      <c r="L203" s="161"/>
      <c r="M203" s="161"/>
      <c r="N203" s="161"/>
      <c r="O203" s="161"/>
      <c r="P203" t="str" s="159" cm="1">
        <f t="array" ref="P203">IF(AG203="","",AC203-R203-Q203)</f>
      </c>
      <c r="Q203" s="162"/>
      <c r="R203" s="162"/>
      <c r="S203" s="161"/>
      <c r="T203" s="161"/>
      <c r="U203" s="161"/>
      <c r="V203" s="161"/>
      <c r="W203" s="161"/>
      <c r="X203" s="161"/>
      <c r="Y203" s="161"/>
      <c r="Z203" s="161"/>
      <c r="AA203" s="161"/>
      <c r="AB203" s="160"/>
      <c r="AC203" t="str" s="195" cm="1">
        <f t="array" ref="AC203">IF(AG203="","",AG203-AF203)</f>
      </c>
      <c r="AD203" s="161"/>
      <c r="AE203" s="160"/>
      <c r="AF203" s="196"/>
      <c r="AG203" s="165"/>
      <c r="AH203" s="164"/>
      <c r="AI203" s="163"/>
      <c r="AJ203" s="161"/>
      <c r="AK203" s="161"/>
      <c r="AL203" s="160"/>
      <c r="AM203" s="165"/>
      <c r="AN203" s="166"/>
      <c r="AO203" s="10"/>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row>
    <row r="204" ht="25.5" customHeight="1">
      <c r="A204" s="155" cm="1">
        <f t="array" ref="A204">A203+1</f>
        <v>193</v>
      </c>
      <c r="B204" s="151"/>
      <c r="C204" s="170"/>
      <c r="D204" s="165"/>
      <c r="E204" s="164"/>
      <c r="F204" t="str" s="195" cm="1">
        <f t="array" ref="F204">IF(AG204="","",I204-H204)</f>
      </c>
      <c r="G204" s="160"/>
      <c r="H204" s="158"/>
      <c r="I204" t="str" s="159" cm="1">
        <f t="array" ref="I204">IF(AG204="","",P204-K204)</f>
      </c>
      <c r="J204" s="160"/>
      <c r="K204" s="158"/>
      <c r="L204" s="161"/>
      <c r="M204" s="161"/>
      <c r="N204" s="161"/>
      <c r="O204" s="161"/>
      <c r="P204" t="str" s="159" cm="1">
        <f t="array" ref="P204">IF(AG204="","",AC204-R204-Q204)</f>
      </c>
      <c r="Q204" s="162"/>
      <c r="R204" s="162"/>
      <c r="S204" s="161"/>
      <c r="T204" s="161"/>
      <c r="U204" s="161"/>
      <c r="V204" s="161"/>
      <c r="W204" s="161"/>
      <c r="X204" s="161"/>
      <c r="Y204" s="161"/>
      <c r="Z204" s="161"/>
      <c r="AA204" s="161"/>
      <c r="AB204" s="160"/>
      <c r="AC204" t="str" s="195" cm="1">
        <f t="array" ref="AC204">IF(AG204="","",AG204-AF204)</f>
      </c>
      <c r="AD204" s="161"/>
      <c r="AE204" s="160"/>
      <c r="AF204" s="196"/>
      <c r="AG204" s="165"/>
      <c r="AH204" s="164"/>
      <c r="AI204" s="163"/>
      <c r="AJ204" s="161"/>
      <c r="AK204" s="161"/>
      <c r="AL204" s="160"/>
      <c r="AM204" s="165"/>
      <c r="AN204" s="166"/>
      <c r="AO204" s="10"/>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row>
    <row r="205" ht="25.5" customHeight="1">
      <c r="A205" s="155" cm="1">
        <f t="array" ref="A205">A204+1</f>
        <v>194</v>
      </c>
      <c r="B205" s="151"/>
      <c r="C205" s="170"/>
      <c r="D205" s="165"/>
      <c r="E205" s="164"/>
      <c r="F205" t="str" s="195" cm="1">
        <f t="array" ref="F205">IF(AG205="","",I205-H205)</f>
      </c>
      <c r="G205" s="160"/>
      <c r="H205" s="158"/>
      <c r="I205" t="str" s="159" cm="1">
        <f t="array" ref="I205">IF(AG205="","",P205-K205)</f>
      </c>
      <c r="J205" s="160"/>
      <c r="K205" s="158"/>
      <c r="L205" s="161"/>
      <c r="M205" s="161"/>
      <c r="N205" s="161"/>
      <c r="O205" s="161"/>
      <c r="P205" t="str" s="159" cm="1">
        <f t="array" ref="P205">IF(AG205="","",AC205-R205-Q205)</f>
      </c>
      <c r="Q205" s="162"/>
      <c r="R205" s="162"/>
      <c r="S205" s="161"/>
      <c r="T205" s="161"/>
      <c r="U205" s="161"/>
      <c r="V205" s="161"/>
      <c r="W205" s="161"/>
      <c r="X205" s="161"/>
      <c r="Y205" s="161"/>
      <c r="Z205" s="161"/>
      <c r="AA205" s="161"/>
      <c r="AB205" s="160"/>
      <c r="AC205" t="str" s="195" cm="1">
        <f t="array" ref="AC205">IF(AG205="","",AG205-AF205)</f>
      </c>
      <c r="AD205" s="161"/>
      <c r="AE205" s="160"/>
      <c r="AF205" s="196"/>
      <c r="AG205" s="165"/>
      <c r="AH205" s="164"/>
      <c r="AI205" s="163"/>
      <c r="AJ205" s="161"/>
      <c r="AK205" s="161"/>
      <c r="AL205" s="160"/>
      <c r="AM205" s="165"/>
      <c r="AN205" s="166"/>
      <c r="AO205" s="10"/>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row>
    <row r="206" ht="25.5" customHeight="1">
      <c r="A206" s="155" cm="1">
        <f t="array" ref="A206">A205+1</f>
        <v>195</v>
      </c>
      <c r="B206" s="151"/>
      <c r="C206" s="170"/>
      <c r="D206" s="165"/>
      <c r="E206" s="164"/>
      <c r="F206" t="str" s="195" cm="1">
        <f t="array" ref="F206">IF(AG206="","",I206-H206)</f>
      </c>
      <c r="G206" s="160"/>
      <c r="H206" s="158"/>
      <c r="I206" t="str" s="159" cm="1">
        <f t="array" ref="I206">IF(AG206="","",P206-K206)</f>
      </c>
      <c r="J206" s="160"/>
      <c r="K206" s="158"/>
      <c r="L206" s="161"/>
      <c r="M206" s="161"/>
      <c r="N206" s="161"/>
      <c r="O206" s="161"/>
      <c r="P206" t="str" s="159" cm="1">
        <f t="array" ref="P206">IF(AG206="","",AC206-R206-Q206)</f>
      </c>
      <c r="Q206" s="162"/>
      <c r="R206" s="162"/>
      <c r="S206" s="161"/>
      <c r="T206" s="161"/>
      <c r="U206" s="161"/>
      <c r="V206" s="161"/>
      <c r="W206" s="161"/>
      <c r="X206" s="161"/>
      <c r="Y206" s="161"/>
      <c r="Z206" s="161"/>
      <c r="AA206" s="161"/>
      <c r="AB206" s="160"/>
      <c r="AC206" t="str" s="195" cm="1">
        <f t="array" ref="AC206">IF(AG206="","",AG206-AF206)</f>
      </c>
      <c r="AD206" s="161"/>
      <c r="AE206" s="160"/>
      <c r="AF206" s="196"/>
      <c r="AG206" s="165"/>
      <c r="AH206" s="164"/>
      <c r="AI206" s="163"/>
      <c r="AJ206" s="161"/>
      <c r="AK206" s="161"/>
      <c r="AL206" s="160"/>
      <c r="AM206" s="165"/>
      <c r="AN206" s="166"/>
      <c r="AO206" s="10"/>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row>
    <row r="207" ht="25.5" customHeight="1">
      <c r="A207" s="155" cm="1">
        <f t="array" ref="A207">A206+1</f>
        <v>196</v>
      </c>
      <c r="B207" s="151"/>
      <c r="C207" s="170"/>
      <c r="D207" s="165"/>
      <c r="E207" s="164"/>
      <c r="F207" t="str" s="195" cm="1">
        <f t="array" ref="F207">IF(AG207="","",I207-H207)</f>
      </c>
      <c r="G207" s="160"/>
      <c r="H207" s="158"/>
      <c r="I207" t="str" s="159" cm="1">
        <f t="array" ref="I207">IF(AG207="","",P207-K207)</f>
      </c>
      <c r="J207" s="160"/>
      <c r="K207" s="158"/>
      <c r="L207" s="161"/>
      <c r="M207" s="161"/>
      <c r="N207" s="161"/>
      <c r="O207" s="161"/>
      <c r="P207" t="str" s="159" cm="1">
        <f t="array" ref="P207">IF(AG207="","",AC207-R207-Q207)</f>
      </c>
      <c r="Q207" s="162"/>
      <c r="R207" s="162"/>
      <c r="S207" s="161"/>
      <c r="T207" s="161"/>
      <c r="U207" s="161"/>
      <c r="V207" s="161"/>
      <c r="W207" s="161"/>
      <c r="X207" s="161"/>
      <c r="Y207" s="161"/>
      <c r="Z207" s="161"/>
      <c r="AA207" s="161"/>
      <c r="AB207" s="160"/>
      <c r="AC207" t="str" s="195" cm="1">
        <f t="array" ref="AC207">IF(AG207="","",AG207-AF207)</f>
      </c>
      <c r="AD207" s="161"/>
      <c r="AE207" s="160"/>
      <c r="AF207" s="196"/>
      <c r="AG207" s="165"/>
      <c r="AH207" s="164"/>
      <c r="AI207" s="163"/>
      <c r="AJ207" s="161"/>
      <c r="AK207" s="161"/>
      <c r="AL207" s="160"/>
      <c r="AM207" s="165"/>
      <c r="AN207" s="166"/>
      <c r="AO207" s="10"/>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row>
    <row r="208" ht="25.5" customHeight="1">
      <c r="A208" s="155" cm="1">
        <f t="array" ref="A208">A207+1</f>
        <v>197</v>
      </c>
      <c r="B208" s="151"/>
      <c r="C208" s="170"/>
      <c r="D208" s="165"/>
      <c r="E208" s="164"/>
      <c r="F208" t="str" s="195" cm="1">
        <f t="array" ref="F208">IF(AG208="","",I208-H208)</f>
      </c>
      <c r="G208" s="160"/>
      <c r="H208" s="158"/>
      <c r="I208" t="str" s="159" cm="1">
        <f t="array" ref="I208">IF(AG208="","",P208-K208)</f>
      </c>
      <c r="J208" s="160"/>
      <c r="K208" s="158"/>
      <c r="L208" s="161"/>
      <c r="M208" s="161"/>
      <c r="N208" s="161"/>
      <c r="O208" s="161"/>
      <c r="P208" t="str" s="159" cm="1">
        <f t="array" ref="P208">IF(AG208="","",AC208-R208-Q208)</f>
      </c>
      <c r="Q208" s="162"/>
      <c r="R208" s="162"/>
      <c r="S208" s="161"/>
      <c r="T208" s="161"/>
      <c r="U208" s="161"/>
      <c r="V208" s="161"/>
      <c r="W208" s="161"/>
      <c r="X208" s="161"/>
      <c r="Y208" s="161"/>
      <c r="Z208" s="161"/>
      <c r="AA208" s="161"/>
      <c r="AB208" s="160"/>
      <c r="AC208" t="str" s="195" cm="1">
        <f t="array" ref="AC208">IF(AG208="","",AG208-AF208)</f>
      </c>
      <c r="AD208" s="161"/>
      <c r="AE208" s="160"/>
      <c r="AF208" s="196"/>
      <c r="AG208" s="165"/>
      <c r="AH208" s="164"/>
      <c r="AI208" s="163"/>
      <c r="AJ208" s="161"/>
      <c r="AK208" s="161"/>
      <c r="AL208" s="160"/>
      <c r="AM208" s="165"/>
      <c r="AN208" s="166"/>
      <c r="AO208" s="10"/>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row>
    <row r="209" ht="25.5" customHeight="1">
      <c r="A209" s="155" cm="1">
        <f t="array" ref="A209">A208+1</f>
        <v>198</v>
      </c>
      <c r="B209" s="151"/>
      <c r="C209" s="170"/>
      <c r="D209" s="165"/>
      <c r="E209" s="164"/>
      <c r="F209" t="str" s="195" cm="1">
        <f t="array" ref="F209">IF(AG209="","",I209-H209)</f>
      </c>
      <c r="G209" s="160"/>
      <c r="H209" s="158"/>
      <c r="I209" t="str" s="159" cm="1">
        <f t="array" ref="I209">IF(AG209="","",P209-K209)</f>
      </c>
      <c r="J209" s="160"/>
      <c r="K209" s="158"/>
      <c r="L209" s="161"/>
      <c r="M209" s="161"/>
      <c r="N209" s="161"/>
      <c r="O209" s="161"/>
      <c r="P209" t="str" s="159" cm="1">
        <f t="array" ref="P209">IF(AG209="","",AC209-R209-Q209)</f>
      </c>
      <c r="Q209" s="162"/>
      <c r="R209" s="162"/>
      <c r="S209" s="161"/>
      <c r="T209" s="161"/>
      <c r="U209" s="161"/>
      <c r="V209" s="161"/>
      <c r="W209" s="161"/>
      <c r="X209" s="161"/>
      <c r="Y209" s="161"/>
      <c r="Z209" s="161"/>
      <c r="AA209" s="161"/>
      <c r="AB209" s="160"/>
      <c r="AC209" t="str" s="195" cm="1">
        <f t="array" ref="AC209">IF(AG209="","",AG209-AF209)</f>
      </c>
      <c r="AD209" s="161"/>
      <c r="AE209" s="160"/>
      <c r="AF209" s="196"/>
      <c r="AG209" s="165"/>
      <c r="AH209" s="164"/>
      <c r="AI209" s="163"/>
      <c r="AJ209" s="161"/>
      <c r="AK209" s="161"/>
      <c r="AL209" s="160"/>
      <c r="AM209" s="165"/>
      <c r="AN209" s="166"/>
      <c r="AO209" s="10"/>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row>
    <row r="210" ht="25.5" customHeight="1">
      <c r="A210" s="155" cm="1">
        <f t="array" ref="A210">A209+1</f>
        <v>199</v>
      </c>
      <c r="B210" s="151"/>
      <c r="C210" s="170"/>
      <c r="D210" s="165"/>
      <c r="E210" s="164"/>
      <c r="F210" t="str" s="195" cm="1">
        <f t="array" ref="F210">IF(AG210="","",I210-H210)</f>
      </c>
      <c r="G210" s="160"/>
      <c r="H210" s="158"/>
      <c r="I210" t="str" s="159" cm="1">
        <f t="array" ref="I210">IF(AG210="","",P210-K210)</f>
      </c>
      <c r="J210" s="160"/>
      <c r="K210" s="158"/>
      <c r="L210" s="161"/>
      <c r="M210" s="161"/>
      <c r="N210" s="161"/>
      <c r="O210" s="161"/>
      <c r="P210" t="str" s="159" cm="1">
        <f t="array" ref="P210">IF(AG210="","",AC210-R210-Q210)</f>
      </c>
      <c r="Q210" s="162"/>
      <c r="R210" s="162"/>
      <c r="S210" s="161"/>
      <c r="T210" s="161"/>
      <c r="U210" s="161"/>
      <c r="V210" s="161"/>
      <c r="W210" s="161"/>
      <c r="X210" s="161"/>
      <c r="Y210" s="161"/>
      <c r="Z210" s="161"/>
      <c r="AA210" s="161"/>
      <c r="AB210" s="160"/>
      <c r="AC210" t="str" s="195" cm="1">
        <f t="array" ref="AC210">IF(AG210="","",AG210-AF210)</f>
      </c>
      <c r="AD210" s="161"/>
      <c r="AE210" s="160"/>
      <c r="AF210" s="196"/>
      <c r="AG210" s="165"/>
      <c r="AH210" s="164"/>
      <c r="AI210" s="163"/>
      <c r="AJ210" s="161"/>
      <c r="AK210" s="161"/>
      <c r="AL210" s="160"/>
      <c r="AM210" s="165"/>
      <c r="AN210" s="166"/>
      <c r="AO210" s="10"/>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row>
  </sheetData>
  <mergeCells count="71">
    <mergeCell ref="AN3:AN9"/>
    <mergeCell ref="AK4:AL4"/>
    <mergeCell ref="AF3:AF9"/>
    <mergeCell ref="AI3:AL3"/>
    <mergeCell ref="AM3:AM9"/>
    <mergeCell ref="AI5:AI9"/>
    <mergeCell ref="AJ5:AJ9"/>
    <mergeCell ref="AK5:AK9"/>
    <mergeCell ref="AL5:AL9"/>
    <mergeCell ref="AI4:AJ4"/>
    <mergeCell ref="A4:A9"/>
    <mergeCell ref="B4:B9"/>
    <mergeCell ref="D4:D9"/>
    <mergeCell ref="F4:F9"/>
    <mergeCell ref="G4:G9"/>
    <mergeCell ref="E4:E9"/>
    <mergeCell ref="H3:J3"/>
    <mergeCell ref="AI1:AK1"/>
    <mergeCell ref="AL1:AN1"/>
    <mergeCell ref="AD4:AD9"/>
    <mergeCell ref="A2:B2"/>
    <mergeCell ref="AI2:AK2"/>
    <mergeCell ref="AL2:AN2"/>
    <mergeCell ref="A1:AH1"/>
    <mergeCell ref="C2:AH2"/>
    <mergeCell ref="A3:B3"/>
    <mergeCell ref="F3:G3"/>
    <mergeCell ref="K3:T3"/>
    <mergeCell ref="K4:K9"/>
    <mergeCell ref="L4:M4"/>
    <mergeCell ref="N4:O4"/>
    <mergeCell ref="P4:P9"/>
    <mergeCell ref="N5:N9"/>
    <mergeCell ref="O5:O9"/>
    <mergeCell ref="S5:S9"/>
    <mergeCell ref="T5:T9"/>
    <mergeCell ref="Q4:Q9"/>
    <mergeCell ref="R4:R9"/>
    <mergeCell ref="S4:T4"/>
    <mergeCell ref="AC4:AC9"/>
    <mergeCell ref="AE4:AE9"/>
    <mergeCell ref="AG3:AG6"/>
    <mergeCell ref="AH3:AH6"/>
    <mergeCell ref="AC3:AE3"/>
    <mergeCell ref="H4:H9"/>
    <mergeCell ref="L5:L9"/>
    <mergeCell ref="M5:M9"/>
    <mergeCell ref="I4:I9"/>
    <mergeCell ref="J4:J9"/>
    <mergeCell ref="AV5:AV9"/>
    <mergeCell ref="AW5:AW9"/>
    <mergeCell ref="AQ3:AQ9"/>
    <mergeCell ref="AR3:AR9"/>
    <mergeCell ref="AS3:AS9"/>
    <mergeCell ref="AT3:AU4"/>
    <mergeCell ref="AV3:AW4"/>
    <mergeCell ref="AT5:AT9"/>
    <mergeCell ref="AU5:AU9"/>
    <mergeCell ref="U4:V4"/>
    <mergeCell ref="U5:U9"/>
    <mergeCell ref="V5:V9"/>
    <mergeCell ref="W4:X4"/>
    <mergeCell ref="Y4:Z4"/>
    <mergeCell ref="AA4:AB4"/>
    <mergeCell ref="W5:W9"/>
    <mergeCell ref="X5:X9"/>
    <mergeCell ref="Y5:Y9"/>
    <mergeCell ref="Z5:Z9"/>
    <mergeCell ref="AA5:AA9"/>
    <mergeCell ref="AB5:AB9"/>
    <mergeCell ref="AP2:BD2"/>
  </mergeCells>
  <conditionalFormatting sqref="D11 G11 J11 L11 AE11 AI11:AL11 D12 G12 J12 L12:O12 AE12 AI12:AL12 D13 G13 J13 L13:O13 AE13 AI13:AL13 D14 G14 J14 L14:O14 AE14 AI14:AL14 D15 G15 J15 L15:O15 AE15 AI15:AL15 D16 G16 J16 L16:O16 AE16 AI16:AL16 D17 G17 J17 L17:O17 AE17 AI17:AL17 D18 G18 J18 L18:O18 AE18 AI18:AL18 D19 G19 J19 L19:O19 AE19 AI19:AL19 D20 G20 J20 L20:O20 AE20 AI20:AL20 D21 G21 J21 L21:O21 AE21 AI21:AL21 D22 G22 J22 L22:O22 AE22 AI22:AL22 D23 G23 J23 L23:O23 AE23 AI23:AL23 D24 G24 J24 L24:O24 AE24 AI24:AL24 D25 G25 J25 L25:O25 AE25 AI25:AL25 D26 G26 J26 L26:O26 AE26 AI26:AL26 D27 G27 J27 L27:O27 AE27 AI27:AL27 D28 G28 J28 L28:O28 AE28 AI28:AL28 D29 G29 J29 L29:O29 AE29 AI29:AL29 D30 G30 J30 L30:O30 AE30 AI30:AL30 D31 G31 J31 L31:O31 AE31 AI31:AL31 D32 G32 J32 L32:O32 AE32 AI32:AL32 D33 G33 J33 L33:O33 AE33 AI33:AL33 D34 G34 J34 L34:O34 AE34 AI34:AL34 D35 G35 J35 L35:O35 AE35 AI35:AL35 D36 G36 J36 L36:O36 AE36 AI36:AL36 D37 G37 J37 L37:O37 AE37 AI37:AL37 D38 G38 J38 L38:O38 AE38 AI38:AL38 D39 G39 J39 L39:O39 AE39 AI39:AL39 D40 G40 J40 L40:O40 AE40 AI40:AL40 D41 G41 J41 L41:O41 AE41 AI41:AL41 D42 G42 J42 L42:O42 AE42 AI42:AL42 D43 G43 J43 L43:O43 AE43 AI43:AL43 D44 G44 J44 L44:O44 AE44 AI44:AL44 D45 G45 J45 L45:O45 AE45 AI45:AL45 D46 G46 J46 L46:O46 AE46 AI46:AL46 D47 G47 J47 L47:O47 AE47 AI47:AL47 D48 G48 J48 L48:O48 AE48 AI48:AL48 D49 G49 J49 L49:O49 AE49 AI49:AL49 D50 G50 J50 L50:O50 AE50 AI50:AL50 D51 G51 J51 L51:O51 AE51 AI51:AL51 D52 G52 J52 L52:O52 AE52 AI52:AL52 D53 G53 J53 L53:O53 AE53 AI53:AL53 D54 G54 J54 L54:O54 AE54 AI54:AL54 D55 G55 J55 L55:O55 AE55 AI55:AL55 D56 G56 J56 L56:O56 AE56 AI56:AL56 D57 G57 J57 L57:O57 AE57 AI57:AL57 D58 G58 J58 L58:O58 AE58 AI58:AL58 D59 G59 J59 L59:O59 AE59 AI59:AL59 D60 G60 J60 L60:O60 AE60 AI60:AL60 D61 G61 J61 L61:O61 AE61 AI61:AL61 D62 G62 J62 L62:O62 AE62 AI62:AL62 D63 G63 J63 L63:O63 AE63 AI63:AL63 D64 G64 J64 L64:O64 AE64 AI64:AL64 D65 G65 J65 L65:O65 AE65 AI65:AL65 D66 G66 J66 L66:O66 AE66 AI66:AL66 D67 G67 J67 L67:O67 AE67 AI67:AL67 D68 G68 J68 L68:O68 AE68 AI68:AL68 D69 G69 J69 L69:O69 AE69 AI69:AL69 D70 G70 J70 L70:O70 AE70 AI70:AL70 D71 G71 J71 L71:O71 AE71 AI71:AL71 D72 G72 J72 L72:O72 AE72 AI72:AL72 D73 G73 J73 L73:O73 AE73 AI73:AL73 D74 G74 J74 L74:O74 AE74 AI74:AL74 D75 G75 J75 L75:O75 AE75 AI75:AL75 D76 G76 J76 L76:O76 AE76 AI76:AL76 D77 G77 J77 L77:O77 AE77 AI77:AL77 D78 G78 J78 L78:O78 AE78 AI78:AL78 D79 G79 J79 L79:O79 AE79 AI79:AL79 D80 G80 J80 L80:O80 AE80 AI80:AL80 D81 G81 J81 L81:O81 AE81 AI81:AL81 D82 G82 J82 L82:O82 AE82 AI82:AL82 D83 G83 J83 L83:O83 AE83 AI83:AL83 D84 G84 J84 L84:O84 AE84 AI84:AL84 D85 G85 J85 L85:O85 AE85 AI85:AL85 D86 G86 J86 L86:O86 AE86 AI86:AL86 D87 G87 J87 L87:O87 AE87 AI87:AL87 D88 G88 J88 L88:O88 AE88 AI88:AL88 D89 G89 J89 L89:O89 AE89 AI89:AL89 D90 G90 J90 L90:O90 AE90 AI90:AL90 D91 G91 J91 L91:O91 AE91 AI91:AL91 D92 G92 J92 L92:O92 AE92 AI92:AL92 D93 G93 J93 L93:O93 AE93 AI93:AL93 D94 G94 J94 L94:O94 AE94 AI94:AL94 D95 G95 J95 L95:O95 AE95 AI95:AL95 D96 G96 J96 L96:O96 AE96 AI96:AL96 D97 G97 J97 L97:O97 AE97 AI97:AL97 D98 G98 J98 L98:O98 AE98 AI98:AL98 D99 G99 J99 L99:O99 AE99 AI99:AL99 D100 G100 J100 L100:O100 AE100 AI100:AL100 D101 G101 J101 L101:O101 AE101 AI101:AL101 D102 G102 J102 L102:O102 AE102 AI102:AL102 D103 G103 J103 L103:O103 AE103 AI103:AL103 D104 G104 J104 L104:O104 AE104 AI104:AL104 D105 G105 J105 L105:O105 AE105 AI105:AL105 D106 G106 J106 L106:O106 AE106 AI106:AL106 D107 G107 J107 L107:O107 AE107 AI107:AL107 D108 G108 J108 L108:O108 AE108 AI108:AL108 D109 G109 J109 L109:O109 AE109 AI109:AL109 D110 G110 J110 L110:O110 AE110 AI110:AL110 D111 G111 J111 L111:O111 AE111 AI111:AL111 D112 G112 J112 L112:O112 AE112 AI112:AL112 D113 G113 J113 L113:O113 AE113 AI113:AL113 D114 G114 J114 L114:O114 AE114 AI114:AL114 D115 G115 J115 L115:O115 AE115 AI115:AL115 D116 G116 J116 L116:O116 AE116 AI116:AL116 D117 G117 J117 L117:O117 AE117 AI117:AL117 D118 G118 J118 L118:O118 AE118 AI118:AL118 D119 G119 J119 L119:O119 AE119 AI119:AL119 D120 G120 J120 L120:O120 AE120 AI120:AL120 D121 G121 J121 L121:O121 AE121 AI121:AL121 D122 G122 J122 L122:O122 AE122 AI122:AL122 D123 G123 J123 L123:O123 AE123 AI123:AL123 D124 G124 J124 L124:O124 AE124 AI124:AL124 D125 G125 J125 L125:O125 AE125 AI125:AL125 D126 G126 J126 L126:O126 AE126 AI126:AL126 D127 G127 J127 L127:O127 AE127 AI127:AL127 D128 G128 J128 L128:O128 AE128 AI128:AL128 D129 G129 J129 L129:O129 AE129 AI129:AL129 D130 G130 J130 L130:O130 AE130 AI130:AL130 D131 G131 J131 L131:O131 AE131 AI131:AL131 D132 G132 J132 L132:O132 AE132 AI132:AL132 D133 G133 J133 L133:O133 AE133 AI133:AL133 D134 G134 J134 L134:O134 AE134 AI134:AL134 D135 G135 J135 L135:O135 AE135 AI135:AL135 D136 G136 J136 L136:O136 AE136 AI136:AL136 D137 G137 J137 L137:O137 AE137 AI137:AL137 D138 G138 J138 L138:O138 AE138 AI138:AL138 D139 G139 J139 L139:O139 AE139 AI139:AL139 D140 G140 J140 L140:O140 AE140 AI140:AL140 D141 G141 J141 L141:O141 AE141 AI141:AL141 D142 G142 J142 L142:O142 AE142 AI142:AL142 D143 G143 J143 L143:O143 AE143 AI143:AL143 D144 G144 J144 L144:O144 AE144 AI144:AL144 D145 G145 J145 L145:O145 AE145 AI145:AL145 D146 G146 J146 L146:O146 AE146 AI146:AL146 D147 G147 J147 L147:O147 AE147 AI147:AL147 D148 G148 J148 L148:O148 AE148 AI148:AL148 D149 G149 J149 L149:O149 AE149 AI149:AL149 D150 G150 J150 L150:O150 AE150 AI150:AL150 D151 G151 J151 L151:O151 AE151 AI151:AL151 D152 G152 J152 L152:O152 AE152 AI152:AL152 D153 G153 J153 L153:O153 AE153 AI153:AL153 D154 G154 J154 L154:O154 AE154 AI154:AL154 D155 G155 J155 L155:O155 AE155 AI155:AL155 D156 G156 J156 L156:O156 AE156 AI156:AL156 D157 G157 J157 L157:O157 AE157 AI157:AL157 D158 G158 J158 L158:O158 AE158 AI158:AL158 D159 G159 J159 L159:O159 AE159 AI159:AL159 D160 G160 J160 L160:O160 AE160 AI160:AL160 D161 G161 J161 L161:O161 AE161 AI161:AL161 D162 G162 J162 L162:O162 AE162 AI162:AL162 D163 G163 J163 L163:O163 AE163 AI163:AL163 D164 G164 J164 L164:O164 AE164 AI164:AL164 D165 G165 J165 L165:O165 AE165 AI165:AL165 D166 G166 J166 L166:O166 AE166 AI166:AL166 D167 G167 J167 L167:O167 AE167 AI167:AL167 D168 G168 J168 L168:O168 AE168 AI168:AL168 D169 G169 J169 L169:O169 AE169 AI169:AL169 D170 G170 J170 L170:O170 AE170 AI170:AL170 D171 G171 J171 L171:O171 AE171 AI171:AL171 D172 G172 J172 L172:O172 AE172 AI172:AL172 D173 G173 J173 L173:O173 AE173 AI173:AL173 D174 G174 J174 L174:O174 AE174 AI174:AL174 D175 G175 J175 L175:O175 AE175 AI175:AL175 D176 G176 J176 L176:O176 AE176 AI176:AL176 D177 G177 J177 L177:O177 AE177 AI177:AL177 D178 G178 J178 L178:O178 AE178 AI178:AL178 D179 G179 J179 L179:O179 AE179 AI179:AL179 D180 G180 J180 L180:O180 AE180 AI180:AL180 D181 G181 J181 L181:O181 AE181 AI181:AL181 D182 G182 J182 L182:O182 AE182 AI182:AL182 D183 G183 J183 L183:O183 AE183 AI183:AL183 D184 G184 J184 L184:O184 AE184 AI184:AL184 D185 G185 J185 L185:O185 AE185 AI185:AL185 D186 G186 J186 L186:O186 AE186 AI186:AL186 D187 G187 J187 L187:O187 AE187 AI187:AL187 D188 G188 J188 L188:O188 AE188 AI188:AL188 D189 G189 J189 L189:O189 AE189 AI189:AL189 D190 G190 J190 L190:O190 AE190 AI190:AL190 D191 G191 J191 L191:O191 AE191 AI191:AL191 D192 G192 J192 L192:O192 AE192 AI192:AL192 D193 G193 J193 L193:O193 AE193 AI193:AL193 D194 G194 J194 L194:O194 AE194 AI194:AL194 D195 G195 J195 L195:O195 AE195 AI195:AL195 D196 G196 J196 L196:O196 AE196 AI196:AL196 D197 G197 J197 L197:O197 AE197 AI197:AL197 D198 G198 J198 L198:O198 AE198 AI198:AL198 D199 G199 J199 L199:O199 AE199 AI199:AL199 D200 G200 J200 L200:O200 AE200 AI200:AL200 D201 G201 J201 L201:O201 AE201 AI201:AL201 D202 G202 J202 L202:O202 AE202 AI202:AL202 D203 G203 J203 L203:O203 AE203 AI203:AL203 D204 G204 J204 L204:O204 AE204 AI204:AL204 D205 G205 J205 L205:O205 AE205 AI205:AL205 D206 G206 J206 L206:O206 AE206 AI206:AL206 D207 G207 J207 L207:O207 AE207 AI207:AL207 D208 G208 J208 L208:O208 AE208 AI208:AL208 D209 G209 J209 L209:O209 AE209 AI209:AL209 D210 G210 J210 L210:O210 AE210 AI210:AL210">
    <cfRule type="notContainsBlanks" dxfId="4" priority="1" stopIfTrue="1">
      <formula>NOT(ISBLANK(D11))</formula>
    </cfRule>
  </conditionalFormatting>
  <conditionalFormatting sqref="H11 K11 Q11:R11">
    <cfRule type="cellIs" dxfId="5" priority="1" operator="lessThan" stopIfTrue="1">
      <formula>0</formula>
    </cfRule>
    <cfRule type="notContainsBlanks" dxfId="6" priority="2" stopIfTrue="1">
      <formula>NOT(ISBLANK(H11))</formula>
    </cfRule>
    <cfRule type="notContainsBlanks" dxfId="7" priority="3" stopIfTrue="1">
      <formula>NOT(ISBLANK(H11))</formula>
    </cfRule>
  </conditionalFormatting>
  <conditionalFormatting sqref="M11:O11">
    <cfRule type="notContainsBlanks" dxfId="8" priority="1" stopIfTrue="1">
      <formula>NOT(ISBLANK(M11))</formula>
    </cfRule>
    <cfRule type="notContainsBlanks" dxfId="9" priority="2" stopIfTrue="1">
      <formula>NOT(ISBLANK(M11))</formula>
    </cfRule>
  </conditionalFormatting>
  <conditionalFormatting sqref="S11:AB11">
    <cfRule type="notContainsBlanks" dxfId="10" priority="1" stopIfTrue="1">
      <formula>NOT(ISBLANK(S11))</formula>
    </cfRule>
    <cfRule type="notContainsBlanks" dxfId="11" priority="2" stopIfTrue="1">
      <formula>NOT(ISBLANK(S11))</formula>
    </cfRule>
  </conditionalFormatting>
  <conditionalFormatting sqref="AF11 H12 K12 Q12:R12 AF12 H13 K13 Q13:R13 AF13 H14 K14 Q14:R14 AF14 H15 K15 Q15:R15 AF15 H16 K16 Q16:R16 AF16 H17 K17 Q17:R17 AF17 H18 K18 Q18:R18 AF18 H19 K19 Q19:R19 AF19 H20 K20 Q20:R20 AF20 H21 K21 Q21:R21 AF21 H22 K22 Q22:R22 AF22 H23 K23 Q23:R23 AF23 H24 K24 Q24:R24 AF24 H25 K25 Q25:R25 AF25 H26 K26 Q26:R26 AF26 H27 K27 Q27:R27 AF27 H28 K28 Q28:R28 AF28 H29 K29 Q29:R29 AF29 H30 K30 Q30:R30 AF30 H31 K31 Q31:R31 AF31 H32 K32 Q32:R32 AF32 H33 K33 Q33:R33 AF33 H34 K34 Q34:R34 AF34 H35 K35 Q35:R35 AF35 H36 K36 Q36:R36 AF36 H37 K37 Q37:R37 AF37 H38 K38 Q38:R38 AF38 H39 K39 Q39:R39 AF39 H40 K40 Q40:R40 AF40 H41 K41 Q41:R41 AF41 H42 K42 Q42:R42 AF42 H43 K43 Q43:R43 AF43 H44 K44 Q44:R44 AF44 H45 K45 Q45:R45 AF45 H46 K46 Q46:R46 AF46 H47 K47 Q47:R47 AF47 H48 K48 Q48:R48 AF48 H49 K49 Q49:R49 AF49 H50 K50 Q50:R50 AF50 H51 K51 Q51:R51 AF51 H52 K52 Q52:R52 AF52 H53 K53 Q53:R53 AF53 H54 K54 Q54:R54 AF54 H55 K55 Q55:R55 AF55 H56 K56 Q56:R56 AF56 H57 K57 Q57:R57 AF57 H58 K58 Q58:R58 AF58 H59 K59 Q59:R59 AF59 H60 K60 Q60:R60 AF60 H61 K61 Q61:R61 AF61 H62 K62 Q62:R62 AF62 H63 K63 Q63:R63 AF63 H64 K64 Q64:R64 AF64 H65 K65 Q65:R65 AF65 H66 K66 Q66:R66 AF66 H67 K67 Q67:R67 AF67 H68 K68 Q68:R68 AF68 H69 K69 Q69:R69 AF69 H70 K70 Q70:R70 AF70 H71 K71 Q71:R71 AF71 H72 K72 Q72:R72 AF72 H73 K73 Q73:R73 AF73 H74 K74 Q74:R74 AF74 H75 K75 Q75:R75 AF75 H76 K76 Q76:R76 AF76 H77 K77 Q77:R77 AF77 H78 K78 Q78:R78 AF78 H79 K79 Q79:R79 AF79 H80 K80 Q80:R80 AF80 H81 K81 Q81:R81 AF81 H82 K82 Q82:R82 AF82 H83 K83 Q83:R83 AF83 H84 K84 Q84:R84 AF84 H85 K85 Q85:R85 AF85 H86 K86 Q86:R86 AF86 H87 K87 Q87:R87 AF87 H88 K88 Q88:R88 AF88 H89 K89 Q89:R89 AF89 H90 K90 Q90:R90 AF90 H91 K91 Q91:R91 AF91 H92 K92 Q92:R92 AF92 H93 K93 Q93:R93 AF93 H94 K94 Q94:R94 AF94 H95 K95 Q95:R95 AF95 H96 K96 Q96:R96 AF96 H97 K97 Q97:R97 AF97 H98 K98 Q98:R98 AF98 H99 K99 Q99:R99 AF99 H100 K100 Q100:R100 AF100 H101 K101 Q101:R101 AF101 H102 K102 Q102:R102 AF102 H103 K103 Q103:R103 AF103 H104 K104 Q104:R104 AF104 H105 K105 Q105:R105 AF105 H106 K106 Q106:R106 AF106 H107 K107 Q107:R107 AF107 H108 K108 Q108:R108 AF108 H109 K109 Q109:R109 AF109 H110 K110 Q110:R110 AF110 H111 K111 Q111:R111 AF111 H112 K112 Q112:R112 AF112 H113 K113 Q113:R113 AF113 H114 K114 Q114:R114 AF114 H115 K115 Q115:R115 AF115 H116 K116 Q116:R116 AF116 H117 K117 Q117:R117 AF117 H118 K118 Q118:R118 AF118 H119 K119 Q119:R119 AF119 H120 K120 Q120:R120 AF120 H121 K121 Q121:R121 AF121 H122 K122 Q122:R122 AF122 H123 K123 Q123:R123 AF123 H124 K124 Q124:R124 AF124 H125 K125 Q125:R125 AF125 H126 K126 Q126:R126 AF126 H127 K127 Q127:R127 AF127 H128 K128 Q128:R128 AF128 H129 K129 Q129:R129 AF129 H130 K130 Q130:R130 AF130 H131 K131 Q131:R131 AF131 H132 K132 Q132:R132 AF132 H133 K133 Q133:R133 AF133 H134 K134 Q134:R134 AF134 H135 K135 Q135:R135 AF135 H136 K136 Q136:R136 AF136 H137 K137 Q137:R137 AF137 H138 K138 Q138:R138 AF138 H139 K139 Q139:R139 AF139 H140 K140 Q140:R140 AF140 H141 K141 Q141:R141 AF141 H142 K142 Q142:R142 AF142 H143 K143 Q143:R143 AF143 H144 K144 Q144:R144 AF144 H145 K145 Q145:R145 AF145 H146 K146 Q146:R146 AF146 H147 K147 Q147:R147 AF147 H148 K148 Q148:R148 AF148 H149 K149 Q149:R149 AF149 H150 K150 Q150:R150 AF150 H151 K151 Q151:R151 AF151 H152 K152 Q152:R152 AF152 H153 K153 Q153:R153 AF153 H154 K154 Q154:R154 AF154 H155 K155 Q155:R155 AF155 H156 K156 Q156:R156 AF156 H157 K157 Q157:R157 AF157 H158 K158 Q158:R158 AF158 H159 K159 Q159:R159 AF159 H160 K160 Q160:R160 AF160 H161 K161 Q161:R161 AF161 H162 K162 Q162:R162 AF162 H163 K163 Q163:R163 AF163 H164 K164 Q164:R164 AF164 H165 K165 Q165:R165 AF165 H166 K166 Q166:R166 AF166 H167 K167 Q167:R167 AF167 H168 K168 Q168:R168 AF168 H169 K169 Q169:R169 AF169 H170 K170 Q170:R170 AF170 H171 K171 Q171:R171 AF171 H172 K172 Q172:R172 AF172 H173 K173 Q173:R173 AF173 H174 K174 Q174:R174 AF174 H175 K175 Q175:R175 AF175 H176 K176 Q176:R176 AF176 H177 K177 Q177:R177 AF177 H178 K178 Q178:R178 AF178 H179 K179 Q179:R179 AF179 H180 K180 Q180:R180 AF180 H181 K181 Q181:R181 AF181 H182 K182 Q182:R182 AF182 H183 K183 Q183:R183 AF183 H184 K184 Q184:R184 AF184 H185 K185 Q185:R185 AF185 H186 K186 Q186:R186 AF186 H187 K187 Q187:R187 AF187 H188 K188 Q188:R188 AF188 H189 K189 Q189:R189 AF189 H190 K190 Q190:R190 AF190 H191 K191 Q191:R191 AF191 H192 K192 Q192:R192 AF192 H193 K193 Q193:R193 AF193 H194 K194 Q194:R194 AF194 H195 K195 Q195:R195 AF195 H196 K196 Q196:R196 AF196 H197 K197 Q197:R197 AF197 H198 K198 Q198:R198 AF198 H199 K199 Q199:R199 AF199 H200 K200 Q200:R200 AF200 H201 K201 Q201:R201 AF201 H202 K202 Q202:R202 AF202 H203 K203 Q203:R203 AF203 H204 K204 Q204:R204 AF204 H205 K205 Q205:R205 AF205 H206 K206 Q206:R206 AF206 H207 K207 Q207:R207 AF207 H208 K208 Q208:R208 AF208 H209 K209 Q209:R209 AF209 H210 K210 Q210:R210 AF210">
    <cfRule type="cellIs" dxfId="12" priority="1" operator="lessThan" stopIfTrue="1">
      <formula>0</formula>
    </cfRule>
    <cfRule type="notContainsBlanks" dxfId="13" priority="2" stopIfTrue="1">
      <formula>NOT(ISBLANK(AF11))</formula>
    </cfRule>
  </conditionalFormatting>
  <conditionalFormatting sqref="S12:AB210">
    <cfRule type="notContainsBlanks" dxfId="14" priority="1" stopIfTrue="1">
      <formula>NOT(ISBLANK(S12))</formula>
    </cfRule>
  </conditionalFormatting>
  <pageMargins left="0.472441" right="0.19685" top="0.787402" bottom="0.19685" header="0.511811" footer="0.511811"/>
  <pageSetup firstPageNumber="1" fitToHeight="1" fitToWidth="1" scale="100" useFirstPageNumber="0" orientation="landscape" pageOrder="downThenOver"/>
  <headerFooter>
    <oddHeader>&amp;L&amp;"ヒラギノ角ゴ ProN W3,Regular"&amp;12&amp;K000000&amp;P</oddHeader>
    <oddFooter>&amp;C&amp;"ヒラギノ角ゴ ProN W3,Regular"&amp;12&amp;K000000&amp;P</oddFooter>
  </headerFooter>
  <drawing r:id="rId1"/>
  <legacyDrawing r:id="rId2"/>
</worksheet>
</file>

<file path=xl/worksheets/sheet3.xml><?xml version="1.0" encoding="utf-8"?>
<worksheet xmlns:r="http://schemas.openxmlformats.org/officeDocument/2006/relationships" xmlns="http://schemas.openxmlformats.org/spreadsheetml/2006/main">
  <sheetPr>
    <tabColor rgb="ff1f497d"/>
    <pageSetUpPr fitToPage="1"/>
  </sheetPr>
  <dimension ref="A1:AR146"/>
  <sheetViews>
    <sheetView workbookViewId="0" showGridLines="0" defaultGridColor="1"/>
  </sheetViews>
  <sheetFormatPr defaultColWidth="9" defaultRowHeight="13.5" customHeight="1" outlineLevelRow="0" outlineLevelCol="0"/>
  <cols>
    <col min="1" max="2" width="5.73438" style="201" customWidth="1"/>
    <col min="3" max="3" width="29.1562" style="201" customWidth="1"/>
    <col min="4" max="4" width="12.2891" style="201" customWidth="1"/>
    <col min="5" max="30" width="5.15625" style="201" customWidth="1"/>
    <col min="31" max="31" width="23.7344" style="201" customWidth="1"/>
    <col min="32" max="41" width="9.28906" style="201" customWidth="1"/>
    <col min="42" max="44" width="9" style="201" customWidth="1"/>
    <col min="45" max="16384" width="9" style="201" customWidth="1"/>
  </cols>
  <sheetData>
    <row r="1" ht="18.6" customHeight="1">
      <c r="A1" t="s" s="167">
        <v>3</v>
      </c>
      <c r="B1" s="202"/>
      <c r="C1" t="str" s="203" cm="1">
        <f t="array" ref="C1">'①施工図リスト'!C2</f>
        <v>椙山女学園　星が丘キャンパス大学会館食堂リニューアル工事</v>
      </c>
      <c r="D1" s="203"/>
      <c r="E1" s="204"/>
      <c r="F1" s="205" cm="1">
        <f t="array" ref="F1">'①施工図リスト'!AG7</f>
        <v>7</v>
      </c>
      <c r="G1" s="150" cm="1">
        <f t="array" ref="G1">'①施工図リスト'!AH7</f>
        <v>2025</v>
      </c>
      <c r="H1" s="150"/>
      <c r="I1" s="150"/>
      <c r="J1" t="s" s="206">
        <v>1</v>
      </c>
      <c r="K1" s="207"/>
      <c r="L1" s="207"/>
      <c r="M1" s="207"/>
      <c r="N1" s="208"/>
      <c r="O1" t="s" s="206">
        <v>2</v>
      </c>
      <c r="P1" s="207"/>
      <c r="Q1" s="207"/>
      <c r="R1" s="207"/>
      <c r="S1" s="207"/>
      <c r="T1" s="207"/>
      <c r="U1" s="207"/>
      <c r="V1" s="207"/>
      <c r="W1" s="207"/>
      <c r="X1" s="207"/>
      <c r="Y1" s="207"/>
      <c r="Z1" s="207"/>
      <c r="AA1" s="207"/>
      <c r="AB1" s="207"/>
      <c r="AC1" s="207"/>
      <c r="AD1" s="207"/>
      <c r="AE1" s="208"/>
      <c r="AF1" s="209"/>
      <c r="AG1" s="210"/>
      <c r="AH1" s="210"/>
      <c r="AI1" s="210"/>
      <c r="AJ1" s="210"/>
      <c r="AK1" s="210"/>
      <c r="AL1" s="210"/>
      <c r="AM1" s="210"/>
      <c r="AN1" s="210"/>
      <c r="AO1" s="210"/>
      <c r="AP1" s="12"/>
      <c r="AQ1" s="12"/>
      <c r="AR1" s="12"/>
    </row>
    <row r="2" ht="18.6" customHeight="1">
      <c r="A2" s="151"/>
      <c r="B2" s="211"/>
      <c r="C2" s="212"/>
      <c r="D2" s="212"/>
      <c r="E2" s="213"/>
      <c r="F2" s="214" cm="1">
        <f t="array" ref="F2">'①施工図リスト'!AG8</f>
        <v>8</v>
      </c>
      <c r="G2" s="150" cm="1">
        <f t="array" ref="G2">'①施工図リスト'!AH8</f>
        <v>2026</v>
      </c>
      <c r="H2" s="150"/>
      <c r="I2" s="150"/>
      <c r="J2" s="215"/>
      <c r="K2" s="216"/>
      <c r="L2" s="216"/>
      <c r="M2" s="216"/>
      <c r="N2" s="217"/>
      <c r="O2" s="218"/>
      <c r="P2" s="219"/>
      <c r="Q2" s="219"/>
      <c r="R2" s="219"/>
      <c r="S2" s="219"/>
      <c r="T2" s="219"/>
      <c r="U2" s="219"/>
      <c r="V2" s="219"/>
      <c r="W2" s="219"/>
      <c r="X2" s="219"/>
      <c r="Y2" s="219"/>
      <c r="Z2" s="219"/>
      <c r="AA2" s="219"/>
      <c r="AB2" s="219"/>
      <c r="AC2" s="219"/>
      <c r="AD2" s="219"/>
      <c r="AE2" s="220"/>
      <c r="AF2" s="209"/>
      <c r="AG2" s="210"/>
      <c r="AH2" t="s" s="221">
        <v>5</v>
      </c>
      <c r="AI2" s="210"/>
      <c r="AJ2" s="210"/>
      <c r="AK2" s="210"/>
      <c r="AL2" s="210"/>
      <c r="AM2" s="210"/>
      <c r="AN2" s="210"/>
      <c r="AO2" s="210"/>
      <c r="AP2" s="12"/>
      <c r="AQ2" s="12"/>
      <c r="AR2" s="12"/>
    </row>
    <row r="3" ht="18.6" customHeight="1">
      <c r="A3" s="151"/>
      <c r="B3" s="222"/>
      <c r="C3" s="223"/>
      <c r="D3" s="223"/>
      <c r="E3" s="224"/>
      <c r="F3" s="225" cm="1">
        <f t="array" ref="F3">'①施工図リスト'!AG9</f>
        <v>9</v>
      </c>
      <c r="G3" s="150" cm="1">
        <f t="array" ref="G3">'①施工図リスト'!AH9</f>
        <v>2027</v>
      </c>
      <c r="H3" s="150"/>
      <c r="I3" s="150"/>
      <c r="J3" s="226"/>
      <c r="K3" s="227"/>
      <c r="L3" s="227"/>
      <c r="M3" s="227"/>
      <c r="N3" s="228"/>
      <c r="O3" s="229"/>
      <c r="P3" s="230"/>
      <c r="Q3" s="230"/>
      <c r="R3" s="230"/>
      <c r="S3" s="230"/>
      <c r="T3" s="230"/>
      <c r="U3" s="230"/>
      <c r="V3" s="230"/>
      <c r="W3" s="230"/>
      <c r="X3" s="230"/>
      <c r="Y3" s="230"/>
      <c r="Z3" s="230"/>
      <c r="AA3" s="230"/>
      <c r="AB3" s="230"/>
      <c r="AC3" s="230"/>
      <c r="AD3" s="230"/>
      <c r="AE3" s="231"/>
      <c r="AF3" s="209"/>
      <c r="AG3" s="210"/>
      <c r="AH3" s="230"/>
      <c r="AI3" s="230"/>
      <c r="AJ3" s="230"/>
      <c r="AK3" s="230"/>
      <c r="AL3" s="230"/>
      <c r="AM3" s="230"/>
      <c r="AN3" s="230"/>
      <c r="AO3" s="210"/>
      <c r="AP3" s="12"/>
      <c r="AQ3" t="s" s="232">
        <v>6</v>
      </c>
      <c r="AR3" s="32" cm="1">
        <f t="array" ref="AR3">AP4/AO4</f>
        <v>0</v>
      </c>
    </row>
    <row r="4" ht="40.15" customHeight="1">
      <c r="A4" t="s" s="233">
        <v>158</v>
      </c>
      <c r="B4" t="s" s="233">
        <v>159</v>
      </c>
      <c r="C4" t="s" s="234">
        <v>160</v>
      </c>
      <c r="D4" t="s" s="234">
        <v>161</v>
      </c>
      <c r="E4" t="s" s="235">
        <v>162</v>
      </c>
      <c r="F4" t="s" s="236">
        <v>163</v>
      </c>
      <c r="G4" t="s" s="237">
        <v>164</v>
      </c>
      <c r="H4" t="s" s="236">
        <v>165</v>
      </c>
      <c r="I4" t="s" s="238">
        <v>166</v>
      </c>
      <c r="J4" t="s" s="237">
        <v>33</v>
      </c>
      <c r="K4" t="s" s="239">
        <v>167</v>
      </c>
      <c r="L4" s="240"/>
      <c r="M4" s="240"/>
      <c r="N4" s="241"/>
      <c r="O4" t="s" s="242">
        <v>168</v>
      </c>
      <c r="P4" t="s" s="237">
        <v>33</v>
      </c>
      <c r="Q4" t="s" s="243">
        <v>169</v>
      </c>
      <c r="R4" s="244"/>
      <c r="S4" t="s" s="245">
        <v>169</v>
      </c>
      <c r="T4" s="244"/>
      <c r="U4" t="s" s="245">
        <v>169</v>
      </c>
      <c r="V4" s="244"/>
      <c r="W4" t="s" s="245">
        <v>169</v>
      </c>
      <c r="X4" s="244"/>
      <c r="Y4" t="s" s="245">
        <v>169</v>
      </c>
      <c r="Z4" s="246"/>
      <c r="AA4" t="s" s="236">
        <v>170</v>
      </c>
      <c r="AB4" t="s" s="247">
        <v>171</v>
      </c>
      <c r="AC4" t="s" s="248">
        <v>12</v>
      </c>
      <c r="AD4" t="s" s="234">
        <v>172</v>
      </c>
      <c r="AE4" t="s" s="249">
        <v>173</v>
      </c>
      <c r="AF4" s="250"/>
      <c r="AG4" s="251"/>
      <c r="AH4" t="s" s="252">
        <v>18</v>
      </c>
      <c r="AI4" t="s" s="253">
        <v>19</v>
      </c>
      <c r="AJ4" t="s" s="253">
        <v>20</v>
      </c>
      <c r="AK4" t="s" s="243">
        <v>174</v>
      </c>
      <c r="AL4" s="246"/>
      <c r="AM4" t="s" s="243">
        <v>175</v>
      </c>
      <c r="AN4" s="246"/>
      <c r="AO4" s="254" cm="1">
        <f t="array" ref="AO4">COUNTA($AD$7:$AD$146)*5</f>
        <v>75</v>
      </c>
      <c r="AP4" s="60" cm="1">
        <f t="array" ref="AP4">COUNTA($I$7:$I$146)+COUNTA($K$7:$K$146)+COUNTA($L$7:$L$146)+COUNTA($Q$7:$Q$146)+COUNTA($R$7:$R$146)</f>
        <v>0</v>
      </c>
      <c r="AQ4" t="s" s="232">
        <v>23</v>
      </c>
      <c r="AR4" s="32" cm="1">
        <f t="array" ref="AR4">1-AR3</f>
        <v>1</v>
      </c>
    </row>
    <row r="5" ht="20.1" customHeight="1">
      <c r="A5" s="255"/>
      <c r="B5" s="256"/>
      <c r="C5" s="149"/>
      <c r="D5" s="149"/>
      <c r="E5" s="257"/>
      <c r="F5" s="258"/>
      <c r="G5" s="259"/>
      <c r="H5" s="258"/>
      <c r="I5" s="260"/>
      <c r="J5" s="259"/>
      <c r="K5" t="s" s="261">
        <v>176</v>
      </c>
      <c r="L5" s="262"/>
      <c r="M5" t="s" s="261">
        <v>177</v>
      </c>
      <c r="N5" s="263"/>
      <c r="O5" s="264"/>
      <c r="P5" s="259"/>
      <c r="Q5" t="s" s="265">
        <v>51</v>
      </c>
      <c r="R5" t="s" s="266">
        <v>52</v>
      </c>
      <c r="S5" t="s" s="266">
        <v>51</v>
      </c>
      <c r="T5" t="s" s="266">
        <v>52</v>
      </c>
      <c r="U5" t="s" s="266">
        <v>51</v>
      </c>
      <c r="V5" t="s" s="266">
        <v>52</v>
      </c>
      <c r="W5" t="s" s="266">
        <v>51</v>
      </c>
      <c r="X5" t="s" s="266">
        <v>52</v>
      </c>
      <c r="Y5" t="s" s="266">
        <v>51</v>
      </c>
      <c r="Z5" t="s" s="267">
        <v>52</v>
      </c>
      <c r="AA5" s="258"/>
      <c r="AB5" s="268"/>
      <c r="AC5" s="269"/>
      <c r="AD5" s="149"/>
      <c r="AE5" s="270"/>
      <c r="AF5" s="250"/>
      <c r="AG5" s="251"/>
      <c r="AH5" s="149"/>
      <c r="AI5" s="271"/>
      <c r="AJ5" s="271"/>
      <c r="AK5" t="s" s="265">
        <v>51</v>
      </c>
      <c r="AL5" t="s" s="267">
        <v>52</v>
      </c>
      <c r="AM5" t="s" s="265">
        <v>51</v>
      </c>
      <c r="AN5" t="s" s="267">
        <v>52</v>
      </c>
      <c r="AO5" s="250"/>
      <c r="AP5" s="12"/>
      <c r="AQ5" s="12"/>
      <c r="AR5" s="12"/>
    </row>
    <row r="6" ht="40.15" customHeight="1">
      <c r="A6" s="272"/>
      <c r="B6" s="273"/>
      <c r="C6" s="274"/>
      <c r="D6" s="149"/>
      <c r="E6" s="275"/>
      <c r="F6" s="258"/>
      <c r="G6" s="259"/>
      <c r="H6" s="258"/>
      <c r="I6" s="260"/>
      <c r="J6" s="259"/>
      <c r="K6" t="s" s="276">
        <v>51</v>
      </c>
      <c r="L6" t="s" s="277">
        <v>52</v>
      </c>
      <c r="M6" t="s" s="276">
        <v>51</v>
      </c>
      <c r="N6" t="s" s="277">
        <v>52</v>
      </c>
      <c r="O6" s="264"/>
      <c r="P6" s="259"/>
      <c r="Q6" s="278"/>
      <c r="R6" s="279"/>
      <c r="S6" s="279"/>
      <c r="T6" s="279"/>
      <c r="U6" s="279"/>
      <c r="V6" s="279"/>
      <c r="W6" s="279"/>
      <c r="X6" s="279"/>
      <c r="Y6" s="279"/>
      <c r="Z6" s="280"/>
      <c r="AA6" s="258"/>
      <c r="AB6" s="268"/>
      <c r="AC6" s="269"/>
      <c r="AD6" s="149"/>
      <c r="AE6" s="270"/>
      <c r="AF6" s="250"/>
      <c r="AG6" s="251"/>
      <c r="AH6" s="149"/>
      <c r="AI6" s="271"/>
      <c r="AJ6" s="271"/>
      <c r="AK6" s="278"/>
      <c r="AL6" s="280"/>
      <c r="AM6" s="278"/>
      <c r="AN6" s="280"/>
      <c r="AO6" s="250"/>
      <c r="AP6" s="12"/>
      <c r="AQ6" s="12"/>
      <c r="AR6" s="12"/>
    </row>
    <row r="7" ht="22.5" customHeight="1">
      <c r="A7" s="281">
        <v>0</v>
      </c>
      <c r="B7" s="282"/>
      <c r="C7" s="283"/>
      <c r="D7" s="283"/>
      <c r="E7" s="284"/>
      <c r="F7" t="str" s="285" cm="1">
        <f t="array" ref="F7">IF(AD7="","",H7-G7)</f>
      </c>
      <c r="G7" s="286"/>
      <c r="H7" t="str" s="285" cm="1">
        <f t="array" ref="H7">IF(AD7="","",AA7-J7-P7-O7)</f>
      </c>
      <c r="I7" s="287"/>
      <c r="J7" s="286"/>
      <c r="K7" s="288"/>
      <c r="L7" s="289"/>
      <c r="M7" s="288"/>
      <c r="N7" s="287"/>
      <c r="O7" s="290"/>
      <c r="P7" s="286"/>
      <c r="Q7" s="288"/>
      <c r="R7" s="287"/>
      <c r="S7" s="287"/>
      <c r="T7" s="287"/>
      <c r="U7" s="287"/>
      <c r="V7" s="287"/>
      <c r="W7" s="287"/>
      <c r="X7" s="287"/>
      <c r="Y7" s="287"/>
      <c r="Z7" s="289"/>
      <c r="AA7" t="str" s="285" cm="1">
        <f t="array" ref="AA7">IF(AD7="","",AD7-AC7)</f>
      </c>
      <c r="AB7" s="289"/>
      <c r="AC7" s="270"/>
      <c r="AD7" s="284"/>
      <c r="AE7" s="291"/>
      <c r="AF7" s="292"/>
      <c r="AG7" s="293"/>
      <c r="AH7" s="294"/>
      <c r="AI7" s="294"/>
      <c r="AJ7" s="294"/>
      <c r="AK7" s="294"/>
      <c r="AL7" s="294"/>
      <c r="AM7" s="294"/>
      <c r="AN7" s="294"/>
      <c r="AO7" s="293"/>
      <c r="AP7" s="12"/>
      <c r="AQ7" s="12"/>
      <c r="AR7" s="295"/>
    </row>
    <row r="8" ht="22.5" customHeight="1">
      <c r="A8" s="281" cm="1">
        <f t="array" ref="A8">A7+1</f>
        <v>1</v>
      </c>
      <c r="B8" t="s" s="296">
        <v>178</v>
      </c>
      <c r="C8" t="s" s="297">
        <v>179</v>
      </c>
      <c r="D8" s="283"/>
      <c r="E8" s="284"/>
      <c r="F8" s="288" cm="1">
        <f t="array" ref="F8">IF($AD8="","",$H8-$G8)</f>
        <v>46293</v>
      </c>
      <c r="G8" s="298">
        <v>7</v>
      </c>
      <c r="H8" s="288" cm="1">
        <f t="array" ref="H8">IF($AD8="","",$AA8-$J8-$P8-$O8)</f>
        <v>46300</v>
      </c>
      <c r="I8" s="287"/>
      <c r="J8" s="298">
        <v>7</v>
      </c>
      <c r="K8" s="299"/>
      <c r="L8" s="300"/>
      <c r="M8" s="288"/>
      <c r="N8" s="287"/>
      <c r="O8" s="301">
        <v>7</v>
      </c>
      <c r="P8" s="298">
        <v>14</v>
      </c>
      <c r="Q8" s="288"/>
      <c r="R8" s="287"/>
      <c r="S8" s="287"/>
      <c r="T8" s="287"/>
      <c r="U8" s="287"/>
      <c r="V8" s="287"/>
      <c r="W8" s="287"/>
      <c r="X8" s="287"/>
      <c r="Y8" s="287"/>
      <c r="Z8" s="289"/>
      <c r="AA8" s="288" cm="1">
        <f t="array" ref="AA8">IF(AD8="","",AD8-AC8)</f>
        <v>46328</v>
      </c>
      <c r="AB8" s="289"/>
      <c r="AC8" s="302">
        <v>7</v>
      </c>
      <c r="AD8" s="284">
        <v>46335</v>
      </c>
      <c r="AE8" t="s" s="303">
        <v>180</v>
      </c>
      <c r="AF8" s="292"/>
      <c r="AG8" s="293"/>
      <c r="AH8" s="293"/>
      <c r="AI8" s="293"/>
      <c r="AJ8" s="293"/>
      <c r="AK8" s="293"/>
      <c r="AL8" s="293"/>
      <c r="AM8" s="293"/>
      <c r="AN8" s="293"/>
      <c r="AO8" s="293"/>
      <c r="AP8" s="12"/>
      <c r="AQ8" s="304"/>
      <c r="AR8" s="305"/>
    </row>
    <row r="9" ht="22.5" customHeight="1">
      <c r="A9" s="281" cm="1">
        <f t="array" ref="A9">A8+1</f>
        <v>2</v>
      </c>
      <c r="B9" t="s" s="296">
        <v>181</v>
      </c>
      <c r="C9" t="s" s="306">
        <v>182</v>
      </c>
      <c r="D9" t="s" s="297">
        <v>183</v>
      </c>
      <c r="E9" s="284"/>
      <c r="F9" s="288" cm="1">
        <f t="array" ref="F9">IF($AD9="","",$H9-$G9)</f>
        <v>46321</v>
      </c>
      <c r="G9" s="298">
        <v>7</v>
      </c>
      <c r="H9" s="288" cm="1">
        <f t="array" ref="H9">IF($AD9="","",$AA9-$J9-$P9-$O9)</f>
        <v>46328</v>
      </c>
      <c r="I9" s="287"/>
      <c r="J9" s="298">
        <v>7</v>
      </c>
      <c r="K9" s="299"/>
      <c r="L9" s="300"/>
      <c r="M9" s="288"/>
      <c r="N9" s="287"/>
      <c r="O9" s="301">
        <v>7</v>
      </c>
      <c r="P9" s="298">
        <v>14</v>
      </c>
      <c r="Q9" s="288"/>
      <c r="R9" s="287"/>
      <c r="S9" s="287"/>
      <c r="T9" s="287"/>
      <c r="U9" s="287"/>
      <c r="V9" s="287"/>
      <c r="W9" s="287"/>
      <c r="X9" s="287"/>
      <c r="Y9" s="287"/>
      <c r="Z9" s="289"/>
      <c r="AA9" s="288" cm="1">
        <f t="array" ref="AA9">IF(AD9="","",AD9-AC9)</f>
        <v>46356</v>
      </c>
      <c r="AB9" s="289"/>
      <c r="AC9" s="302">
        <v>14</v>
      </c>
      <c r="AD9" s="284">
        <v>46370</v>
      </c>
      <c r="AE9" t="s" s="303">
        <v>184</v>
      </c>
      <c r="AF9" s="292"/>
      <c r="AG9" s="293"/>
      <c r="AH9" s="293"/>
      <c r="AI9" s="293"/>
      <c r="AJ9" s="293"/>
      <c r="AK9" s="293"/>
      <c r="AL9" s="293"/>
      <c r="AM9" s="293"/>
      <c r="AN9" s="293"/>
      <c r="AO9" s="293"/>
      <c r="AP9" s="12"/>
      <c r="AQ9" s="12"/>
      <c r="AR9" s="307"/>
    </row>
    <row r="10" ht="22.5" customHeight="1">
      <c r="A10" s="281" cm="1">
        <f t="array" ref="A10">A9+1</f>
        <v>3</v>
      </c>
      <c r="B10" t="s" s="296">
        <v>185</v>
      </c>
      <c r="C10" t="s" s="306">
        <v>186</v>
      </c>
      <c r="D10" t="s" s="297">
        <v>187</v>
      </c>
      <c r="E10" s="284"/>
      <c r="F10" s="288" cm="1">
        <f t="array" ref="F10">IF($AD10="","",$H10-$G10)</f>
        <v>46321</v>
      </c>
      <c r="G10" s="298">
        <v>7</v>
      </c>
      <c r="H10" s="288" cm="1">
        <f t="array" ref="H10">IF($AD10="","",$AA10-$J10-$P10-$O10)</f>
        <v>46328</v>
      </c>
      <c r="I10" s="287"/>
      <c r="J10" s="298">
        <v>7</v>
      </c>
      <c r="K10" s="299"/>
      <c r="L10" s="300"/>
      <c r="M10" s="288"/>
      <c r="N10" s="287"/>
      <c r="O10" s="301">
        <v>7</v>
      </c>
      <c r="P10" s="298">
        <v>14</v>
      </c>
      <c r="Q10" s="288"/>
      <c r="R10" s="287"/>
      <c r="S10" s="287"/>
      <c r="T10" s="287"/>
      <c r="U10" s="287"/>
      <c r="V10" s="287"/>
      <c r="W10" s="287"/>
      <c r="X10" s="287"/>
      <c r="Y10" s="287"/>
      <c r="Z10" s="289"/>
      <c r="AA10" s="288" cm="1">
        <f t="array" ref="AA10">IF(AD10="","",AD10-AC10)</f>
        <v>46356</v>
      </c>
      <c r="AB10" s="289"/>
      <c r="AC10" t="s" s="249">
        <v>188</v>
      </c>
      <c r="AD10" s="284">
        <v>46370</v>
      </c>
      <c r="AE10" t="s" s="303">
        <v>184</v>
      </c>
      <c r="AF10" s="292"/>
      <c r="AG10" s="293"/>
      <c r="AH10" s="293"/>
      <c r="AI10" s="293"/>
      <c r="AJ10" s="293"/>
      <c r="AK10" s="293"/>
      <c r="AL10" s="293"/>
      <c r="AM10" s="293"/>
      <c r="AN10" s="293"/>
      <c r="AO10" s="293"/>
      <c r="AP10" s="12"/>
      <c r="AQ10" s="12"/>
      <c r="AR10" s="12"/>
    </row>
    <row r="11" ht="22.5" customHeight="1">
      <c r="A11" s="281" cm="1">
        <f t="array" ref="A11">A10+1</f>
        <v>4</v>
      </c>
      <c r="B11" t="s" s="296">
        <v>189</v>
      </c>
      <c r="C11" t="s" s="297">
        <v>190</v>
      </c>
      <c r="D11" t="s" s="297">
        <v>187</v>
      </c>
      <c r="E11" s="284"/>
      <c r="F11" s="288" cm="1">
        <f t="array" ref="F11">IF($AD11="","",$H11-$G11)</f>
        <v>46321</v>
      </c>
      <c r="G11" s="298">
        <v>7</v>
      </c>
      <c r="H11" s="288" cm="1">
        <f t="array" ref="H11">IF($AD11="","",$AA11-$J11-$P11-$O11)</f>
        <v>46328</v>
      </c>
      <c r="I11" s="287"/>
      <c r="J11" s="298">
        <v>7</v>
      </c>
      <c r="K11" s="299"/>
      <c r="L11" s="300"/>
      <c r="M11" s="288"/>
      <c r="N11" s="287"/>
      <c r="O11" s="301">
        <v>7</v>
      </c>
      <c r="P11" s="298">
        <v>14</v>
      </c>
      <c r="Q11" s="288"/>
      <c r="R11" s="287"/>
      <c r="S11" s="287"/>
      <c r="T11" s="287"/>
      <c r="U11" s="287"/>
      <c r="V11" s="287"/>
      <c r="W11" s="287"/>
      <c r="X11" s="287"/>
      <c r="Y11" s="287"/>
      <c r="Z11" s="289"/>
      <c r="AA11" s="288" cm="1">
        <f t="array" ref="AA11">IF(AD11="","",AD11-AC11)</f>
        <v>46356</v>
      </c>
      <c r="AB11" s="289"/>
      <c r="AC11" s="302">
        <v>14</v>
      </c>
      <c r="AD11" s="284">
        <v>46370</v>
      </c>
      <c r="AE11" t="s" s="308">
        <v>191</v>
      </c>
      <c r="AF11" s="292"/>
      <c r="AG11" s="293"/>
      <c r="AH11" s="293"/>
      <c r="AI11" s="293"/>
      <c r="AJ11" s="293"/>
      <c r="AK11" s="293"/>
      <c r="AL11" s="293"/>
      <c r="AM11" s="293"/>
      <c r="AN11" s="293"/>
      <c r="AO11" s="293"/>
      <c r="AP11" s="12"/>
      <c r="AQ11" s="12"/>
      <c r="AR11" s="12"/>
    </row>
    <row r="12" ht="22.5" customHeight="1">
      <c r="A12" s="281" cm="1">
        <f t="array" ref="A12">A11+1</f>
        <v>5</v>
      </c>
      <c r="B12" t="s" s="296">
        <v>192</v>
      </c>
      <c r="C12" t="s" s="297">
        <v>193</v>
      </c>
      <c r="D12" t="s" s="297">
        <v>194</v>
      </c>
      <c r="E12" s="284"/>
      <c r="F12" s="288" cm="1">
        <f t="array" ref="F12">IF($AD12="","",$H12-$G12)</f>
        <v>46350</v>
      </c>
      <c r="G12" s="298">
        <v>7</v>
      </c>
      <c r="H12" s="288" cm="1">
        <f t="array" ref="H12">IF($AD12="","",$AA12-$J12-$P12-$O12)</f>
        <v>46357</v>
      </c>
      <c r="I12" s="287"/>
      <c r="J12" s="298">
        <v>7</v>
      </c>
      <c r="K12" s="299"/>
      <c r="L12" s="300"/>
      <c r="M12" s="288"/>
      <c r="N12" s="287"/>
      <c r="O12" s="301">
        <v>7</v>
      </c>
      <c r="P12" s="298">
        <v>14</v>
      </c>
      <c r="Q12" s="288"/>
      <c r="R12" s="287"/>
      <c r="S12" s="287"/>
      <c r="T12" s="287"/>
      <c r="U12" s="287"/>
      <c r="V12" s="287"/>
      <c r="W12" s="287"/>
      <c r="X12" s="287"/>
      <c r="Y12" s="287"/>
      <c r="Z12" s="289"/>
      <c r="AA12" s="288" cm="1">
        <f t="array" ref="AA12">IF(AD12="","",AD12-AC12)</f>
        <v>46385</v>
      </c>
      <c r="AB12" s="289"/>
      <c r="AC12" s="302">
        <v>14</v>
      </c>
      <c r="AD12" s="284">
        <v>46399</v>
      </c>
      <c r="AE12" s="291"/>
      <c r="AF12" s="292"/>
      <c r="AG12" s="293"/>
      <c r="AH12" s="293"/>
      <c r="AI12" s="293"/>
      <c r="AJ12" s="293"/>
      <c r="AK12" s="293"/>
      <c r="AL12" s="293"/>
      <c r="AM12" s="293"/>
      <c r="AN12" s="293"/>
      <c r="AO12" s="293"/>
      <c r="AP12" s="12"/>
      <c r="AQ12" s="12"/>
      <c r="AR12" s="12"/>
    </row>
    <row r="13" ht="22.5" customHeight="1">
      <c r="A13" s="281" cm="1">
        <f t="array" ref="A13">A12+1</f>
        <v>6</v>
      </c>
      <c r="B13" t="s" s="296">
        <v>195</v>
      </c>
      <c r="C13" t="s" s="297">
        <v>196</v>
      </c>
      <c r="D13" t="s" s="297">
        <v>197</v>
      </c>
      <c r="E13" s="284"/>
      <c r="F13" s="288" cm="1">
        <f t="array" ref="F13">IF($AD13="","",$H13-$G13)</f>
        <v>46371</v>
      </c>
      <c r="G13" s="298">
        <v>7</v>
      </c>
      <c r="H13" s="288" cm="1">
        <f t="array" ref="H13">IF($AD13="","",$AA13-$J13-$P13-$O13)</f>
        <v>46378</v>
      </c>
      <c r="I13" s="287"/>
      <c r="J13" s="298">
        <v>7</v>
      </c>
      <c r="K13" s="299"/>
      <c r="L13" s="300"/>
      <c r="M13" s="288"/>
      <c r="N13" s="287"/>
      <c r="O13" s="301">
        <v>7</v>
      </c>
      <c r="P13" s="298">
        <v>14</v>
      </c>
      <c r="Q13" s="288"/>
      <c r="R13" s="287"/>
      <c r="S13" s="287"/>
      <c r="T13" s="287"/>
      <c r="U13" s="287"/>
      <c r="V13" s="287"/>
      <c r="W13" s="287"/>
      <c r="X13" s="287"/>
      <c r="Y13" s="287"/>
      <c r="Z13" s="289"/>
      <c r="AA13" s="288" cm="1">
        <f t="array" ref="AA13">IF(AD13="","",AD13-AC13)</f>
        <v>46406</v>
      </c>
      <c r="AB13" s="289"/>
      <c r="AC13" s="302">
        <v>14</v>
      </c>
      <c r="AD13" s="284">
        <v>46420</v>
      </c>
      <c r="AE13" t="s" s="303">
        <v>198</v>
      </c>
      <c r="AF13" s="292"/>
      <c r="AG13" s="293"/>
      <c r="AH13" s="293"/>
      <c r="AI13" s="293"/>
      <c r="AJ13" s="293"/>
      <c r="AK13" s="293"/>
      <c r="AL13" s="293"/>
      <c r="AM13" s="293"/>
      <c r="AN13" s="293"/>
      <c r="AO13" s="293"/>
      <c r="AP13" s="12"/>
      <c r="AQ13" s="12"/>
      <c r="AR13" s="12"/>
    </row>
    <row r="14" ht="22.5" customHeight="1">
      <c r="A14" s="281" cm="1">
        <f t="array" ref="A14">A13+1</f>
        <v>7</v>
      </c>
      <c r="B14" t="s" s="296">
        <v>199</v>
      </c>
      <c r="C14" t="s" s="297">
        <v>200</v>
      </c>
      <c r="D14" t="s" s="297">
        <v>201</v>
      </c>
      <c r="E14" s="284"/>
      <c r="F14" s="288" cm="1">
        <f t="array" ref="F14">IF($AD14="","",$H14-$G14)</f>
        <v>46314</v>
      </c>
      <c r="G14" s="298">
        <v>7</v>
      </c>
      <c r="H14" s="288" cm="1">
        <f t="array" ref="H14">IF($AD14="","",$AA14-$J14-$P14-$O14)</f>
        <v>46321</v>
      </c>
      <c r="I14" s="287"/>
      <c r="J14" s="298">
        <v>7</v>
      </c>
      <c r="K14" s="299"/>
      <c r="L14" s="300"/>
      <c r="M14" s="288"/>
      <c r="N14" s="287"/>
      <c r="O14" s="301">
        <v>7</v>
      </c>
      <c r="P14" s="298">
        <v>14</v>
      </c>
      <c r="Q14" s="288"/>
      <c r="R14" s="287"/>
      <c r="S14" s="287"/>
      <c r="T14" s="287"/>
      <c r="U14" s="287"/>
      <c r="V14" s="287"/>
      <c r="W14" s="287"/>
      <c r="X14" s="287"/>
      <c r="Y14" s="287"/>
      <c r="Z14" s="289"/>
      <c r="AA14" s="288" cm="1">
        <f t="array" ref="AA14">IF(AD14="","",AD14-AC14)</f>
        <v>46349</v>
      </c>
      <c r="AB14" s="289"/>
      <c r="AC14" s="302">
        <v>14</v>
      </c>
      <c r="AD14" s="284">
        <v>46363</v>
      </c>
      <c r="AE14" s="291"/>
      <c r="AF14" s="292"/>
      <c r="AG14" s="293"/>
      <c r="AH14" s="293"/>
      <c r="AI14" s="293"/>
      <c r="AJ14" s="293"/>
      <c r="AK14" s="293"/>
      <c r="AL14" s="293"/>
      <c r="AM14" s="293"/>
      <c r="AN14" s="293"/>
      <c r="AO14" s="293"/>
      <c r="AP14" s="12"/>
      <c r="AQ14" s="12"/>
      <c r="AR14" s="12"/>
    </row>
    <row r="15" ht="22.5" customHeight="1">
      <c r="A15" s="281" cm="1">
        <f t="array" ref="A15">A14+1</f>
        <v>8</v>
      </c>
      <c r="B15" t="s" s="296">
        <v>202</v>
      </c>
      <c r="C15" t="s" s="297">
        <v>203</v>
      </c>
      <c r="D15" t="s" s="297">
        <v>204</v>
      </c>
      <c r="E15" s="284"/>
      <c r="F15" s="288" cm="1">
        <f t="array" ref="F15">IF($AD15="","",$H15-$G15)</f>
        <v>46328</v>
      </c>
      <c r="G15" s="298">
        <v>7</v>
      </c>
      <c r="H15" s="288" cm="1">
        <f t="array" ref="H15">IF($AD15="","",$AA15-$J15-$P15-$O15)</f>
        <v>46335</v>
      </c>
      <c r="I15" s="287"/>
      <c r="J15" s="298">
        <v>7</v>
      </c>
      <c r="K15" s="299"/>
      <c r="L15" s="300"/>
      <c r="M15" s="288"/>
      <c r="N15" s="287"/>
      <c r="O15" s="301">
        <v>7</v>
      </c>
      <c r="P15" s="298">
        <v>14</v>
      </c>
      <c r="Q15" s="288"/>
      <c r="R15" s="287"/>
      <c r="S15" s="287"/>
      <c r="T15" s="287"/>
      <c r="U15" s="287"/>
      <c r="V15" s="287"/>
      <c r="W15" s="287"/>
      <c r="X15" s="287"/>
      <c r="Y15" s="287"/>
      <c r="Z15" s="289"/>
      <c r="AA15" s="288" cm="1">
        <f t="array" ref="AA15">IF(AD15="","",AD15-AC15)</f>
        <v>46363</v>
      </c>
      <c r="AB15" s="289"/>
      <c r="AC15" s="302">
        <v>14</v>
      </c>
      <c r="AD15" s="284">
        <v>46377</v>
      </c>
      <c r="AE15" s="291"/>
      <c r="AF15" s="292"/>
      <c r="AG15" s="293"/>
      <c r="AH15" s="293"/>
      <c r="AI15" s="293"/>
      <c r="AJ15" s="293"/>
      <c r="AK15" s="293"/>
      <c r="AL15" s="293"/>
      <c r="AM15" s="293"/>
      <c r="AN15" s="293"/>
      <c r="AO15" s="293"/>
      <c r="AP15" s="12"/>
      <c r="AQ15" s="12"/>
      <c r="AR15" s="12"/>
    </row>
    <row r="16" ht="22.5" customHeight="1">
      <c r="A16" s="281" cm="1">
        <f t="array" ref="A16">A15+1</f>
        <v>9</v>
      </c>
      <c r="B16" t="s" s="296">
        <v>205</v>
      </c>
      <c r="C16" t="s" s="297">
        <v>206</v>
      </c>
      <c r="D16" t="s" s="297">
        <v>207</v>
      </c>
      <c r="E16" s="284"/>
      <c r="F16" s="288" cm="1">
        <f t="array" ref="F16">IF($AD16="","",$H16-$G16)</f>
        <v>46330</v>
      </c>
      <c r="G16" s="298">
        <v>7</v>
      </c>
      <c r="H16" s="288" cm="1">
        <f t="array" ref="H16">IF($AD16="","",$AA16-$J16-$P16-$O16)</f>
        <v>46337</v>
      </c>
      <c r="I16" s="287"/>
      <c r="J16" s="298">
        <v>7</v>
      </c>
      <c r="K16" s="299"/>
      <c r="L16" s="300"/>
      <c r="M16" s="288"/>
      <c r="N16" s="287"/>
      <c r="O16" s="301">
        <v>7</v>
      </c>
      <c r="P16" s="298">
        <v>14</v>
      </c>
      <c r="Q16" s="288"/>
      <c r="R16" s="287"/>
      <c r="S16" s="287"/>
      <c r="T16" s="287"/>
      <c r="U16" s="287"/>
      <c r="V16" s="287"/>
      <c r="W16" s="287"/>
      <c r="X16" s="287"/>
      <c r="Y16" s="287"/>
      <c r="Z16" s="289"/>
      <c r="AA16" s="288" cm="1">
        <f t="array" ref="AA16">IF(AD16="","",AD16-AC16)</f>
        <v>46365</v>
      </c>
      <c r="AB16" s="289"/>
      <c r="AC16" s="302">
        <v>14</v>
      </c>
      <c r="AD16" s="284">
        <v>46379</v>
      </c>
      <c r="AE16" s="291"/>
      <c r="AF16" s="292"/>
      <c r="AG16" s="293"/>
      <c r="AH16" s="293"/>
      <c r="AI16" s="293"/>
      <c r="AJ16" s="293"/>
      <c r="AK16" s="293"/>
      <c r="AL16" s="293"/>
      <c r="AM16" s="293"/>
      <c r="AN16" s="293"/>
      <c r="AO16" s="293"/>
      <c r="AP16" s="12"/>
      <c r="AQ16" s="12"/>
      <c r="AR16" s="12"/>
    </row>
    <row r="17" ht="22.5" customHeight="1">
      <c r="A17" s="281" cm="1">
        <f t="array" ref="A17">A16+1</f>
        <v>10</v>
      </c>
      <c r="B17" t="s" s="296">
        <v>208</v>
      </c>
      <c r="C17" t="s" s="297">
        <v>209</v>
      </c>
      <c r="D17" t="s" s="297">
        <v>210</v>
      </c>
      <c r="E17" s="284"/>
      <c r="F17" s="288" cm="1">
        <f t="array" ref="F17">IF($AD17="","",$H17-$G17)</f>
        <v>46350</v>
      </c>
      <c r="G17" s="298">
        <v>7</v>
      </c>
      <c r="H17" s="288" cm="1">
        <f t="array" ref="H17">IF($AD17="","",$AA17-$J17-$P17-$O17)</f>
        <v>46357</v>
      </c>
      <c r="I17" s="287"/>
      <c r="J17" s="298">
        <v>7</v>
      </c>
      <c r="K17" s="299"/>
      <c r="L17" s="300"/>
      <c r="M17" s="288"/>
      <c r="N17" s="287"/>
      <c r="O17" s="301">
        <v>7</v>
      </c>
      <c r="P17" s="298">
        <v>14</v>
      </c>
      <c r="Q17" s="288"/>
      <c r="R17" s="287"/>
      <c r="S17" s="287"/>
      <c r="T17" s="287"/>
      <c r="U17" s="287"/>
      <c r="V17" s="287"/>
      <c r="W17" s="287"/>
      <c r="X17" s="287"/>
      <c r="Y17" s="287"/>
      <c r="Z17" s="289"/>
      <c r="AA17" s="288" cm="1">
        <f t="array" ref="AA17">IF(AD17="","",AD17-AC17)</f>
        <v>46385</v>
      </c>
      <c r="AB17" s="289"/>
      <c r="AC17" s="302">
        <v>14</v>
      </c>
      <c r="AD17" s="284">
        <v>46399</v>
      </c>
      <c r="AE17" s="291"/>
      <c r="AF17" s="292"/>
      <c r="AG17" s="293"/>
      <c r="AH17" s="293"/>
      <c r="AI17" s="293"/>
      <c r="AJ17" s="293"/>
      <c r="AK17" s="293"/>
      <c r="AL17" s="293"/>
      <c r="AM17" s="293"/>
      <c r="AN17" s="293"/>
      <c r="AO17" s="293"/>
      <c r="AP17" s="12"/>
      <c r="AQ17" s="12"/>
      <c r="AR17" s="12"/>
    </row>
    <row r="18" ht="22.5" customHeight="1">
      <c r="A18" s="281" cm="1">
        <f t="array" ref="A18">A17+1</f>
        <v>11</v>
      </c>
      <c r="B18" t="s" s="296">
        <v>211</v>
      </c>
      <c r="C18" t="s" s="306">
        <v>212</v>
      </c>
      <c r="D18" t="s" s="297">
        <v>213</v>
      </c>
      <c r="E18" s="284"/>
      <c r="F18" s="288" cm="1">
        <f t="array" ref="F18">IF($AD18="","",$H18-$G18)</f>
        <v>46325</v>
      </c>
      <c r="G18" s="298">
        <v>7</v>
      </c>
      <c r="H18" s="288" cm="1">
        <f t="array" ref="H18">IF($AD18="","",$AA18-$J18-$P18-$O18)</f>
        <v>46332</v>
      </c>
      <c r="I18" s="287"/>
      <c r="J18" s="298">
        <v>7</v>
      </c>
      <c r="K18" s="299"/>
      <c r="L18" s="300"/>
      <c r="M18" s="288"/>
      <c r="N18" s="287"/>
      <c r="O18" s="301">
        <v>7</v>
      </c>
      <c r="P18" s="298">
        <v>14</v>
      </c>
      <c r="Q18" s="288"/>
      <c r="R18" s="287"/>
      <c r="S18" s="287"/>
      <c r="T18" s="287"/>
      <c r="U18" s="287"/>
      <c r="V18" s="287"/>
      <c r="W18" s="287"/>
      <c r="X18" s="287"/>
      <c r="Y18" s="287"/>
      <c r="Z18" s="289"/>
      <c r="AA18" s="288" cm="1">
        <f t="array" ref="AA18">IF(AD18="","",AD18-AC18)</f>
        <v>46360</v>
      </c>
      <c r="AB18" s="289"/>
      <c r="AC18" s="302">
        <v>14</v>
      </c>
      <c r="AD18" s="284">
        <v>46374</v>
      </c>
      <c r="AE18" t="s" s="303">
        <v>184</v>
      </c>
      <c r="AF18" s="292"/>
      <c r="AG18" s="293"/>
      <c r="AH18" s="293"/>
      <c r="AI18" s="293"/>
      <c r="AJ18" s="293"/>
      <c r="AK18" s="293"/>
      <c r="AL18" s="293"/>
      <c r="AM18" s="293"/>
      <c r="AN18" s="293"/>
      <c r="AO18" s="293"/>
      <c r="AP18" s="12"/>
      <c r="AQ18" s="12"/>
      <c r="AR18" s="12"/>
    </row>
    <row r="19" ht="22.5" customHeight="1">
      <c r="A19" s="281" cm="1">
        <f t="array" ref="A19">A18+1</f>
        <v>12</v>
      </c>
      <c r="B19" t="s" s="296">
        <v>214</v>
      </c>
      <c r="C19" t="s" s="297">
        <v>215</v>
      </c>
      <c r="D19" t="s" s="297">
        <v>216</v>
      </c>
      <c r="E19" s="284"/>
      <c r="F19" s="288" cm="1">
        <f t="array" ref="F19">IF($AD19="","",$H19-$G19)</f>
        <v>46328</v>
      </c>
      <c r="G19" s="298">
        <v>7</v>
      </c>
      <c r="H19" s="288" cm="1">
        <f t="array" ref="H19">IF($AD19="","",$AA19-$J19-$P19-$O19)</f>
        <v>46335</v>
      </c>
      <c r="I19" s="287"/>
      <c r="J19" s="298">
        <v>7</v>
      </c>
      <c r="K19" s="299"/>
      <c r="L19" s="300"/>
      <c r="M19" s="288"/>
      <c r="N19" s="287"/>
      <c r="O19" s="301">
        <v>7</v>
      </c>
      <c r="P19" s="298">
        <v>14</v>
      </c>
      <c r="Q19" s="288"/>
      <c r="R19" s="287"/>
      <c r="S19" s="287"/>
      <c r="T19" s="287"/>
      <c r="U19" s="287"/>
      <c r="V19" s="287"/>
      <c r="W19" s="287"/>
      <c r="X19" s="287"/>
      <c r="Y19" s="287"/>
      <c r="Z19" s="289"/>
      <c r="AA19" s="288" cm="1">
        <f t="array" ref="AA19">IF(AD19="","",AD19-AC19)</f>
        <v>46363</v>
      </c>
      <c r="AB19" s="289"/>
      <c r="AC19" s="302">
        <v>14</v>
      </c>
      <c r="AD19" s="284">
        <v>46377</v>
      </c>
      <c r="AE19" t="s" s="303">
        <v>217</v>
      </c>
      <c r="AF19" s="292"/>
      <c r="AG19" s="293"/>
      <c r="AH19" s="293"/>
      <c r="AI19" s="293"/>
      <c r="AJ19" s="293"/>
      <c r="AK19" s="293"/>
      <c r="AL19" s="293"/>
      <c r="AM19" s="293"/>
      <c r="AN19" s="293"/>
      <c r="AO19" s="293"/>
      <c r="AP19" s="12"/>
      <c r="AQ19" s="12"/>
      <c r="AR19" s="12"/>
    </row>
    <row r="20" ht="22.5" customHeight="1">
      <c r="A20" s="281" cm="1">
        <f t="array" ref="A20">A19+1</f>
        <v>13</v>
      </c>
      <c r="B20" t="s" s="296">
        <v>218</v>
      </c>
      <c r="C20" t="s" s="297">
        <v>219</v>
      </c>
      <c r="D20" t="s" s="297">
        <v>220</v>
      </c>
      <c r="E20" s="284"/>
      <c r="F20" s="288" cm="1">
        <f t="array" ref="F20">IF($AD20="","",$H20-$G20)</f>
        <v>46321</v>
      </c>
      <c r="G20" s="298">
        <v>7</v>
      </c>
      <c r="H20" s="288" cm="1">
        <f t="array" ref="H20">IF($AD20="","",$AA20-$J20-$P20-$O20)</f>
        <v>46328</v>
      </c>
      <c r="I20" s="287"/>
      <c r="J20" s="298">
        <v>7</v>
      </c>
      <c r="K20" s="299"/>
      <c r="L20" s="300"/>
      <c r="M20" s="288"/>
      <c r="N20" s="287"/>
      <c r="O20" s="301">
        <v>7</v>
      </c>
      <c r="P20" s="298">
        <v>14</v>
      </c>
      <c r="Q20" s="288"/>
      <c r="R20" s="287"/>
      <c r="S20" s="287"/>
      <c r="T20" s="287"/>
      <c r="U20" s="287"/>
      <c r="V20" s="287"/>
      <c r="W20" s="287"/>
      <c r="X20" s="287"/>
      <c r="Y20" s="287"/>
      <c r="Z20" s="289"/>
      <c r="AA20" s="288" cm="1">
        <f t="array" ref="AA20">IF(AD20="","",AD20-AC20)</f>
        <v>46356</v>
      </c>
      <c r="AB20" s="289"/>
      <c r="AC20" s="302">
        <v>14</v>
      </c>
      <c r="AD20" s="284">
        <v>46370</v>
      </c>
      <c r="AE20" s="291"/>
      <c r="AF20" s="292"/>
      <c r="AG20" s="293"/>
      <c r="AH20" s="293"/>
      <c r="AI20" s="293"/>
      <c r="AJ20" s="293"/>
      <c r="AK20" s="293"/>
      <c r="AL20" s="293"/>
      <c r="AM20" s="293"/>
      <c r="AN20" s="293"/>
      <c r="AO20" s="293"/>
      <c r="AP20" s="12"/>
      <c r="AQ20" s="12"/>
      <c r="AR20" s="12"/>
    </row>
    <row r="21" ht="22.5" customHeight="1">
      <c r="A21" s="281" cm="1">
        <f t="array" ref="A21">A20+1</f>
        <v>14</v>
      </c>
      <c r="B21" t="s" s="296">
        <v>221</v>
      </c>
      <c r="C21" t="s" s="297">
        <v>222</v>
      </c>
      <c r="D21" t="s" s="297">
        <v>223</v>
      </c>
      <c r="E21" s="284"/>
      <c r="F21" s="288" cm="1">
        <f t="array" ref="F21">IF($AD21="","",$H21-$G21)</f>
        <v>46307</v>
      </c>
      <c r="G21" s="298">
        <v>7</v>
      </c>
      <c r="H21" s="288" cm="1">
        <f t="array" ref="H21">IF($AD21="","",$AA21-$J21-$P21-$O21)</f>
        <v>46314</v>
      </c>
      <c r="I21" s="287"/>
      <c r="J21" s="298">
        <v>7</v>
      </c>
      <c r="K21" s="299"/>
      <c r="L21" s="300"/>
      <c r="M21" s="288"/>
      <c r="N21" s="287"/>
      <c r="O21" s="301">
        <v>7</v>
      </c>
      <c r="P21" s="298">
        <v>14</v>
      </c>
      <c r="Q21" s="288"/>
      <c r="R21" s="287"/>
      <c r="S21" s="287"/>
      <c r="T21" s="287"/>
      <c r="U21" s="287"/>
      <c r="V21" s="287"/>
      <c r="W21" s="287"/>
      <c r="X21" s="287"/>
      <c r="Y21" s="287"/>
      <c r="Z21" s="289"/>
      <c r="AA21" s="288" cm="1">
        <f t="array" ref="AA21">IF(AD21="","",AD21-AC21)</f>
        <v>46342</v>
      </c>
      <c r="AB21" s="289"/>
      <c r="AC21" s="302">
        <v>14</v>
      </c>
      <c r="AD21" s="284">
        <v>46356</v>
      </c>
      <c r="AE21" s="291"/>
      <c r="AF21" s="292"/>
      <c r="AG21" s="293"/>
      <c r="AH21" s="293"/>
      <c r="AI21" s="293"/>
      <c r="AJ21" s="293"/>
      <c r="AK21" s="293"/>
      <c r="AL21" s="293"/>
      <c r="AM21" s="293"/>
      <c r="AN21" s="293"/>
      <c r="AO21" s="293"/>
      <c r="AP21" s="12"/>
      <c r="AQ21" s="12"/>
      <c r="AR21" s="12"/>
    </row>
    <row r="22" ht="22.5" customHeight="1">
      <c r="A22" s="281" cm="1">
        <f t="array" ref="A22">A21+1</f>
        <v>15</v>
      </c>
      <c r="B22" t="s" s="296">
        <v>224</v>
      </c>
      <c r="C22" t="s" s="297">
        <v>225</v>
      </c>
      <c r="D22" t="s" s="297">
        <v>226</v>
      </c>
      <c r="E22" s="284"/>
      <c r="F22" s="288" cm="1">
        <f t="array" ref="F22">IF($AD22="","",$H22-$G22)</f>
        <v>46398</v>
      </c>
      <c r="G22" s="298">
        <v>7</v>
      </c>
      <c r="H22" s="288" cm="1">
        <f t="array" ref="H22">IF($AD22="","",$AA22-$J22-$P22-$O22)</f>
        <v>46405</v>
      </c>
      <c r="I22" s="287"/>
      <c r="J22" s="298">
        <v>7</v>
      </c>
      <c r="K22" s="299"/>
      <c r="L22" s="300"/>
      <c r="M22" s="288"/>
      <c r="N22" s="287"/>
      <c r="O22" s="301">
        <v>7</v>
      </c>
      <c r="P22" s="298">
        <v>7</v>
      </c>
      <c r="Q22" s="288"/>
      <c r="R22" s="287"/>
      <c r="S22" s="287"/>
      <c r="T22" s="287"/>
      <c r="U22" s="287"/>
      <c r="V22" s="287"/>
      <c r="W22" s="287"/>
      <c r="X22" s="287"/>
      <c r="Y22" s="287"/>
      <c r="Z22" s="289"/>
      <c r="AA22" s="288" cm="1">
        <f t="array" ref="AA22">IF(AD22="","",AD22-AC22)</f>
        <v>46426</v>
      </c>
      <c r="AB22" s="289"/>
      <c r="AC22" s="302">
        <v>14</v>
      </c>
      <c r="AD22" s="284">
        <v>46440</v>
      </c>
      <c r="AE22" s="291"/>
      <c r="AF22" s="292"/>
      <c r="AG22" s="293"/>
      <c r="AH22" s="293"/>
      <c r="AI22" s="293"/>
      <c r="AJ22" s="293"/>
      <c r="AK22" s="293"/>
      <c r="AL22" s="293"/>
      <c r="AM22" s="293"/>
      <c r="AN22" s="293"/>
      <c r="AO22" s="293"/>
      <c r="AP22" s="12"/>
      <c r="AQ22" s="12"/>
      <c r="AR22" s="12"/>
    </row>
    <row r="23" ht="22.5" customHeight="1">
      <c r="A23" s="281" cm="1">
        <f t="array" ref="A23">A22+1</f>
        <v>16</v>
      </c>
      <c r="B23" s="282"/>
      <c r="C23" s="283"/>
      <c r="D23" s="283"/>
      <c r="E23" s="284"/>
      <c r="F23" t="str" s="285" cm="1">
        <f t="array" ref="F23">IF($AD23="","",$H23-$G23)</f>
      </c>
      <c r="G23" s="286"/>
      <c r="H23" t="str" s="285" cm="1">
        <f t="array" ref="H23">IF($AD23="","",$AA23-$J23-$P23-$O23)</f>
      </c>
      <c r="I23" s="287"/>
      <c r="J23" s="286"/>
      <c r="K23" s="299"/>
      <c r="L23" s="300"/>
      <c r="M23" s="288"/>
      <c r="N23" s="287"/>
      <c r="O23" s="290"/>
      <c r="P23" s="286"/>
      <c r="Q23" s="288"/>
      <c r="R23" s="287"/>
      <c r="S23" s="287"/>
      <c r="T23" s="287"/>
      <c r="U23" s="287"/>
      <c r="V23" s="287"/>
      <c r="W23" s="287"/>
      <c r="X23" s="287"/>
      <c r="Y23" s="287"/>
      <c r="Z23" s="289"/>
      <c r="AA23" t="str" s="285" cm="1">
        <f t="array" ref="AA23">IF(AD23="","",AD23-AC23)</f>
      </c>
      <c r="AB23" s="289"/>
      <c r="AC23" s="270"/>
      <c r="AD23" s="284"/>
      <c r="AE23" s="291"/>
      <c r="AF23" s="292"/>
      <c r="AG23" s="293"/>
      <c r="AH23" s="293"/>
      <c r="AI23" s="293"/>
      <c r="AJ23" s="293"/>
      <c r="AK23" s="293"/>
      <c r="AL23" s="293"/>
      <c r="AM23" s="293"/>
      <c r="AN23" s="293"/>
      <c r="AO23" s="293"/>
      <c r="AP23" s="12"/>
      <c r="AQ23" s="12"/>
      <c r="AR23" s="12"/>
    </row>
    <row r="24" ht="22.5" customHeight="1">
      <c r="A24" s="281" cm="1">
        <f t="array" ref="A24">A23+1</f>
        <v>17</v>
      </c>
      <c r="B24" s="282"/>
      <c r="C24" t="s" s="297">
        <v>227</v>
      </c>
      <c r="D24" s="283"/>
      <c r="E24" s="284"/>
      <c r="F24" t="str" s="285" cm="1">
        <f t="array" ref="F24">IF($AD24="","",$H24-$G24)</f>
      </c>
      <c r="G24" s="286"/>
      <c r="H24" t="str" s="285" cm="1">
        <f t="array" ref="H24">IF($AD24="","",$AA24-$J24-$P24-$O24)</f>
      </c>
      <c r="I24" s="287"/>
      <c r="J24" s="286"/>
      <c r="K24" s="299"/>
      <c r="L24" s="300"/>
      <c r="M24" s="288"/>
      <c r="N24" s="287"/>
      <c r="O24" s="290"/>
      <c r="P24" s="286"/>
      <c r="Q24" s="288"/>
      <c r="R24" s="287"/>
      <c r="S24" s="287"/>
      <c r="T24" s="287"/>
      <c r="U24" s="287"/>
      <c r="V24" s="287"/>
      <c r="W24" s="287"/>
      <c r="X24" s="287"/>
      <c r="Y24" s="287"/>
      <c r="Z24" s="289"/>
      <c r="AA24" t="str" s="285" cm="1">
        <f t="array" ref="AA24">IF(AD24="","",AD24-AC24)</f>
      </c>
      <c r="AB24" s="289"/>
      <c r="AC24" s="270"/>
      <c r="AD24" s="284"/>
      <c r="AE24" s="291"/>
      <c r="AF24" s="292"/>
      <c r="AG24" s="293"/>
      <c r="AH24" s="293"/>
      <c r="AI24" s="293"/>
      <c r="AJ24" s="293"/>
      <c r="AK24" s="293"/>
      <c r="AL24" s="293"/>
      <c r="AM24" s="293"/>
      <c r="AN24" s="293"/>
      <c r="AO24" s="293"/>
      <c r="AP24" s="12"/>
      <c r="AQ24" s="12"/>
      <c r="AR24" s="12"/>
    </row>
    <row r="25" ht="22.5" customHeight="1">
      <c r="A25" s="281" cm="1">
        <f t="array" ref="A25">A24+1</f>
        <v>18</v>
      </c>
      <c r="B25" t="s" s="296">
        <v>228</v>
      </c>
      <c r="C25" t="s" s="297">
        <v>229</v>
      </c>
      <c r="D25" s="283"/>
      <c r="E25" s="284"/>
      <c r="F25" t="str" s="285" cm="1">
        <f t="array" ref="F25">IF($AD25="","",$H25-$G25)</f>
      </c>
      <c r="G25" s="286"/>
      <c r="H25" t="str" s="285" cm="1">
        <f t="array" ref="H25">IF($AD25="","",$AA25-$J25-$P25-$O25)</f>
      </c>
      <c r="I25" s="287"/>
      <c r="J25" s="286"/>
      <c r="K25" s="299"/>
      <c r="L25" s="300"/>
      <c r="M25" s="288"/>
      <c r="N25" s="287"/>
      <c r="O25" s="290"/>
      <c r="P25" s="286"/>
      <c r="Q25" s="288"/>
      <c r="R25" s="287"/>
      <c r="S25" s="287"/>
      <c r="T25" s="287"/>
      <c r="U25" s="287"/>
      <c r="V25" s="287"/>
      <c r="W25" s="287"/>
      <c r="X25" s="287"/>
      <c r="Y25" s="287"/>
      <c r="Z25" s="289"/>
      <c r="AA25" t="str" s="285" cm="1">
        <f t="array" ref="AA25">IF(AD25="","",AD25-AC25)</f>
      </c>
      <c r="AB25" s="289"/>
      <c r="AC25" s="270"/>
      <c r="AD25" s="284"/>
      <c r="AE25" t="s" s="303">
        <v>230</v>
      </c>
      <c r="AF25" s="292"/>
      <c r="AG25" s="293"/>
      <c r="AH25" s="293"/>
      <c r="AI25" s="293"/>
      <c r="AJ25" s="293"/>
      <c r="AK25" s="293"/>
      <c r="AL25" s="293"/>
      <c r="AM25" s="293"/>
      <c r="AN25" s="293"/>
      <c r="AO25" s="293"/>
      <c r="AP25" s="12"/>
      <c r="AQ25" s="12"/>
      <c r="AR25" s="12"/>
    </row>
    <row r="26" ht="22.5" customHeight="1">
      <c r="A26" s="281" cm="1">
        <f t="array" ref="A26">A25+1</f>
        <v>19</v>
      </c>
      <c r="B26" t="s" s="296">
        <v>231</v>
      </c>
      <c r="C26" t="s" s="297">
        <v>232</v>
      </c>
      <c r="D26" s="283"/>
      <c r="E26" s="284"/>
      <c r="F26" t="str" s="285" cm="1">
        <f t="array" ref="F26">IF($AD26="","",$H26-$G26)</f>
      </c>
      <c r="G26" s="286"/>
      <c r="H26" t="str" s="285" cm="1">
        <f t="array" ref="H26">IF($AD26="","",$AA26-$J26-$P26-$O26)</f>
      </c>
      <c r="I26" s="287"/>
      <c r="J26" s="286"/>
      <c r="K26" s="299"/>
      <c r="L26" s="300"/>
      <c r="M26" s="288"/>
      <c r="N26" s="287"/>
      <c r="O26" s="290"/>
      <c r="P26" s="286"/>
      <c r="Q26" s="288"/>
      <c r="R26" s="287"/>
      <c r="S26" s="287"/>
      <c r="T26" s="287"/>
      <c r="U26" s="287"/>
      <c r="V26" s="287"/>
      <c r="W26" s="287"/>
      <c r="X26" s="287"/>
      <c r="Y26" s="287"/>
      <c r="Z26" s="289"/>
      <c r="AA26" t="str" s="285" cm="1">
        <f t="array" ref="AA26">IF(AD26="","",AD26-AC26)</f>
      </c>
      <c r="AB26" s="289"/>
      <c r="AC26" s="270"/>
      <c r="AD26" s="284"/>
      <c r="AE26" t="s" s="303">
        <v>233</v>
      </c>
      <c r="AF26" s="292"/>
      <c r="AG26" s="293"/>
      <c r="AH26" s="293"/>
      <c r="AI26" s="293"/>
      <c r="AJ26" s="293"/>
      <c r="AK26" s="293"/>
      <c r="AL26" s="293"/>
      <c r="AM26" s="293"/>
      <c r="AN26" s="293"/>
      <c r="AO26" s="293"/>
      <c r="AP26" s="12"/>
      <c r="AQ26" s="12"/>
      <c r="AR26" s="12"/>
    </row>
    <row r="27" ht="22.5" customHeight="1">
      <c r="A27" s="281" cm="1">
        <f t="array" ref="A27">A26+1</f>
        <v>20</v>
      </c>
      <c r="B27" s="282"/>
      <c r="C27" s="283"/>
      <c r="D27" s="283"/>
      <c r="E27" s="284"/>
      <c r="F27" t="str" s="285" cm="1">
        <f t="array" ref="F27">IF($AD27="","",$H27-$G27)</f>
      </c>
      <c r="G27" s="286"/>
      <c r="H27" t="str" s="285" cm="1">
        <f t="array" ref="H27">IF($AD27="","",$AA27-$J27-$P27-$O27)</f>
      </c>
      <c r="I27" s="287"/>
      <c r="J27" s="286"/>
      <c r="K27" s="299"/>
      <c r="L27" s="300"/>
      <c r="M27" s="288"/>
      <c r="N27" s="287"/>
      <c r="O27" s="290"/>
      <c r="P27" s="286"/>
      <c r="Q27" s="288"/>
      <c r="R27" s="287"/>
      <c r="S27" s="287"/>
      <c r="T27" s="287"/>
      <c r="U27" s="287"/>
      <c r="V27" s="287"/>
      <c r="W27" s="287"/>
      <c r="X27" s="287"/>
      <c r="Y27" s="287"/>
      <c r="Z27" s="289"/>
      <c r="AA27" t="str" s="285" cm="1">
        <f t="array" ref="AA27">IF(AD27="","",AD27-AC27)</f>
      </c>
      <c r="AB27" s="289"/>
      <c r="AC27" s="270"/>
      <c r="AD27" s="284"/>
      <c r="AE27" s="291"/>
      <c r="AF27" s="292"/>
      <c r="AG27" s="293"/>
      <c r="AH27" s="293"/>
      <c r="AI27" s="293"/>
      <c r="AJ27" s="293"/>
      <c r="AK27" s="293"/>
      <c r="AL27" s="293"/>
      <c r="AM27" s="293"/>
      <c r="AN27" s="293"/>
      <c r="AO27" s="293"/>
      <c r="AP27" s="12"/>
      <c r="AQ27" s="12"/>
      <c r="AR27" s="12"/>
    </row>
    <row r="28" ht="22.5" customHeight="1">
      <c r="A28" s="281" cm="1">
        <f t="array" ref="A28">A27+1</f>
        <v>21</v>
      </c>
      <c r="B28" s="282"/>
      <c r="C28" s="283"/>
      <c r="D28" s="283"/>
      <c r="E28" s="284"/>
      <c r="F28" t="str" s="285" cm="1">
        <f t="array" ref="F28">IF($AD28="","",$H28-$G28)</f>
      </c>
      <c r="G28" s="286"/>
      <c r="H28" t="str" s="285" cm="1">
        <f t="array" ref="H28">IF($AD28="","",$AA28-$J28-$P28-$O28)</f>
      </c>
      <c r="I28" s="287"/>
      <c r="J28" s="286"/>
      <c r="K28" s="299"/>
      <c r="L28" s="300"/>
      <c r="M28" s="288"/>
      <c r="N28" s="287"/>
      <c r="O28" s="290"/>
      <c r="P28" s="286"/>
      <c r="Q28" s="288"/>
      <c r="R28" s="287"/>
      <c r="S28" s="287"/>
      <c r="T28" s="287"/>
      <c r="U28" s="287"/>
      <c r="V28" s="287"/>
      <c r="W28" s="287"/>
      <c r="X28" s="287"/>
      <c r="Y28" s="287"/>
      <c r="Z28" s="289"/>
      <c r="AA28" t="str" s="285" cm="1">
        <f t="array" ref="AA28">IF(AD28="","",AD28-AC28)</f>
      </c>
      <c r="AB28" s="289"/>
      <c r="AC28" s="270"/>
      <c r="AD28" s="284"/>
      <c r="AE28" s="291"/>
      <c r="AF28" s="292"/>
      <c r="AG28" s="293"/>
      <c r="AH28" s="293"/>
      <c r="AI28" s="293"/>
      <c r="AJ28" s="293"/>
      <c r="AK28" s="293"/>
      <c r="AL28" s="293"/>
      <c r="AM28" s="293"/>
      <c r="AN28" s="293"/>
      <c r="AO28" s="293"/>
      <c r="AP28" s="12"/>
      <c r="AQ28" s="12"/>
      <c r="AR28" s="12"/>
    </row>
    <row r="29" ht="22.5" customHeight="1">
      <c r="A29" s="281" cm="1">
        <f t="array" ref="A29">A28+1</f>
        <v>22</v>
      </c>
      <c r="B29" s="282"/>
      <c r="C29" s="283"/>
      <c r="D29" s="283"/>
      <c r="E29" s="284"/>
      <c r="F29" t="str" s="285" cm="1">
        <f t="array" ref="F29">IF($AD29="","",$H29-$G29)</f>
      </c>
      <c r="G29" s="286"/>
      <c r="H29" t="str" s="285" cm="1">
        <f t="array" ref="H29">IF($AD29="","",$AA29-$J29-$P29-$O29)</f>
      </c>
      <c r="I29" s="287"/>
      <c r="J29" s="286"/>
      <c r="K29" s="299"/>
      <c r="L29" s="300"/>
      <c r="M29" s="288"/>
      <c r="N29" s="287"/>
      <c r="O29" s="290"/>
      <c r="P29" s="286"/>
      <c r="Q29" s="288"/>
      <c r="R29" s="287"/>
      <c r="S29" s="287"/>
      <c r="T29" s="287"/>
      <c r="U29" s="287"/>
      <c r="V29" s="287"/>
      <c r="W29" s="287"/>
      <c r="X29" s="287"/>
      <c r="Y29" s="287"/>
      <c r="Z29" s="289"/>
      <c r="AA29" t="str" s="285" cm="1">
        <f t="array" ref="AA29">IF(AD29="","",AD29-AC29)</f>
      </c>
      <c r="AB29" s="289"/>
      <c r="AC29" s="270"/>
      <c r="AD29" s="284"/>
      <c r="AE29" s="291"/>
      <c r="AF29" s="292"/>
      <c r="AG29" s="293"/>
      <c r="AH29" s="293"/>
      <c r="AI29" s="293"/>
      <c r="AJ29" s="293"/>
      <c r="AK29" s="293"/>
      <c r="AL29" s="293"/>
      <c r="AM29" s="293"/>
      <c r="AN29" s="293"/>
      <c r="AO29" s="293"/>
      <c r="AP29" s="12"/>
      <c r="AQ29" s="12"/>
      <c r="AR29" s="12"/>
    </row>
    <row r="30" ht="22.5" customHeight="1">
      <c r="A30" s="281" cm="1">
        <f t="array" ref="A30">A29+1</f>
        <v>23</v>
      </c>
      <c r="B30" s="282"/>
      <c r="C30" s="283"/>
      <c r="D30" s="283"/>
      <c r="E30" s="284"/>
      <c r="F30" t="str" s="285" cm="1">
        <f t="array" ref="F30">IF($AD30="","",$H30-$G30)</f>
      </c>
      <c r="G30" s="286"/>
      <c r="H30" t="str" s="285" cm="1">
        <f t="array" ref="H30">IF($AD30="","",$AA30-$J30-$P30-$O30)</f>
      </c>
      <c r="I30" s="287"/>
      <c r="J30" s="286"/>
      <c r="K30" s="299"/>
      <c r="L30" s="300"/>
      <c r="M30" s="288"/>
      <c r="N30" s="287"/>
      <c r="O30" s="290"/>
      <c r="P30" s="286"/>
      <c r="Q30" s="288"/>
      <c r="R30" s="287"/>
      <c r="S30" s="287"/>
      <c r="T30" s="287"/>
      <c r="U30" s="287"/>
      <c r="V30" s="287"/>
      <c r="W30" s="287"/>
      <c r="X30" s="287"/>
      <c r="Y30" s="287"/>
      <c r="Z30" s="289"/>
      <c r="AA30" t="str" s="285" cm="1">
        <f t="array" ref="AA30">IF(AD30="","",AD30-AC30)</f>
      </c>
      <c r="AB30" s="289"/>
      <c r="AC30" s="270"/>
      <c r="AD30" s="284"/>
      <c r="AE30" s="291"/>
      <c r="AF30" s="292"/>
      <c r="AG30" s="293"/>
      <c r="AH30" s="293"/>
      <c r="AI30" s="293"/>
      <c r="AJ30" s="293"/>
      <c r="AK30" s="293"/>
      <c r="AL30" s="293"/>
      <c r="AM30" s="293"/>
      <c r="AN30" s="293"/>
      <c r="AO30" s="293"/>
      <c r="AP30" s="12"/>
      <c r="AQ30" s="12"/>
      <c r="AR30" s="12"/>
    </row>
    <row r="31" ht="22.5" customHeight="1">
      <c r="A31" s="281" cm="1">
        <f t="array" ref="A31">A30+1</f>
        <v>24</v>
      </c>
      <c r="B31" s="282"/>
      <c r="C31" s="283"/>
      <c r="D31" s="283"/>
      <c r="E31" s="284"/>
      <c r="F31" t="str" s="285" cm="1">
        <f t="array" ref="F31">IF($AD31="","",$H31-$G31)</f>
      </c>
      <c r="G31" s="286"/>
      <c r="H31" t="str" s="285" cm="1">
        <f t="array" ref="H31">IF($AD31="","",$AA31-$J31-$P31-$O31)</f>
      </c>
      <c r="I31" s="287"/>
      <c r="J31" s="286"/>
      <c r="K31" s="299"/>
      <c r="L31" s="300"/>
      <c r="M31" s="288"/>
      <c r="N31" s="287"/>
      <c r="O31" s="290"/>
      <c r="P31" s="286"/>
      <c r="Q31" s="288"/>
      <c r="R31" s="287"/>
      <c r="S31" s="287"/>
      <c r="T31" s="287"/>
      <c r="U31" s="287"/>
      <c r="V31" s="287"/>
      <c r="W31" s="287"/>
      <c r="X31" s="287"/>
      <c r="Y31" s="287"/>
      <c r="Z31" s="289"/>
      <c r="AA31" t="str" s="285" cm="1">
        <f t="array" ref="AA31">IF(AD31="","",AD31-AC31)</f>
      </c>
      <c r="AB31" s="289"/>
      <c r="AC31" s="270"/>
      <c r="AD31" s="284"/>
      <c r="AE31" s="291"/>
      <c r="AF31" s="292"/>
      <c r="AG31" s="293"/>
      <c r="AH31" s="293"/>
      <c r="AI31" s="293"/>
      <c r="AJ31" s="293"/>
      <c r="AK31" s="293"/>
      <c r="AL31" s="293"/>
      <c r="AM31" s="293"/>
      <c r="AN31" s="293"/>
      <c r="AO31" s="293"/>
      <c r="AP31" s="12"/>
      <c r="AQ31" s="12"/>
      <c r="AR31" s="12"/>
    </row>
    <row r="32" ht="22.5" customHeight="1">
      <c r="A32" s="281" cm="1">
        <f t="array" ref="A32">A31+1</f>
        <v>25</v>
      </c>
      <c r="B32" s="282"/>
      <c r="C32" s="283"/>
      <c r="D32" s="283"/>
      <c r="E32" s="284"/>
      <c r="F32" t="str" s="285" cm="1">
        <f t="array" ref="F32">IF($AD32="","",$H32-$G32)</f>
      </c>
      <c r="G32" s="286"/>
      <c r="H32" t="str" s="285" cm="1">
        <f t="array" ref="H32">IF($AD32="","",$AA32-$J32-$P32-$O32)</f>
      </c>
      <c r="I32" s="287"/>
      <c r="J32" s="286"/>
      <c r="K32" s="299"/>
      <c r="L32" s="300"/>
      <c r="M32" s="288"/>
      <c r="N32" s="287"/>
      <c r="O32" s="290"/>
      <c r="P32" s="286"/>
      <c r="Q32" s="288"/>
      <c r="R32" s="287"/>
      <c r="S32" s="287"/>
      <c r="T32" s="287"/>
      <c r="U32" s="287"/>
      <c r="V32" s="287"/>
      <c r="W32" s="287"/>
      <c r="X32" s="287"/>
      <c r="Y32" s="287"/>
      <c r="Z32" s="289"/>
      <c r="AA32" t="str" s="285" cm="1">
        <f t="array" ref="AA32">IF(AD32="","",AD32-AC32)</f>
      </c>
      <c r="AB32" s="289"/>
      <c r="AC32" s="270"/>
      <c r="AD32" s="284"/>
      <c r="AE32" s="291"/>
      <c r="AF32" s="292"/>
      <c r="AG32" s="293"/>
      <c r="AH32" s="293"/>
      <c r="AI32" s="293"/>
      <c r="AJ32" s="293"/>
      <c r="AK32" s="293"/>
      <c r="AL32" s="293"/>
      <c r="AM32" s="293"/>
      <c r="AN32" s="293"/>
      <c r="AO32" s="293"/>
      <c r="AP32" s="12"/>
      <c r="AQ32" s="12"/>
      <c r="AR32" s="12"/>
    </row>
    <row r="33" ht="22.5" customHeight="1">
      <c r="A33" s="281" cm="1">
        <f t="array" ref="A33">A32+1</f>
        <v>26</v>
      </c>
      <c r="B33" s="282"/>
      <c r="C33" s="283"/>
      <c r="D33" s="283"/>
      <c r="E33" s="284"/>
      <c r="F33" t="str" s="285" cm="1">
        <f t="array" ref="F33">IF($AD33="","",$H33-$G33)</f>
      </c>
      <c r="G33" s="286"/>
      <c r="H33" t="str" s="285" cm="1">
        <f t="array" ref="H33">IF($AD33="","",$AA33-$J33-$P33-$O33)</f>
      </c>
      <c r="I33" s="287"/>
      <c r="J33" s="286"/>
      <c r="K33" s="299"/>
      <c r="L33" s="300"/>
      <c r="M33" s="288"/>
      <c r="N33" s="287"/>
      <c r="O33" s="290"/>
      <c r="P33" s="286"/>
      <c r="Q33" s="288"/>
      <c r="R33" s="287"/>
      <c r="S33" s="287"/>
      <c r="T33" s="287"/>
      <c r="U33" s="287"/>
      <c r="V33" s="287"/>
      <c r="W33" s="287"/>
      <c r="X33" s="287"/>
      <c r="Y33" s="287"/>
      <c r="Z33" s="289"/>
      <c r="AA33" t="str" s="285" cm="1">
        <f t="array" ref="AA33">IF(AD33="","",AD33-AC33)</f>
      </c>
      <c r="AB33" s="289"/>
      <c r="AC33" s="270"/>
      <c r="AD33" s="284"/>
      <c r="AE33" s="291"/>
      <c r="AF33" s="292"/>
      <c r="AG33" s="293"/>
      <c r="AH33" s="293"/>
      <c r="AI33" s="293"/>
      <c r="AJ33" s="293"/>
      <c r="AK33" s="293"/>
      <c r="AL33" s="293"/>
      <c r="AM33" s="293"/>
      <c r="AN33" s="293"/>
      <c r="AO33" s="293"/>
      <c r="AP33" s="12"/>
      <c r="AQ33" s="12"/>
      <c r="AR33" s="12"/>
    </row>
    <row r="34" ht="22.5" customHeight="1">
      <c r="A34" s="281" cm="1">
        <f t="array" ref="A34">A33+1</f>
        <v>27</v>
      </c>
      <c r="B34" s="282"/>
      <c r="C34" s="283"/>
      <c r="D34" s="283"/>
      <c r="E34" s="284"/>
      <c r="F34" t="str" s="285" cm="1">
        <f t="array" ref="F34">IF($AD34="","",$H34-$G34)</f>
      </c>
      <c r="G34" s="286"/>
      <c r="H34" t="str" s="285" cm="1">
        <f t="array" ref="H34">IF($AD34="","",$AA34-$J34-$P34-$O34)</f>
      </c>
      <c r="I34" s="287"/>
      <c r="J34" s="286"/>
      <c r="K34" s="299"/>
      <c r="L34" s="300"/>
      <c r="M34" s="288"/>
      <c r="N34" s="287"/>
      <c r="O34" s="290"/>
      <c r="P34" s="286"/>
      <c r="Q34" s="288"/>
      <c r="R34" s="287"/>
      <c r="S34" s="287"/>
      <c r="T34" s="287"/>
      <c r="U34" s="287"/>
      <c r="V34" s="287"/>
      <c r="W34" s="287"/>
      <c r="X34" s="287"/>
      <c r="Y34" s="287"/>
      <c r="Z34" s="289"/>
      <c r="AA34" t="str" s="285" cm="1">
        <f t="array" ref="AA34">IF(AD34="","",AD34-AC34)</f>
      </c>
      <c r="AB34" s="289"/>
      <c r="AC34" s="270"/>
      <c r="AD34" s="284"/>
      <c r="AE34" s="291"/>
      <c r="AF34" s="292"/>
      <c r="AG34" s="293"/>
      <c r="AH34" s="293"/>
      <c r="AI34" s="293"/>
      <c r="AJ34" s="293"/>
      <c r="AK34" s="293"/>
      <c r="AL34" s="293"/>
      <c r="AM34" s="293"/>
      <c r="AN34" s="293"/>
      <c r="AO34" s="293"/>
      <c r="AP34" s="12"/>
      <c r="AQ34" s="12"/>
      <c r="AR34" s="12"/>
    </row>
    <row r="35" ht="22.5" customHeight="1">
      <c r="A35" s="281" cm="1">
        <f t="array" ref="A35">A34+1</f>
        <v>28</v>
      </c>
      <c r="B35" s="282"/>
      <c r="C35" s="283"/>
      <c r="D35" s="283"/>
      <c r="E35" s="284"/>
      <c r="F35" t="str" s="285" cm="1">
        <f t="array" ref="F35">IF($AD35="","",$H35-$G35)</f>
      </c>
      <c r="G35" s="286"/>
      <c r="H35" t="str" s="285" cm="1">
        <f t="array" ref="H35">IF($AD35="","",$AA35-$J35-$P35-$O35)</f>
      </c>
      <c r="I35" s="287"/>
      <c r="J35" s="286"/>
      <c r="K35" s="299"/>
      <c r="L35" s="300"/>
      <c r="M35" s="288"/>
      <c r="N35" s="287"/>
      <c r="O35" s="290"/>
      <c r="P35" s="286"/>
      <c r="Q35" s="288"/>
      <c r="R35" s="287"/>
      <c r="S35" s="287"/>
      <c r="T35" s="287"/>
      <c r="U35" s="287"/>
      <c r="V35" s="287"/>
      <c r="W35" s="287"/>
      <c r="X35" s="287"/>
      <c r="Y35" s="287"/>
      <c r="Z35" s="289"/>
      <c r="AA35" t="str" s="285" cm="1">
        <f t="array" ref="AA35">IF(AD35="","",AD35-AC35)</f>
      </c>
      <c r="AB35" s="289"/>
      <c r="AC35" s="270"/>
      <c r="AD35" s="284"/>
      <c r="AE35" s="291"/>
      <c r="AF35" s="292"/>
      <c r="AG35" s="293"/>
      <c r="AH35" s="293"/>
      <c r="AI35" s="293"/>
      <c r="AJ35" s="293"/>
      <c r="AK35" s="293"/>
      <c r="AL35" s="293"/>
      <c r="AM35" s="293"/>
      <c r="AN35" s="293"/>
      <c r="AO35" s="293"/>
      <c r="AP35" s="12"/>
      <c r="AQ35" s="12"/>
      <c r="AR35" s="12"/>
    </row>
    <row r="36" ht="22.5" customHeight="1">
      <c r="A36" s="281" cm="1">
        <f t="array" ref="A36">A35+1</f>
        <v>29</v>
      </c>
      <c r="B36" s="282"/>
      <c r="C36" s="283"/>
      <c r="D36" s="283"/>
      <c r="E36" s="284"/>
      <c r="F36" t="str" s="285" cm="1">
        <f t="array" ref="F36">IF($AD36="","",$H36-$G36)</f>
      </c>
      <c r="G36" s="286"/>
      <c r="H36" t="str" s="285" cm="1">
        <f t="array" ref="H36">IF($AD36="","",$AA36-$J36-$P36-$O36)</f>
      </c>
      <c r="I36" s="287"/>
      <c r="J36" s="286"/>
      <c r="K36" s="299"/>
      <c r="L36" s="300"/>
      <c r="M36" s="288"/>
      <c r="N36" s="287"/>
      <c r="O36" s="290"/>
      <c r="P36" s="286"/>
      <c r="Q36" s="288"/>
      <c r="R36" s="287"/>
      <c r="S36" s="287"/>
      <c r="T36" s="287"/>
      <c r="U36" s="287"/>
      <c r="V36" s="287"/>
      <c r="W36" s="287"/>
      <c r="X36" s="287"/>
      <c r="Y36" s="287"/>
      <c r="Z36" s="289"/>
      <c r="AA36" t="str" s="285" cm="1">
        <f t="array" ref="AA36">IF(AD36="","",AD36-AC36)</f>
      </c>
      <c r="AB36" s="289"/>
      <c r="AC36" s="270"/>
      <c r="AD36" s="284"/>
      <c r="AE36" s="291"/>
      <c r="AF36" s="292"/>
      <c r="AG36" s="293"/>
      <c r="AH36" s="293"/>
      <c r="AI36" s="293"/>
      <c r="AJ36" s="293"/>
      <c r="AK36" s="293"/>
      <c r="AL36" s="293"/>
      <c r="AM36" s="293"/>
      <c r="AN36" s="293"/>
      <c r="AO36" s="293"/>
      <c r="AP36" s="12"/>
      <c r="AQ36" s="12"/>
      <c r="AR36" s="12"/>
    </row>
    <row r="37" ht="22.5" customHeight="1">
      <c r="A37" s="281" cm="1">
        <f t="array" ref="A37">A36+1</f>
        <v>30</v>
      </c>
      <c r="B37" s="282"/>
      <c r="C37" t="s" s="297">
        <v>234</v>
      </c>
      <c r="D37" s="283"/>
      <c r="E37" s="284"/>
      <c r="F37" t="str" s="285" cm="1">
        <f t="array" ref="F37">IF($AD37="","",$H37-$G37)</f>
      </c>
      <c r="G37" s="286"/>
      <c r="H37" t="str" s="285" cm="1">
        <f t="array" ref="H37">IF($AD37="","",$AA37-$J37-$P37-$O37)</f>
      </c>
      <c r="I37" s="287"/>
      <c r="J37" s="286"/>
      <c r="K37" s="299"/>
      <c r="L37" s="300"/>
      <c r="M37" s="288"/>
      <c r="N37" s="287"/>
      <c r="O37" s="290"/>
      <c r="P37" s="286"/>
      <c r="Q37" s="288"/>
      <c r="R37" s="287"/>
      <c r="S37" s="287"/>
      <c r="T37" s="287"/>
      <c r="U37" s="287"/>
      <c r="V37" s="287"/>
      <c r="W37" s="287"/>
      <c r="X37" s="287"/>
      <c r="Y37" s="287"/>
      <c r="Z37" s="289"/>
      <c r="AA37" t="str" s="285" cm="1">
        <f t="array" ref="AA37">IF(AD37="","",AD37-AC37)</f>
      </c>
      <c r="AB37" s="289"/>
      <c r="AC37" s="270"/>
      <c r="AD37" s="284"/>
      <c r="AE37" s="291"/>
      <c r="AF37" s="292"/>
      <c r="AG37" s="293"/>
      <c r="AH37" s="293"/>
      <c r="AI37" s="293"/>
      <c r="AJ37" s="293"/>
      <c r="AK37" s="293"/>
      <c r="AL37" s="293"/>
      <c r="AM37" s="293"/>
      <c r="AN37" s="293"/>
      <c r="AO37" s="293"/>
      <c r="AP37" s="12"/>
      <c r="AQ37" s="12"/>
      <c r="AR37" s="12"/>
    </row>
    <row r="38" ht="22.5" customHeight="1">
      <c r="A38" s="281" cm="1">
        <f t="array" ref="A38">A37+1</f>
        <v>31</v>
      </c>
      <c r="B38" s="282"/>
      <c r="C38" t="s" s="297">
        <v>235</v>
      </c>
      <c r="D38" s="283"/>
      <c r="E38" s="284"/>
      <c r="F38" t="str" s="285" cm="1">
        <f t="array" ref="F38">IF($AD38="","",$H38-$G38)</f>
      </c>
      <c r="G38" s="286"/>
      <c r="H38" t="str" s="285" cm="1">
        <f t="array" ref="H38">IF($AD38="","",$AA38-$J38-$P38-$O38)</f>
      </c>
      <c r="I38" s="287"/>
      <c r="J38" s="286"/>
      <c r="K38" s="299"/>
      <c r="L38" s="300"/>
      <c r="M38" s="288"/>
      <c r="N38" s="287"/>
      <c r="O38" s="290"/>
      <c r="P38" s="286"/>
      <c r="Q38" s="288"/>
      <c r="R38" s="287"/>
      <c r="S38" s="287"/>
      <c r="T38" s="287"/>
      <c r="U38" s="287"/>
      <c r="V38" s="287"/>
      <c r="W38" s="287"/>
      <c r="X38" s="287"/>
      <c r="Y38" s="287"/>
      <c r="Z38" s="289"/>
      <c r="AA38" t="str" s="285" cm="1">
        <f t="array" ref="AA38">IF(AD38="","",AD38-AC38)</f>
      </c>
      <c r="AB38" s="289"/>
      <c r="AC38" s="270"/>
      <c r="AD38" s="284"/>
      <c r="AE38" s="291"/>
      <c r="AF38" s="292"/>
      <c r="AG38" s="293"/>
      <c r="AH38" s="293"/>
      <c r="AI38" s="293"/>
      <c r="AJ38" s="293"/>
      <c r="AK38" s="293"/>
      <c r="AL38" s="293"/>
      <c r="AM38" s="293"/>
      <c r="AN38" s="293"/>
      <c r="AO38" s="293"/>
      <c r="AP38" s="12"/>
      <c r="AQ38" s="12"/>
      <c r="AR38" s="12"/>
    </row>
    <row r="39" ht="22.5" customHeight="1">
      <c r="A39" s="281" cm="1">
        <f t="array" ref="A39">A38+1</f>
        <v>32</v>
      </c>
      <c r="B39" s="282"/>
      <c r="C39" t="s" s="297">
        <v>236</v>
      </c>
      <c r="D39" s="283"/>
      <c r="E39" s="284"/>
      <c r="F39" t="str" s="285" cm="1">
        <f t="array" ref="F39">IF($AD39="","",$H39-$G39)</f>
      </c>
      <c r="G39" s="286"/>
      <c r="H39" t="str" s="285" cm="1">
        <f t="array" ref="H39">IF($AD39="","",$AA39-$J39-$P39-$O39)</f>
      </c>
      <c r="I39" s="287"/>
      <c r="J39" s="286"/>
      <c r="K39" s="299"/>
      <c r="L39" s="300"/>
      <c r="M39" s="288"/>
      <c r="N39" s="287"/>
      <c r="O39" s="290"/>
      <c r="P39" s="286"/>
      <c r="Q39" s="288"/>
      <c r="R39" s="287"/>
      <c r="S39" s="287"/>
      <c r="T39" s="287"/>
      <c r="U39" s="287"/>
      <c r="V39" s="287"/>
      <c r="W39" s="287"/>
      <c r="X39" s="287"/>
      <c r="Y39" s="287"/>
      <c r="Z39" s="289"/>
      <c r="AA39" t="str" s="285" cm="1">
        <f t="array" ref="AA39">IF(AD39="","",AD39-AC39)</f>
      </c>
      <c r="AB39" s="289"/>
      <c r="AC39" s="270"/>
      <c r="AD39" s="284"/>
      <c r="AE39" s="291"/>
      <c r="AF39" s="292"/>
      <c r="AG39" s="293"/>
      <c r="AH39" s="293"/>
      <c r="AI39" s="293"/>
      <c r="AJ39" s="293"/>
      <c r="AK39" s="293"/>
      <c r="AL39" s="293"/>
      <c r="AM39" s="293"/>
      <c r="AN39" s="293"/>
      <c r="AO39" s="293"/>
      <c r="AP39" s="12"/>
      <c r="AQ39" s="12"/>
      <c r="AR39" s="12"/>
    </row>
    <row r="40" ht="22.5" customHeight="1">
      <c r="A40" s="281" cm="1">
        <f t="array" ref="A40">A39+1</f>
        <v>33</v>
      </c>
      <c r="B40" s="282"/>
      <c r="C40" t="s" s="297">
        <v>237</v>
      </c>
      <c r="D40" s="283"/>
      <c r="E40" s="284"/>
      <c r="F40" t="str" s="285" cm="1">
        <f t="array" ref="F40">IF($AD40="","",$H40-$G40)</f>
      </c>
      <c r="G40" s="286"/>
      <c r="H40" t="str" s="285" cm="1">
        <f t="array" ref="H40">IF($AD40="","",$AA40-$J40-$P40-$O40)</f>
      </c>
      <c r="I40" s="287"/>
      <c r="J40" s="286"/>
      <c r="K40" s="299"/>
      <c r="L40" s="300"/>
      <c r="M40" s="288"/>
      <c r="N40" s="287"/>
      <c r="O40" s="290"/>
      <c r="P40" s="286"/>
      <c r="Q40" s="288"/>
      <c r="R40" s="287"/>
      <c r="S40" s="287"/>
      <c r="T40" s="287"/>
      <c r="U40" s="287"/>
      <c r="V40" s="287"/>
      <c r="W40" s="287"/>
      <c r="X40" s="287"/>
      <c r="Y40" s="287"/>
      <c r="Z40" s="289"/>
      <c r="AA40" t="str" s="285" cm="1">
        <f t="array" ref="AA40">IF(AD40="","",AD40-AC40)</f>
      </c>
      <c r="AB40" s="289"/>
      <c r="AC40" s="270"/>
      <c r="AD40" s="284"/>
      <c r="AE40" s="291"/>
      <c r="AF40" s="292"/>
      <c r="AG40" s="293"/>
      <c r="AH40" s="293"/>
      <c r="AI40" s="293"/>
      <c r="AJ40" s="293"/>
      <c r="AK40" s="293"/>
      <c r="AL40" s="293"/>
      <c r="AM40" s="293"/>
      <c r="AN40" s="293"/>
      <c r="AO40" s="293"/>
      <c r="AP40" s="12"/>
      <c r="AQ40" s="12"/>
      <c r="AR40" s="12"/>
    </row>
    <row r="41" ht="22.5" customHeight="1">
      <c r="A41" s="281" cm="1">
        <f t="array" ref="A41">A40+1</f>
        <v>34</v>
      </c>
      <c r="B41" s="282"/>
      <c r="C41" t="s" s="297">
        <v>193</v>
      </c>
      <c r="D41" s="283"/>
      <c r="E41" s="284"/>
      <c r="F41" t="str" s="285" cm="1">
        <f t="array" ref="F41">IF($AD41="","",$H41-$G41)</f>
      </c>
      <c r="G41" s="286"/>
      <c r="H41" t="str" s="285" cm="1">
        <f t="array" ref="H41">IF($AD41="","",$AA41-$J41-$P41-$O41)</f>
      </c>
      <c r="I41" s="287"/>
      <c r="J41" s="286"/>
      <c r="K41" s="299"/>
      <c r="L41" s="300"/>
      <c r="M41" s="288"/>
      <c r="N41" s="287"/>
      <c r="O41" s="290"/>
      <c r="P41" s="286"/>
      <c r="Q41" s="288"/>
      <c r="R41" s="287"/>
      <c r="S41" s="287"/>
      <c r="T41" s="287"/>
      <c r="U41" s="287"/>
      <c r="V41" s="287"/>
      <c r="W41" s="287"/>
      <c r="X41" s="287"/>
      <c r="Y41" s="287"/>
      <c r="Z41" s="289"/>
      <c r="AA41" t="str" s="285" cm="1">
        <f t="array" ref="AA41">IF(AD41="","",AD41-AC41)</f>
      </c>
      <c r="AB41" s="289"/>
      <c r="AC41" s="270"/>
      <c r="AD41" s="284"/>
      <c r="AE41" s="291"/>
      <c r="AF41" s="292"/>
      <c r="AG41" s="293"/>
      <c r="AH41" s="293"/>
      <c r="AI41" s="293"/>
      <c r="AJ41" s="293"/>
      <c r="AK41" s="293"/>
      <c r="AL41" s="293"/>
      <c r="AM41" s="293"/>
      <c r="AN41" s="293"/>
      <c r="AO41" s="293"/>
      <c r="AP41" s="12"/>
      <c r="AQ41" s="12"/>
      <c r="AR41" s="12"/>
    </row>
    <row r="42" ht="22.5" customHeight="1">
      <c r="A42" s="281" cm="1">
        <f t="array" ref="A42">A41+1</f>
        <v>35</v>
      </c>
      <c r="B42" s="282"/>
      <c r="C42" t="s" s="297">
        <v>238</v>
      </c>
      <c r="D42" s="283"/>
      <c r="E42" s="284"/>
      <c r="F42" t="str" s="285" cm="1">
        <f t="array" ref="F42">IF($AD42="","",$H42-$G42)</f>
      </c>
      <c r="G42" s="286"/>
      <c r="H42" t="str" s="285" cm="1">
        <f t="array" ref="H42">IF($AD42="","",$AA42-$J42-$P42-$O42)</f>
      </c>
      <c r="I42" s="287"/>
      <c r="J42" s="286"/>
      <c r="K42" s="299"/>
      <c r="L42" s="300"/>
      <c r="M42" s="288"/>
      <c r="N42" s="287"/>
      <c r="O42" s="290"/>
      <c r="P42" s="286"/>
      <c r="Q42" s="288"/>
      <c r="R42" s="287"/>
      <c r="S42" s="287"/>
      <c r="T42" s="287"/>
      <c r="U42" s="287"/>
      <c r="V42" s="287"/>
      <c r="W42" s="287"/>
      <c r="X42" s="287"/>
      <c r="Y42" s="287"/>
      <c r="Z42" s="289"/>
      <c r="AA42" t="str" s="285" cm="1">
        <f t="array" ref="AA42">IF(AD42="","",AD42-AC42)</f>
      </c>
      <c r="AB42" s="289"/>
      <c r="AC42" s="270"/>
      <c r="AD42" s="284"/>
      <c r="AE42" s="291"/>
      <c r="AF42" s="292"/>
      <c r="AG42" s="293"/>
      <c r="AH42" s="293"/>
      <c r="AI42" s="293"/>
      <c r="AJ42" s="293"/>
      <c r="AK42" s="293"/>
      <c r="AL42" s="293"/>
      <c r="AM42" s="293"/>
      <c r="AN42" s="293"/>
      <c r="AO42" s="293"/>
      <c r="AP42" s="12"/>
      <c r="AQ42" s="12"/>
      <c r="AR42" s="12"/>
    </row>
    <row r="43" ht="22.5" customHeight="1">
      <c r="A43" s="281" cm="1">
        <f t="array" ref="A43">A42+1</f>
        <v>36</v>
      </c>
      <c r="B43" s="282"/>
      <c r="C43" t="s" s="297">
        <v>222</v>
      </c>
      <c r="D43" s="283"/>
      <c r="E43" s="284"/>
      <c r="F43" t="str" s="285" cm="1">
        <f t="array" ref="F43">IF($AD43="","",$H43-$G43)</f>
      </c>
      <c r="G43" s="286"/>
      <c r="H43" t="str" s="285" cm="1">
        <f t="array" ref="H43">IF($AD43="","",$AA43-$J43-$P43-$O43)</f>
      </c>
      <c r="I43" s="287"/>
      <c r="J43" s="286"/>
      <c r="K43" s="299"/>
      <c r="L43" s="300"/>
      <c r="M43" s="288"/>
      <c r="N43" s="287"/>
      <c r="O43" s="290"/>
      <c r="P43" s="286"/>
      <c r="Q43" s="288"/>
      <c r="R43" s="287"/>
      <c r="S43" s="287"/>
      <c r="T43" s="287"/>
      <c r="U43" s="287"/>
      <c r="V43" s="287"/>
      <c r="W43" s="287"/>
      <c r="X43" s="287"/>
      <c r="Y43" s="287"/>
      <c r="Z43" s="289"/>
      <c r="AA43" t="str" s="285" cm="1">
        <f t="array" ref="AA43">IF(AD43="","",AD43-AC43)</f>
      </c>
      <c r="AB43" s="289"/>
      <c r="AC43" s="270"/>
      <c r="AD43" s="284"/>
      <c r="AE43" s="291"/>
      <c r="AF43" s="292"/>
      <c r="AG43" s="293"/>
      <c r="AH43" s="293"/>
      <c r="AI43" s="293"/>
      <c r="AJ43" s="293"/>
      <c r="AK43" s="293"/>
      <c r="AL43" s="293"/>
      <c r="AM43" s="293"/>
      <c r="AN43" s="293"/>
      <c r="AO43" s="293"/>
      <c r="AP43" s="12"/>
      <c r="AQ43" s="12"/>
      <c r="AR43" s="12"/>
    </row>
    <row r="44" ht="22.5" customHeight="1">
      <c r="A44" s="281" cm="1">
        <f t="array" ref="A44">A43+1</f>
        <v>37</v>
      </c>
      <c r="B44" s="282"/>
      <c r="C44" t="s" s="297">
        <v>239</v>
      </c>
      <c r="D44" s="283"/>
      <c r="E44" s="284"/>
      <c r="F44" t="str" s="285" cm="1">
        <f t="array" ref="F44">IF($AD44="","",$H44-$G44)</f>
      </c>
      <c r="G44" s="286"/>
      <c r="H44" t="str" s="285" cm="1">
        <f t="array" ref="H44">IF($AD44="","",$AA44-$J44-$P44-$O44)</f>
      </c>
      <c r="I44" s="287"/>
      <c r="J44" s="286"/>
      <c r="K44" s="299"/>
      <c r="L44" s="300"/>
      <c r="M44" s="288"/>
      <c r="N44" s="287"/>
      <c r="O44" s="290"/>
      <c r="P44" s="286"/>
      <c r="Q44" s="288"/>
      <c r="R44" s="287"/>
      <c r="S44" s="287"/>
      <c r="T44" s="287"/>
      <c r="U44" s="287"/>
      <c r="V44" s="287"/>
      <c r="W44" s="287"/>
      <c r="X44" s="287"/>
      <c r="Y44" s="287"/>
      <c r="Z44" s="289"/>
      <c r="AA44" t="str" s="285" cm="1">
        <f t="array" ref="AA44">IF(AD44="","",AD44-AC44)</f>
      </c>
      <c r="AB44" s="289"/>
      <c r="AC44" s="270"/>
      <c r="AD44" s="284"/>
      <c r="AE44" s="291"/>
      <c r="AF44" s="292"/>
      <c r="AG44" s="293"/>
      <c r="AH44" s="293"/>
      <c r="AI44" s="293"/>
      <c r="AJ44" s="293"/>
      <c r="AK44" s="293"/>
      <c r="AL44" s="293"/>
      <c r="AM44" s="293"/>
      <c r="AN44" s="293"/>
      <c r="AO44" s="293"/>
      <c r="AP44" s="12"/>
      <c r="AQ44" s="12"/>
      <c r="AR44" s="12"/>
    </row>
    <row r="45" ht="22.5" customHeight="1">
      <c r="A45" s="281" cm="1">
        <f t="array" ref="A45">A44+1</f>
        <v>38</v>
      </c>
      <c r="B45" s="282"/>
      <c r="C45" t="s" s="297">
        <v>219</v>
      </c>
      <c r="D45" s="283"/>
      <c r="E45" s="284"/>
      <c r="F45" t="str" s="285" cm="1">
        <f t="array" ref="F45">IF($AD45="","",$H45-$G45)</f>
      </c>
      <c r="G45" s="286"/>
      <c r="H45" t="str" s="285" cm="1">
        <f t="array" ref="H45">IF($AD45="","",$AA45-$J45-$P45-$O45)</f>
      </c>
      <c r="I45" s="287"/>
      <c r="J45" s="286"/>
      <c r="K45" s="299"/>
      <c r="L45" s="300"/>
      <c r="M45" s="288"/>
      <c r="N45" s="287"/>
      <c r="O45" s="290"/>
      <c r="P45" s="286"/>
      <c r="Q45" s="288"/>
      <c r="R45" s="287"/>
      <c r="S45" s="287"/>
      <c r="T45" s="287"/>
      <c r="U45" s="287"/>
      <c r="V45" s="287"/>
      <c r="W45" s="287"/>
      <c r="X45" s="287"/>
      <c r="Y45" s="287"/>
      <c r="Z45" s="289"/>
      <c r="AA45" t="str" s="285" cm="1">
        <f t="array" ref="AA45">IF(AD45="","",AD45-AC45)</f>
      </c>
      <c r="AB45" s="289"/>
      <c r="AC45" s="270"/>
      <c r="AD45" s="284"/>
      <c r="AE45" s="291"/>
      <c r="AF45" s="292"/>
      <c r="AG45" s="293"/>
      <c r="AH45" s="293"/>
      <c r="AI45" s="293"/>
      <c r="AJ45" s="293"/>
      <c r="AK45" s="293"/>
      <c r="AL45" s="293"/>
      <c r="AM45" s="293"/>
      <c r="AN45" s="293"/>
      <c r="AO45" s="293"/>
      <c r="AP45" s="12"/>
      <c r="AQ45" s="12"/>
      <c r="AR45" s="12"/>
    </row>
    <row r="46" ht="22.5" customHeight="1">
      <c r="A46" s="281" cm="1">
        <f t="array" ref="A46">A45+1</f>
        <v>39</v>
      </c>
      <c r="B46" s="282"/>
      <c r="C46" s="283"/>
      <c r="D46" s="283"/>
      <c r="E46" s="284"/>
      <c r="F46" t="str" s="285" cm="1">
        <f t="array" ref="F46">IF($AD46="","",$H46-$G46)</f>
      </c>
      <c r="G46" s="286"/>
      <c r="H46" t="str" s="285" cm="1">
        <f t="array" ref="H46">IF($AD46="","",$AA46-$J46-$P46-$O46)</f>
      </c>
      <c r="I46" s="287"/>
      <c r="J46" s="286"/>
      <c r="K46" s="299"/>
      <c r="L46" s="300"/>
      <c r="M46" s="288"/>
      <c r="N46" s="287"/>
      <c r="O46" s="290"/>
      <c r="P46" s="286"/>
      <c r="Q46" s="288"/>
      <c r="R46" s="287"/>
      <c r="S46" s="287"/>
      <c r="T46" s="287"/>
      <c r="U46" s="287"/>
      <c r="V46" s="287"/>
      <c r="W46" s="287"/>
      <c r="X46" s="287"/>
      <c r="Y46" s="287"/>
      <c r="Z46" s="289"/>
      <c r="AA46" t="str" s="285" cm="1">
        <f t="array" ref="AA46">IF(AD46="","",AD46-AC46)</f>
      </c>
      <c r="AB46" s="289"/>
      <c r="AC46" s="270"/>
      <c r="AD46" s="284"/>
      <c r="AE46" s="291"/>
      <c r="AF46" s="292"/>
      <c r="AG46" s="293"/>
      <c r="AH46" s="293"/>
      <c r="AI46" s="293"/>
      <c r="AJ46" s="293"/>
      <c r="AK46" s="293"/>
      <c r="AL46" s="293"/>
      <c r="AM46" s="293"/>
      <c r="AN46" s="293"/>
      <c r="AO46" s="293"/>
      <c r="AP46" s="12"/>
      <c r="AQ46" s="12"/>
      <c r="AR46" s="12"/>
    </row>
    <row r="47" ht="22.5" customHeight="1">
      <c r="A47" s="281" cm="1">
        <f t="array" ref="A47">A46+1</f>
        <v>40</v>
      </c>
      <c r="B47" s="282"/>
      <c r="C47" s="283"/>
      <c r="D47" s="283"/>
      <c r="E47" s="284"/>
      <c r="F47" t="str" s="285" cm="1">
        <f t="array" ref="F47">IF($AD47="","",$H47-$G47)</f>
      </c>
      <c r="G47" s="286"/>
      <c r="H47" t="str" s="285" cm="1">
        <f t="array" ref="H47">IF($AD47="","",$AA47-$J47-$P47-$O47)</f>
      </c>
      <c r="I47" s="287"/>
      <c r="J47" s="286"/>
      <c r="K47" s="299"/>
      <c r="L47" s="300"/>
      <c r="M47" s="288"/>
      <c r="N47" s="287"/>
      <c r="O47" s="290"/>
      <c r="P47" s="286"/>
      <c r="Q47" s="288"/>
      <c r="R47" s="287"/>
      <c r="S47" s="287"/>
      <c r="T47" s="287"/>
      <c r="U47" s="287"/>
      <c r="V47" s="287"/>
      <c r="W47" s="287"/>
      <c r="X47" s="287"/>
      <c r="Y47" s="287"/>
      <c r="Z47" s="289"/>
      <c r="AA47" t="str" s="285" cm="1">
        <f t="array" ref="AA47">IF(AD47="","",AD47-AC47)</f>
      </c>
      <c r="AB47" s="289"/>
      <c r="AC47" s="270"/>
      <c r="AD47" s="284"/>
      <c r="AE47" s="291"/>
      <c r="AF47" s="292"/>
      <c r="AG47" s="293"/>
      <c r="AH47" s="293"/>
      <c r="AI47" s="293"/>
      <c r="AJ47" s="293"/>
      <c r="AK47" s="293"/>
      <c r="AL47" s="293"/>
      <c r="AM47" s="293"/>
      <c r="AN47" s="293"/>
      <c r="AO47" s="293"/>
      <c r="AP47" s="12"/>
      <c r="AQ47" s="12"/>
      <c r="AR47" s="12"/>
    </row>
    <row r="48" ht="22.5" customHeight="1">
      <c r="A48" s="281" cm="1">
        <f t="array" ref="A48">A47+1</f>
        <v>41</v>
      </c>
      <c r="B48" s="282"/>
      <c r="C48" s="283"/>
      <c r="D48" s="283"/>
      <c r="E48" s="284"/>
      <c r="F48" t="str" s="285" cm="1">
        <f t="array" ref="F48">IF($AD48="","",$H48-$G48)</f>
      </c>
      <c r="G48" s="286"/>
      <c r="H48" t="str" s="285" cm="1">
        <f t="array" ref="H48">IF($AD48="","",$AA48-$J48-$P48-$O48)</f>
      </c>
      <c r="I48" s="287"/>
      <c r="J48" s="286"/>
      <c r="K48" s="299"/>
      <c r="L48" s="300"/>
      <c r="M48" s="288"/>
      <c r="N48" s="287"/>
      <c r="O48" s="290"/>
      <c r="P48" s="286"/>
      <c r="Q48" s="288"/>
      <c r="R48" s="287"/>
      <c r="S48" s="287"/>
      <c r="T48" s="287"/>
      <c r="U48" s="287"/>
      <c r="V48" s="287"/>
      <c r="W48" s="287"/>
      <c r="X48" s="287"/>
      <c r="Y48" s="287"/>
      <c r="Z48" s="289"/>
      <c r="AA48" t="str" s="285" cm="1">
        <f t="array" ref="AA48">IF(AD48="","",AD48-AC48)</f>
      </c>
      <c r="AB48" s="289"/>
      <c r="AC48" s="270"/>
      <c r="AD48" s="284"/>
      <c r="AE48" s="291"/>
      <c r="AF48" s="292"/>
      <c r="AG48" s="293"/>
      <c r="AH48" s="293"/>
      <c r="AI48" s="293"/>
      <c r="AJ48" s="293"/>
      <c r="AK48" s="293"/>
      <c r="AL48" s="293"/>
      <c r="AM48" s="293"/>
      <c r="AN48" s="293"/>
      <c r="AO48" s="293"/>
      <c r="AP48" s="12"/>
      <c r="AQ48" s="12"/>
      <c r="AR48" s="12"/>
    </row>
    <row r="49" ht="22.5" customHeight="1">
      <c r="A49" s="281" cm="1">
        <f t="array" ref="A49">A48+1</f>
        <v>42</v>
      </c>
      <c r="B49" s="282"/>
      <c r="C49" s="283"/>
      <c r="D49" s="283"/>
      <c r="E49" s="284"/>
      <c r="F49" t="str" s="285" cm="1">
        <f t="array" ref="F49">IF($AD49="","",$H49-$G49)</f>
      </c>
      <c r="G49" s="286"/>
      <c r="H49" t="str" s="285" cm="1">
        <f t="array" ref="H49">IF($AD49="","",$AA49-$J49-$P49-$O49)</f>
      </c>
      <c r="I49" s="287"/>
      <c r="J49" s="286"/>
      <c r="K49" s="299"/>
      <c r="L49" s="300"/>
      <c r="M49" s="288"/>
      <c r="N49" s="287"/>
      <c r="O49" s="290"/>
      <c r="P49" s="286"/>
      <c r="Q49" s="288"/>
      <c r="R49" s="287"/>
      <c r="S49" s="287"/>
      <c r="T49" s="287"/>
      <c r="U49" s="287"/>
      <c r="V49" s="287"/>
      <c r="W49" s="287"/>
      <c r="X49" s="287"/>
      <c r="Y49" s="287"/>
      <c r="Z49" s="289"/>
      <c r="AA49" t="str" s="285" cm="1">
        <f t="array" ref="AA49">IF(AD49="","",AD49-AC49)</f>
      </c>
      <c r="AB49" s="289"/>
      <c r="AC49" s="270"/>
      <c r="AD49" s="284"/>
      <c r="AE49" s="291"/>
      <c r="AF49" s="292"/>
      <c r="AG49" s="293"/>
      <c r="AH49" s="293"/>
      <c r="AI49" s="293"/>
      <c r="AJ49" s="293"/>
      <c r="AK49" s="293"/>
      <c r="AL49" s="293"/>
      <c r="AM49" s="293"/>
      <c r="AN49" s="293"/>
      <c r="AO49" s="293"/>
      <c r="AP49" s="12"/>
      <c r="AQ49" s="12"/>
      <c r="AR49" s="12"/>
    </row>
    <row r="50" ht="22.5" customHeight="1">
      <c r="A50" s="281" cm="1">
        <f t="array" ref="A50">A49+1</f>
        <v>43</v>
      </c>
      <c r="B50" s="282"/>
      <c r="C50" s="283"/>
      <c r="D50" s="283"/>
      <c r="E50" s="284"/>
      <c r="F50" t="str" s="285" cm="1">
        <f t="array" ref="F50">IF($AD50="","",$H50-$G50)</f>
      </c>
      <c r="G50" s="286"/>
      <c r="H50" t="str" s="285" cm="1">
        <f t="array" ref="H50">IF($AD50="","",$AA50-$J50-$P50-$O50)</f>
      </c>
      <c r="I50" s="287"/>
      <c r="J50" s="286"/>
      <c r="K50" s="299"/>
      <c r="L50" s="300"/>
      <c r="M50" s="288"/>
      <c r="N50" s="287"/>
      <c r="O50" s="290"/>
      <c r="P50" s="286"/>
      <c r="Q50" s="288"/>
      <c r="R50" s="287"/>
      <c r="S50" s="287"/>
      <c r="T50" s="287"/>
      <c r="U50" s="287"/>
      <c r="V50" s="287"/>
      <c r="W50" s="287"/>
      <c r="X50" s="287"/>
      <c r="Y50" s="287"/>
      <c r="Z50" s="289"/>
      <c r="AA50" t="str" s="285" cm="1">
        <f t="array" ref="AA50">IF(AD50="","",AD50-AC50)</f>
      </c>
      <c r="AB50" s="289"/>
      <c r="AC50" s="270"/>
      <c r="AD50" s="284"/>
      <c r="AE50" s="291"/>
      <c r="AF50" s="292"/>
      <c r="AG50" s="293"/>
      <c r="AH50" s="293"/>
      <c r="AI50" s="293"/>
      <c r="AJ50" s="293"/>
      <c r="AK50" s="293"/>
      <c r="AL50" s="293"/>
      <c r="AM50" s="293"/>
      <c r="AN50" s="293"/>
      <c r="AO50" s="293"/>
      <c r="AP50" s="12"/>
      <c r="AQ50" s="12"/>
      <c r="AR50" s="12"/>
    </row>
    <row r="51" ht="22.5" customHeight="1">
      <c r="A51" s="281" cm="1">
        <f t="array" ref="A51">A50+1</f>
        <v>44</v>
      </c>
      <c r="B51" s="282"/>
      <c r="C51" t="s" s="297">
        <v>240</v>
      </c>
      <c r="D51" s="283"/>
      <c r="E51" s="284"/>
      <c r="F51" t="str" s="285" cm="1">
        <f t="array" ref="F51">IF($AD51="","",$H51-$G51)</f>
      </c>
      <c r="G51" s="286"/>
      <c r="H51" t="str" s="285" cm="1">
        <f t="array" ref="H51">IF($AD51="","",$AA51-$J51-$P51-$O51)</f>
      </c>
      <c r="I51" s="287"/>
      <c r="J51" s="286"/>
      <c r="K51" s="299"/>
      <c r="L51" s="300"/>
      <c r="M51" s="288"/>
      <c r="N51" s="287"/>
      <c r="O51" s="290"/>
      <c r="P51" s="286"/>
      <c r="Q51" s="288"/>
      <c r="R51" s="287"/>
      <c r="S51" s="287"/>
      <c r="T51" s="287"/>
      <c r="U51" s="287"/>
      <c r="V51" s="287"/>
      <c r="W51" s="287"/>
      <c r="X51" s="287"/>
      <c r="Y51" s="287"/>
      <c r="Z51" s="289"/>
      <c r="AA51" t="str" s="285" cm="1">
        <f t="array" ref="AA51">IF(AD51="","",AD51-AC51)</f>
      </c>
      <c r="AB51" s="289"/>
      <c r="AC51" s="270"/>
      <c r="AD51" s="284"/>
      <c r="AE51" s="291"/>
      <c r="AF51" s="292"/>
      <c r="AG51" s="293"/>
      <c r="AH51" s="293"/>
      <c r="AI51" s="293"/>
      <c r="AJ51" s="293"/>
      <c r="AK51" s="293"/>
      <c r="AL51" s="293"/>
      <c r="AM51" s="293"/>
      <c r="AN51" s="293"/>
      <c r="AO51" s="293"/>
      <c r="AP51" s="12"/>
      <c r="AQ51" s="12"/>
      <c r="AR51" s="12"/>
    </row>
    <row r="52" ht="22.5" customHeight="1">
      <c r="A52" s="281" cm="1">
        <f t="array" ref="A52">A51+1</f>
        <v>45</v>
      </c>
      <c r="B52" s="282"/>
      <c r="C52" t="s" s="297">
        <v>241</v>
      </c>
      <c r="D52" s="283"/>
      <c r="E52" s="284"/>
      <c r="F52" t="str" s="285" cm="1">
        <f t="array" ref="F52">IF($AD52="","",$H52-$G52)</f>
      </c>
      <c r="G52" s="286"/>
      <c r="H52" t="str" s="285" cm="1">
        <f t="array" ref="H52">IF($AD52="","",$AA52-$J52-$P52-$O52)</f>
      </c>
      <c r="I52" s="287"/>
      <c r="J52" s="286"/>
      <c r="K52" s="299"/>
      <c r="L52" s="300"/>
      <c r="M52" s="288"/>
      <c r="N52" s="287"/>
      <c r="O52" s="290"/>
      <c r="P52" s="286"/>
      <c r="Q52" s="288"/>
      <c r="R52" s="287"/>
      <c r="S52" s="287"/>
      <c r="T52" s="287"/>
      <c r="U52" s="287"/>
      <c r="V52" s="287"/>
      <c r="W52" s="287"/>
      <c r="X52" s="287"/>
      <c r="Y52" s="287"/>
      <c r="Z52" s="289"/>
      <c r="AA52" t="str" s="285" cm="1">
        <f t="array" ref="AA52">IF(AD52="","",AD52-AC52)</f>
      </c>
      <c r="AB52" s="289"/>
      <c r="AC52" s="270"/>
      <c r="AD52" s="284"/>
      <c r="AE52" s="291"/>
      <c r="AF52" s="292"/>
      <c r="AG52" s="293"/>
      <c r="AH52" s="293"/>
      <c r="AI52" s="293"/>
      <c r="AJ52" s="293"/>
      <c r="AK52" s="293"/>
      <c r="AL52" s="293"/>
      <c r="AM52" s="293"/>
      <c r="AN52" s="293"/>
      <c r="AO52" s="293"/>
      <c r="AP52" s="12"/>
      <c r="AQ52" s="12"/>
      <c r="AR52" s="12"/>
    </row>
    <row r="53" ht="22.5" customHeight="1">
      <c r="A53" s="281" cm="1">
        <f t="array" ref="A53">A52+1</f>
        <v>46</v>
      </c>
      <c r="B53" s="282"/>
      <c r="C53" t="s" s="297">
        <v>242</v>
      </c>
      <c r="D53" s="283"/>
      <c r="E53" s="284"/>
      <c r="F53" t="str" s="285" cm="1">
        <f t="array" ref="F53">IF($AD53="","",$H53-$G53)</f>
      </c>
      <c r="G53" s="286"/>
      <c r="H53" t="str" s="285" cm="1">
        <f t="array" ref="H53">IF($AD53="","",$AA53-$J53-$P53-$O53)</f>
      </c>
      <c r="I53" s="287"/>
      <c r="J53" s="286"/>
      <c r="K53" s="299"/>
      <c r="L53" s="300"/>
      <c r="M53" s="288"/>
      <c r="N53" s="287"/>
      <c r="O53" s="290"/>
      <c r="P53" s="286"/>
      <c r="Q53" s="288"/>
      <c r="R53" s="287"/>
      <c r="S53" s="287"/>
      <c r="T53" s="287"/>
      <c r="U53" s="287"/>
      <c r="V53" s="287"/>
      <c r="W53" s="287"/>
      <c r="X53" s="287"/>
      <c r="Y53" s="287"/>
      <c r="Z53" s="289"/>
      <c r="AA53" t="str" s="285" cm="1">
        <f t="array" ref="AA53">IF(AD53="","",AD53-AC53)</f>
      </c>
      <c r="AB53" s="289"/>
      <c r="AC53" s="270"/>
      <c r="AD53" s="284"/>
      <c r="AE53" s="291"/>
      <c r="AF53" s="292"/>
      <c r="AG53" s="293"/>
      <c r="AH53" s="293"/>
      <c r="AI53" s="293"/>
      <c r="AJ53" s="293"/>
      <c r="AK53" s="293"/>
      <c r="AL53" s="293"/>
      <c r="AM53" s="293"/>
      <c r="AN53" s="293"/>
      <c r="AO53" s="293"/>
      <c r="AP53" s="12"/>
      <c r="AQ53" s="12"/>
      <c r="AR53" s="12"/>
    </row>
    <row r="54" ht="22.5" customHeight="1">
      <c r="A54" s="281" cm="1">
        <f t="array" ref="A54">A53+1</f>
        <v>47</v>
      </c>
      <c r="B54" s="282"/>
      <c r="C54" t="s" s="297">
        <v>243</v>
      </c>
      <c r="D54" s="283"/>
      <c r="E54" s="284"/>
      <c r="F54" t="str" s="285" cm="1">
        <f t="array" ref="F54">IF($AD54="","",$H54-$G54)</f>
      </c>
      <c r="G54" s="286"/>
      <c r="H54" t="str" s="285" cm="1">
        <f t="array" ref="H54">IF($AD54="","",$AA54-$J54-$P54-$O54)</f>
      </c>
      <c r="I54" s="287"/>
      <c r="J54" s="286"/>
      <c r="K54" s="299"/>
      <c r="L54" s="300"/>
      <c r="M54" s="288"/>
      <c r="N54" s="287"/>
      <c r="O54" s="290"/>
      <c r="P54" s="286"/>
      <c r="Q54" s="288"/>
      <c r="R54" s="287"/>
      <c r="S54" s="287"/>
      <c r="T54" s="287"/>
      <c r="U54" s="287"/>
      <c r="V54" s="287"/>
      <c r="W54" s="287"/>
      <c r="X54" s="287"/>
      <c r="Y54" s="287"/>
      <c r="Z54" s="289"/>
      <c r="AA54" t="str" s="285" cm="1">
        <f t="array" ref="AA54">IF(AD54="","",AD54-AC54)</f>
      </c>
      <c r="AB54" s="289"/>
      <c r="AC54" s="270"/>
      <c r="AD54" s="284"/>
      <c r="AE54" s="291"/>
      <c r="AF54" s="292"/>
      <c r="AG54" s="293"/>
      <c r="AH54" s="293"/>
      <c r="AI54" s="293"/>
      <c r="AJ54" s="293"/>
      <c r="AK54" s="293"/>
      <c r="AL54" s="293"/>
      <c r="AM54" s="293"/>
      <c r="AN54" s="293"/>
      <c r="AO54" s="293"/>
      <c r="AP54" s="12"/>
      <c r="AQ54" s="12"/>
      <c r="AR54" s="12"/>
    </row>
    <row r="55" ht="22.5" customHeight="1">
      <c r="A55" s="281" cm="1">
        <f t="array" ref="A55">A54+1</f>
        <v>48</v>
      </c>
      <c r="B55" s="282"/>
      <c r="C55" t="s" s="297">
        <v>244</v>
      </c>
      <c r="D55" s="283"/>
      <c r="E55" s="284"/>
      <c r="F55" t="str" s="285" cm="1">
        <f t="array" ref="F55">IF($AD55="","",$H55-$G55)</f>
      </c>
      <c r="G55" s="286"/>
      <c r="H55" t="str" s="285" cm="1">
        <f t="array" ref="H55">IF($AD55="","",$AA55-$J55-$P55-$O55)</f>
      </c>
      <c r="I55" s="287"/>
      <c r="J55" s="286"/>
      <c r="K55" s="299"/>
      <c r="L55" s="300"/>
      <c r="M55" s="288"/>
      <c r="N55" s="287"/>
      <c r="O55" s="290"/>
      <c r="P55" s="286"/>
      <c r="Q55" s="288"/>
      <c r="R55" s="287"/>
      <c r="S55" s="287"/>
      <c r="T55" s="287"/>
      <c r="U55" s="287"/>
      <c r="V55" s="287"/>
      <c r="W55" s="287"/>
      <c r="X55" s="287"/>
      <c r="Y55" s="287"/>
      <c r="Z55" s="289"/>
      <c r="AA55" t="str" s="285" cm="1">
        <f t="array" ref="AA55">IF(AD55="","",AD55-AC55)</f>
      </c>
      <c r="AB55" s="289"/>
      <c r="AC55" s="270"/>
      <c r="AD55" s="284"/>
      <c r="AE55" s="291"/>
      <c r="AF55" s="292"/>
      <c r="AG55" s="293"/>
      <c r="AH55" s="293"/>
      <c r="AI55" s="293"/>
      <c r="AJ55" s="293"/>
      <c r="AK55" s="293"/>
      <c r="AL55" s="293"/>
      <c r="AM55" s="293"/>
      <c r="AN55" s="293"/>
      <c r="AO55" s="293"/>
      <c r="AP55" s="12"/>
      <c r="AQ55" s="12"/>
      <c r="AR55" s="12"/>
    </row>
    <row r="56" ht="22.5" customHeight="1">
      <c r="A56" s="281" cm="1">
        <f t="array" ref="A56">A55+1</f>
        <v>49</v>
      </c>
      <c r="B56" s="282"/>
      <c r="C56" t="s" s="297">
        <v>245</v>
      </c>
      <c r="D56" s="283"/>
      <c r="E56" s="284"/>
      <c r="F56" t="str" s="285" cm="1">
        <f t="array" ref="F56">IF($AD56="","",$H56-$G56)</f>
      </c>
      <c r="G56" s="286"/>
      <c r="H56" t="str" s="285" cm="1">
        <f t="array" ref="H56">IF($AD56="","",$AA56-$J56-$P56-$O56)</f>
      </c>
      <c r="I56" s="287"/>
      <c r="J56" s="286"/>
      <c r="K56" s="299"/>
      <c r="L56" s="300"/>
      <c r="M56" s="288"/>
      <c r="N56" s="287"/>
      <c r="O56" s="290"/>
      <c r="P56" s="286"/>
      <c r="Q56" s="288"/>
      <c r="R56" s="287"/>
      <c r="S56" s="287"/>
      <c r="T56" s="287"/>
      <c r="U56" s="287"/>
      <c r="V56" s="287"/>
      <c r="W56" s="287"/>
      <c r="X56" s="287"/>
      <c r="Y56" s="287"/>
      <c r="Z56" s="289"/>
      <c r="AA56" t="str" s="285" cm="1">
        <f t="array" ref="AA56">IF(AD56="","",AD56-AC56)</f>
      </c>
      <c r="AB56" s="289"/>
      <c r="AC56" s="270"/>
      <c r="AD56" s="284"/>
      <c r="AE56" s="291"/>
      <c r="AF56" s="292"/>
      <c r="AG56" s="293"/>
      <c r="AH56" s="293"/>
      <c r="AI56" s="293"/>
      <c r="AJ56" s="293"/>
      <c r="AK56" s="293"/>
      <c r="AL56" s="293"/>
      <c r="AM56" s="293"/>
      <c r="AN56" s="293"/>
      <c r="AO56" s="293"/>
      <c r="AP56" s="12"/>
      <c r="AQ56" s="12"/>
      <c r="AR56" s="12"/>
    </row>
    <row r="57" ht="22.5" customHeight="1">
      <c r="A57" s="281" cm="1">
        <f t="array" ref="A57">A56+1</f>
        <v>50</v>
      </c>
      <c r="B57" s="282"/>
      <c r="C57" t="s" s="297">
        <v>246</v>
      </c>
      <c r="D57" s="283"/>
      <c r="E57" s="284"/>
      <c r="F57" t="str" s="285" cm="1">
        <f t="array" ref="F57">IF($AD57="","",$H57-$G57)</f>
      </c>
      <c r="G57" s="286"/>
      <c r="H57" t="str" s="285" cm="1">
        <f t="array" ref="H57">IF($AD57="","",$AA57-$J57-$P57-$O57)</f>
      </c>
      <c r="I57" s="287"/>
      <c r="J57" s="286"/>
      <c r="K57" s="299"/>
      <c r="L57" s="300"/>
      <c r="M57" s="288"/>
      <c r="N57" s="287"/>
      <c r="O57" s="290"/>
      <c r="P57" s="286"/>
      <c r="Q57" s="288"/>
      <c r="R57" s="287"/>
      <c r="S57" s="287"/>
      <c r="T57" s="287"/>
      <c r="U57" s="287"/>
      <c r="V57" s="287"/>
      <c r="W57" s="287"/>
      <c r="X57" s="287"/>
      <c r="Y57" s="287"/>
      <c r="Z57" s="289"/>
      <c r="AA57" t="str" s="285" cm="1">
        <f t="array" ref="AA57">IF(AD57="","",AD57-AC57)</f>
      </c>
      <c r="AB57" s="289"/>
      <c r="AC57" s="270"/>
      <c r="AD57" s="284"/>
      <c r="AE57" s="291"/>
      <c r="AF57" s="292"/>
      <c r="AG57" s="293"/>
      <c r="AH57" s="293"/>
      <c r="AI57" s="293"/>
      <c r="AJ57" s="293"/>
      <c r="AK57" s="293"/>
      <c r="AL57" s="293"/>
      <c r="AM57" s="293"/>
      <c r="AN57" s="293"/>
      <c r="AO57" s="293"/>
      <c r="AP57" s="12"/>
      <c r="AQ57" s="12"/>
      <c r="AR57" s="12"/>
    </row>
    <row r="58" ht="22.5" customHeight="1">
      <c r="A58" s="281" cm="1">
        <f t="array" ref="A58">A57+1</f>
        <v>51</v>
      </c>
      <c r="B58" s="282"/>
      <c r="C58" t="s" s="297">
        <v>247</v>
      </c>
      <c r="D58" s="283"/>
      <c r="E58" s="284"/>
      <c r="F58" t="str" s="285" cm="1">
        <f t="array" ref="F58">IF($AD58="","",$H58-$G58)</f>
      </c>
      <c r="G58" s="286"/>
      <c r="H58" t="str" s="285" cm="1">
        <f t="array" ref="H58">IF($AD58="","",$AA58-$J58-$P58-$O58)</f>
      </c>
      <c r="I58" s="287"/>
      <c r="J58" s="286"/>
      <c r="K58" s="299"/>
      <c r="L58" s="300"/>
      <c r="M58" s="288"/>
      <c r="N58" s="287"/>
      <c r="O58" s="290"/>
      <c r="P58" s="286"/>
      <c r="Q58" s="288"/>
      <c r="R58" s="287"/>
      <c r="S58" s="287"/>
      <c r="T58" s="287"/>
      <c r="U58" s="287"/>
      <c r="V58" s="287"/>
      <c r="W58" s="287"/>
      <c r="X58" s="287"/>
      <c r="Y58" s="287"/>
      <c r="Z58" s="289"/>
      <c r="AA58" t="str" s="285" cm="1">
        <f t="array" ref="AA58">IF(AD58="","",AD58-AC58)</f>
      </c>
      <c r="AB58" s="289"/>
      <c r="AC58" s="270"/>
      <c r="AD58" s="284"/>
      <c r="AE58" s="291"/>
      <c r="AF58" s="292"/>
      <c r="AG58" s="293"/>
      <c r="AH58" s="293"/>
      <c r="AI58" s="293"/>
      <c r="AJ58" s="293"/>
      <c r="AK58" s="293"/>
      <c r="AL58" s="293"/>
      <c r="AM58" s="293"/>
      <c r="AN58" s="293"/>
      <c r="AO58" s="293"/>
      <c r="AP58" s="12"/>
      <c r="AQ58" s="12"/>
      <c r="AR58" s="12"/>
    </row>
    <row r="59" ht="22.5" customHeight="1">
      <c r="A59" s="281" cm="1">
        <f t="array" ref="A59">A58+1</f>
        <v>52</v>
      </c>
      <c r="B59" s="282"/>
      <c r="C59" t="s" s="297">
        <v>248</v>
      </c>
      <c r="D59" s="283"/>
      <c r="E59" s="284"/>
      <c r="F59" t="str" s="285" cm="1">
        <f t="array" ref="F59">IF($AD59="","",$H59-$G59)</f>
      </c>
      <c r="G59" s="286"/>
      <c r="H59" t="str" s="285" cm="1">
        <f t="array" ref="H59">IF($AD59="","",$AA59-$J59-$P59-$O59)</f>
      </c>
      <c r="I59" s="287"/>
      <c r="J59" s="286"/>
      <c r="K59" s="299"/>
      <c r="L59" s="300"/>
      <c r="M59" s="288"/>
      <c r="N59" s="287"/>
      <c r="O59" s="290"/>
      <c r="P59" s="286"/>
      <c r="Q59" s="288"/>
      <c r="R59" s="287"/>
      <c r="S59" s="287"/>
      <c r="T59" s="287"/>
      <c r="U59" s="287"/>
      <c r="V59" s="287"/>
      <c r="W59" s="287"/>
      <c r="X59" s="287"/>
      <c r="Y59" s="287"/>
      <c r="Z59" s="289"/>
      <c r="AA59" t="str" s="285" cm="1">
        <f t="array" ref="AA59">IF(AD59="","",AD59-AC59)</f>
      </c>
      <c r="AB59" s="289"/>
      <c r="AC59" s="270"/>
      <c r="AD59" s="284"/>
      <c r="AE59" s="291"/>
      <c r="AF59" s="292"/>
      <c r="AG59" s="293"/>
      <c r="AH59" s="293"/>
      <c r="AI59" s="293"/>
      <c r="AJ59" s="293"/>
      <c r="AK59" s="293"/>
      <c r="AL59" s="293"/>
      <c r="AM59" s="293"/>
      <c r="AN59" s="293"/>
      <c r="AO59" s="293"/>
      <c r="AP59" s="12"/>
      <c r="AQ59" s="12"/>
      <c r="AR59" s="12"/>
    </row>
    <row r="60" ht="22.5" customHeight="1">
      <c r="A60" s="281" cm="1">
        <f t="array" ref="A60">A59+1</f>
        <v>53</v>
      </c>
      <c r="B60" s="282"/>
      <c r="C60" t="s" s="297">
        <v>249</v>
      </c>
      <c r="D60" s="283"/>
      <c r="E60" s="284"/>
      <c r="F60" t="str" s="285" cm="1">
        <f t="array" ref="F60">IF($AD60="","",$H60-$G60)</f>
      </c>
      <c r="G60" s="286"/>
      <c r="H60" t="str" s="285" cm="1">
        <f t="array" ref="H60">IF($AD60="","",$AA60-$J60-$P60-$O60)</f>
      </c>
      <c r="I60" s="287"/>
      <c r="J60" s="286"/>
      <c r="K60" s="299"/>
      <c r="L60" s="300"/>
      <c r="M60" s="288"/>
      <c r="N60" s="287"/>
      <c r="O60" s="290"/>
      <c r="P60" s="286"/>
      <c r="Q60" s="288"/>
      <c r="R60" s="287"/>
      <c r="S60" s="287"/>
      <c r="T60" s="287"/>
      <c r="U60" s="287"/>
      <c r="V60" s="287"/>
      <c r="W60" s="287"/>
      <c r="X60" s="287"/>
      <c r="Y60" s="287"/>
      <c r="Z60" s="289"/>
      <c r="AA60" t="str" s="285" cm="1">
        <f t="array" ref="AA60">IF(AD60="","",AD60-AC60)</f>
      </c>
      <c r="AB60" s="289"/>
      <c r="AC60" s="270"/>
      <c r="AD60" s="284"/>
      <c r="AE60" s="291"/>
      <c r="AF60" s="292"/>
      <c r="AG60" s="293"/>
      <c r="AH60" s="293"/>
      <c r="AI60" s="293"/>
      <c r="AJ60" s="293"/>
      <c r="AK60" s="293"/>
      <c r="AL60" s="293"/>
      <c r="AM60" s="293"/>
      <c r="AN60" s="293"/>
      <c r="AO60" s="293"/>
      <c r="AP60" s="12"/>
      <c r="AQ60" s="12"/>
      <c r="AR60" s="12"/>
    </row>
    <row r="61" ht="22.5" customHeight="1">
      <c r="A61" s="281" cm="1">
        <f t="array" ref="A61">A60+1</f>
        <v>54</v>
      </c>
      <c r="B61" s="282"/>
      <c r="C61" t="s" s="297">
        <v>250</v>
      </c>
      <c r="D61" s="283"/>
      <c r="E61" s="284"/>
      <c r="F61" t="str" s="285" cm="1">
        <f t="array" ref="F61">IF($AD61="","",$H61-$G61)</f>
      </c>
      <c r="G61" s="286"/>
      <c r="H61" t="str" s="285" cm="1">
        <f t="array" ref="H61">IF($AD61="","",$AA61-$J61-$P61-$O61)</f>
      </c>
      <c r="I61" s="287"/>
      <c r="J61" s="286"/>
      <c r="K61" s="299"/>
      <c r="L61" s="300"/>
      <c r="M61" s="288"/>
      <c r="N61" s="287"/>
      <c r="O61" s="290"/>
      <c r="P61" s="286"/>
      <c r="Q61" s="288"/>
      <c r="R61" s="287"/>
      <c r="S61" s="287"/>
      <c r="T61" s="287"/>
      <c r="U61" s="287"/>
      <c r="V61" s="287"/>
      <c r="W61" s="287"/>
      <c r="X61" s="287"/>
      <c r="Y61" s="287"/>
      <c r="Z61" s="289"/>
      <c r="AA61" t="str" s="285" cm="1">
        <f t="array" ref="AA61">IF(AD61="","",AD61-AC61)</f>
      </c>
      <c r="AB61" s="289"/>
      <c r="AC61" s="270"/>
      <c r="AD61" s="284"/>
      <c r="AE61" s="291"/>
      <c r="AF61" s="292"/>
      <c r="AG61" s="293"/>
      <c r="AH61" s="293"/>
      <c r="AI61" s="293"/>
      <c r="AJ61" s="293"/>
      <c r="AK61" s="293"/>
      <c r="AL61" s="293"/>
      <c r="AM61" s="293"/>
      <c r="AN61" s="293"/>
      <c r="AO61" s="293"/>
      <c r="AP61" s="12"/>
      <c r="AQ61" s="12"/>
      <c r="AR61" s="12"/>
    </row>
    <row r="62" ht="22.5" customHeight="1">
      <c r="A62" s="281" cm="1">
        <f t="array" ref="A62">A61+1</f>
        <v>55</v>
      </c>
      <c r="B62" s="282"/>
      <c r="C62" t="s" s="297">
        <v>251</v>
      </c>
      <c r="D62" s="283"/>
      <c r="E62" s="284"/>
      <c r="F62" t="str" s="285" cm="1">
        <f t="array" ref="F62">IF($AD62="","",$H62-$G62)</f>
      </c>
      <c r="G62" s="286"/>
      <c r="H62" t="str" s="285" cm="1">
        <f t="array" ref="H62">IF($AD62="","",$AA62-$J62-$P62-$O62)</f>
      </c>
      <c r="I62" s="287"/>
      <c r="J62" s="286"/>
      <c r="K62" s="299"/>
      <c r="L62" s="300"/>
      <c r="M62" s="288"/>
      <c r="N62" s="287"/>
      <c r="O62" s="290"/>
      <c r="P62" s="286"/>
      <c r="Q62" s="288"/>
      <c r="R62" s="287"/>
      <c r="S62" s="287"/>
      <c r="T62" s="287"/>
      <c r="U62" s="287"/>
      <c r="V62" s="287"/>
      <c r="W62" s="287"/>
      <c r="X62" s="287"/>
      <c r="Y62" s="287"/>
      <c r="Z62" s="289"/>
      <c r="AA62" t="str" s="285" cm="1">
        <f t="array" ref="AA62">IF(AD62="","",AD62-AC62)</f>
      </c>
      <c r="AB62" s="289"/>
      <c r="AC62" s="270"/>
      <c r="AD62" s="284"/>
      <c r="AE62" s="291"/>
      <c r="AF62" s="292"/>
      <c r="AG62" s="293"/>
      <c r="AH62" s="293"/>
      <c r="AI62" s="293"/>
      <c r="AJ62" s="293"/>
      <c r="AK62" s="293"/>
      <c r="AL62" s="293"/>
      <c r="AM62" s="293"/>
      <c r="AN62" s="293"/>
      <c r="AO62" s="293"/>
      <c r="AP62" s="12"/>
      <c r="AQ62" s="12"/>
      <c r="AR62" s="12"/>
    </row>
    <row r="63" ht="22.5" customHeight="1">
      <c r="A63" s="281" cm="1">
        <f t="array" ref="A63">A62+1</f>
        <v>56</v>
      </c>
      <c r="B63" s="282"/>
      <c r="C63" t="s" s="297">
        <v>252</v>
      </c>
      <c r="D63" s="283"/>
      <c r="E63" s="284"/>
      <c r="F63" t="str" s="285" cm="1">
        <f t="array" ref="F63">IF($AD63="","",$H63-$G63)</f>
      </c>
      <c r="G63" s="286"/>
      <c r="H63" t="str" s="285" cm="1">
        <f t="array" ref="H63">IF($AD63="","",$AA63-$J63-$P63-$O63)</f>
      </c>
      <c r="I63" s="287"/>
      <c r="J63" s="286"/>
      <c r="K63" s="299"/>
      <c r="L63" s="300"/>
      <c r="M63" s="288"/>
      <c r="N63" s="287"/>
      <c r="O63" s="290"/>
      <c r="P63" s="286"/>
      <c r="Q63" s="288"/>
      <c r="R63" s="287"/>
      <c r="S63" s="287"/>
      <c r="T63" s="287"/>
      <c r="U63" s="287"/>
      <c r="V63" s="287"/>
      <c r="W63" s="287"/>
      <c r="X63" s="287"/>
      <c r="Y63" s="287"/>
      <c r="Z63" s="289"/>
      <c r="AA63" t="str" s="285" cm="1">
        <f t="array" ref="AA63">IF(AD63="","",AD63-AC63)</f>
      </c>
      <c r="AB63" s="289"/>
      <c r="AC63" s="270"/>
      <c r="AD63" s="284"/>
      <c r="AE63" s="291"/>
      <c r="AF63" s="292"/>
      <c r="AG63" s="293"/>
      <c r="AH63" s="293"/>
      <c r="AI63" s="293"/>
      <c r="AJ63" s="293"/>
      <c r="AK63" s="293"/>
      <c r="AL63" s="293"/>
      <c r="AM63" s="293"/>
      <c r="AN63" s="293"/>
      <c r="AO63" s="293"/>
      <c r="AP63" s="12"/>
      <c r="AQ63" s="12"/>
      <c r="AR63" s="12"/>
    </row>
    <row r="64" ht="22.5" customHeight="1">
      <c r="A64" s="281" cm="1">
        <f t="array" ref="A64">A63+1</f>
        <v>57</v>
      </c>
      <c r="B64" s="282"/>
      <c r="C64" t="s" s="297">
        <v>253</v>
      </c>
      <c r="D64" s="283"/>
      <c r="E64" s="284"/>
      <c r="F64" t="str" s="285" cm="1">
        <f t="array" ref="F64">IF($AD64="","",$H64-$G64)</f>
      </c>
      <c r="G64" s="286"/>
      <c r="H64" t="str" s="285" cm="1">
        <f t="array" ref="H64">IF($AD64="","",$AA64-$J64-$P64-$O64)</f>
      </c>
      <c r="I64" s="287"/>
      <c r="J64" s="286"/>
      <c r="K64" s="299"/>
      <c r="L64" s="300"/>
      <c r="M64" s="288"/>
      <c r="N64" s="287"/>
      <c r="O64" s="290"/>
      <c r="P64" s="286"/>
      <c r="Q64" s="288"/>
      <c r="R64" s="287"/>
      <c r="S64" s="287"/>
      <c r="T64" s="287"/>
      <c r="U64" s="287"/>
      <c r="V64" s="287"/>
      <c r="W64" s="287"/>
      <c r="X64" s="287"/>
      <c r="Y64" s="287"/>
      <c r="Z64" s="289"/>
      <c r="AA64" t="str" s="285" cm="1">
        <f t="array" ref="AA64">IF(AD64="","",AD64-AC64)</f>
      </c>
      <c r="AB64" s="289"/>
      <c r="AC64" s="270"/>
      <c r="AD64" s="284"/>
      <c r="AE64" s="291"/>
      <c r="AF64" s="292"/>
      <c r="AG64" s="293"/>
      <c r="AH64" s="293"/>
      <c r="AI64" s="293"/>
      <c r="AJ64" s="293"/>
      <c r="AK64" s="293"/>
      <c r="AL64" s="293"/>
      <c r="AM64" s="293"/>
      <c r="AN64" s="293"/>
      <c r="AO64" s="293"/>
      <c r="AP64" s="12"/>
      <c r="AQ64" s="12"/>
      <c r="AR64" s="12"/>
    </row>
    <row r="65" ht="22.5" customHeight="1">
      <c r="A65" s="281" cm="1">
        <f t="array" ref="A65">A64+1</f>
        <v>58</v>
      </c>
      <c r="B65" s="282"/>
      <c r="C65" s="283"/>
      <c r="D65" s="283"/>
      <c r="E65" s="284"/>
      <c r="F65" t="str" s="285" cm="1">
        <f t="array" ref="F65">IF($AD65="","",$H65-$G65)</f>
      </c>
      <c r="G65" s="286"/>
      <c r="H65" t="str" s="285" cm="1">
        <f t="array" ref="H65">IF($AD65="","",$AA65-$J65-$P65-$O65)</f>
      </c>
      <c r="I65" s="287"/>
      <c r="J65" s="286"/>
      <c r="K65" s="299"/>
      <c r="L65" s="300"/>
      <c r="M65" s="288"/>
      <c r="N65" s="287"/>
      <c r="O65" s="290"/>
      <c r="P65" s="286"/>
      <c r="Q65" s="288"/>
      <c r="R65" s="287"/>
      <c r="S65" s="287"/>
      <c r="T65" s="287"/>
      <c r="U65" s="287"/>
      <c r="V65" s="287"/>
      <c r="W65" s="287"/>
      <c r="X65" s="287"/>
      <c r="Y65" s="287"/>
      <c r="Z65" s="289"/>
      <c r="AA65" t="str" s="285" cm="1">
        <f t="array" ref="AA65">IF(AD65="","",AD65-AC65)</f>
      </c>
      <c r="AB65" s="289"/>
      <c r="AC65" s="270"/>
      <c r="AD65" s="284"/>
      <c r="AE65" s="291"/>
      <c r="AF65" s="292"/>
      <c r="AG65" s="293"/>
      <c r="AH65" s="293"/>
      <c r="AI65" s="293"/>
      <c r="AJ65" s="293"/>
      <c r="AK65" s="293"/>
      <c r="AL65" s="293"/>
      <c r="AM65" s="293"/>
      <c r="AN65" s="293"/>
      <c r="AO65" s="293"/>
      <c r="AP65" s="12"/>
      <c r="AQ65" s="12"/>
      <c r="AR65" s="295"/>
    </row>
    <row r="66" ht="22.5" customHeight="1">
      <c r="A66" s="281" cm="1">
        <f t="array" ref="A66">A65+1</f>
        <v>59</v>
      </c>
      <c r="B66" s="282"/>
      <c r="C66" s="283"/>
      <c r="D66" s="283"/>
      <c r="E66" s="284"/>
      <c r="F66" t="str" s="285" cm="1">
        <f t="array" ref="F66">IF($AD66="","",$H66-$G66)</f>
      </c>
      <c r="G66" s="286"/>
      <c r="H66" t="str" s="285" cm="1">
        <f t="array" ref="H66">IF($AD66="","",$AA66-$J66-$P66-$O66)</f>
      </c>
      <c r="I66" s="287"/>
      <c r="J66" s="286"/>
      <c r="K66" s="299"/>
      <c r="L66" s="300"/>
      <c r="M66" s="288"/>
      <c r="N66" s="287"/>
      <c r="O66" s="290"/>
      <c r="P66" s="286"/>
      <c r="Q66" s="288"/>
      <c r="R66" s="287"/>
      <c r="S66" s="287"/>
      <c r="T66" s="287"/>
      <c r="U66" s="287"/>
      <c r="V66" s="287"/>
      <c r="W66" s="287"/>
      <c r="X66" s="287"/>
      <c r="Y66" s="287"/>
      <c r="Z66" s="289"/>
      <c r="AA66" t="str" s="285" cm="1">
        <f t="array" ref="AA66">IF(AD66="","",AD66-AC66)</f>
      </c>
      <c r="AB66" s="289"/>
      <c r="AC66" s="270"/>
      <c r="AD66" s="284"/>
      <c r="AE66" s="291"/>
      <c r="AF66" s="292"/>
      <c r="AG66" s="293"/>
      <c r="AH66" s="293"/>
      <c r="AI66" s="293"/>
      <c r="AJ66" s="293"/>
      <c r="AK66" s="293"/>
      <c r="AL66" s="293"/>
      <c r="AM66" s="293"/>
      <c r="AN66" s="293"/>
      <c r="AO66" s="293"/>
      <c r="AP66" s="12"/>
      <c r="AQ66" s="304"/>
      <c r="AR66" s="305"/>
    </row>
    <row r="67" ht="22.5" customHeight="1">
      <c r="A67" s="281" cm="1">
        <f t="array" ref="A67">A66+1</f>
        <v>60</v>
      </c>
      <c r="B67" s="282"/>
      <c r="C67" s="283"/>
      <c r="D67" s="283"/>
      <c r="E67" s="284"/>
      <c r="F67" t="str" s="285" cm="1">
        <f t="array" ref="F67">IF($AD67="","",$H67-$G67)</f>
      </c>
      <c r="G67" s="286"/>
      <c r="H67" t="str" s="285" cm="1">
        <f t="array" ref="H67">IF($AD67="","",$AA67-$J67-$P67-$O67)</f>
      </c>
      <c r="I67" s="287"/>
      <c r="J67" s="286"/>
      <c r="K67" s="299"/>
      <c r="L67" s="300"/>
      <c r="M67" s="288"/>
      <c r="N67" s="287"/>
      <c r="O67" s="290"/>
      <c r="P67" s="286"/>
      <c r="Q67" s="288"/>
      <c r="R67" s="287"/>
      <c r="S67" s="287"/>
      <c r="T67" s="287"/>
      <c r="U67" s="287"/>
      <c r="V67" s="287"/>
      <c r="W67" s="287"/>
      <c r="X67" s="287"/>
      <c r="Y67" s="287"/>
      <c r="Z67" s="289"/>
      <c r="AA67" t="str" s="285" cm="1">
        <f t="array" ref="AA67">IF(AD67="","",AD67-AC67)</f>
      </c>
      <c r="AB67" s="289"/>
      <c r="AC67" s="270"/>
      <c r="AD67" s="284"/>
      <c r="AE67" s="291"/>
      <c r="AF67" s="292"/>
      <c r="AG67" s="293"/>
      <c r="AH67" s="293"/>
      <c r="AI67" s="293"/>
      <c r="AJ67" s="293"/>
      <c r="AK67" s="293"/>
      <c r="AL67" s="293"/>
      <c r="AM67" s="293"/>
      <c r="AN67" s="293"/>
      <c r="AO67" s="293"/>
      <c r="AP67" s="12"/>
      <c r="AQ67" s="12"/>
      <c r="AR67" s="307"/>
    </row>
    <row r="68" ht="22.5" customHeight="1">
      <c r="A68" s="281" cm="1">
        <f t="array" ref="A68">A67+1</f>
        <v>61</v>
      </c>
      <c r="B68" s="282"/>
      <c r="C68" s="283"/>
      <c r="D68" s="283"/>
      <c r="E68" s="284"/>
      <c r="F68" t="str" s="285" cm="1">
        <f t="array" ref="F68">IF($AD68="","",$H68-$G68)</f>
      </c>
      <c r="G68" s="286"/>
      <c r="H68" t="str" s="285" cm="1">
        <f t="array" ref="H68">IF($AD68="","",$AA68-$J68-$P68-$O68)</f>
      </c>
      <c r="I68" s="287"/>
      <c r="J68" s="286"/>
      <c r="K68" s="299"/>
      <c r="L68" s="300"/>
      <c r="M68" s="288"/>
      <c r="N68" s="287"/>
      <c r="O68" s="290"/>
      <c r="P68" s="286"/>
      <c r="Q68" s="288"/>
      <c r="R68" s="287"/>
      <c r="S68" s="287"/>
      <c r="T68" s="287"/>
      <c r="U68" s="287"/>
      <c r="V68" s="287"/>
      <c r="W68" s="287"/>
      <c r="X68" s="287"/>
      <c r="Y68" s="287"/>
      <c r="Z68" s="289"/>
      <c r="AA68" t="str" s="285" cm="1">
        <f t="array" ref="AA68">IF(AD68="","",AD68-AC68)</f>
      </c>
      <c r="AB68" s="289"/>
      <c r="AC68" s="270"/>
      <c r="AD68" s="284"/>
      <c r="AE68" s="291"/>
      <c r="AF68" s="292"/>
      <c r="AG68" s="293"/>
      <c r="AH68" s="293"/>
      <c r="AI68" s="293"/>
      <c r="AJ68" s="293"/>
      <c r="AK68" s="293"/>
      <c r="AL68" s="293"/>
      <c r="AM68" s="293"/>
      <c r="AN68" s="293"/>
      <c r="AO68" s="293"/>
      <c r="AP68" s="12"/>
      <c r="AQ68" s="12"/>
      <c r="AR68" s="12"/>
    </row>
    <row r="69" ht="22.5" customHeight="1">
      <c r="A69" s="281" cm="1">
        <f t="array" ref="A69">A68+1</f>
        <v>62</v>
      </c>
      <c r="B69" s="282"/>
      <c r="C69" s="283"/>
      <c r="D69" s="283"/>
      <c r="E69" s="284"/>
      <c r="F69" t="str" s="285" cm="1">
        <f t="array" ref="F69">IF($AD69="","",$H69-$G69)</f>
      </c>
      <c r="G69" s="286"/>
      <c r="H69" t="str" s="285" cm="1">
        <f t="array" ref="H69">IF($AD69="","",$AA69-$J69-$P69-$O69)</f>
      </c>
      <c r="I69" s="287"/>
      <c r="J69" s="286"/>
      <c r="K69" s="299"/>
      <c r="L69" s="300"/>
      <c r="M69" s="288"/>
      <c r="N69" s="287"/>
      <c r="O69" s="290"/>
      <c r="P69" s="286"/>
      <c r="Q69" s="288"/>
      <c r="R69" s="287"/>
      <c r="S69" s="287"/>
      <c r="T69" s="287"/>
      <c r="U69" s="287"/>
      <c r="V69" s="287"/>
      <c r="W69" s="287"/>
      <c r="X69" s="287"/>
      <c r="Y69" s="287"/>
      <c r="Z69" s="289"/>
      <c r="AA69" t="str" s="285" cm="1">
        <f t="array" ref="AA69">IF(AD69="","",AD69-AC69)</f>
      </c>
      <c r="AB69" s="289"/>
      <c r="AC69" s="270"/>
      <c r="AD69" s="284"/>
      <c r="AE69" s="291"/>
      <c r="AF69" s="292"/>
      <c r="AG69" s="293"/>
      <c r="AH69" s="293"/>
      <c r="AI69" s="293"/>
      <c r="AJ69" s="293"/>
      <c r="AK69" s="293"/>
      <c r="AL69" s="293"/>
      <c r="AM69" s="293"/>
      <c r="AN69" s="293"/>
      <c r="AO69" s="293"/>
      <c r="AP69" s="12"/>
      <c r="AQ69" s="12"/>
      <c r="AR69" s="12"/>
    </row>
    <row r="70" ht="22.5" customHeight="1">
      <c r="A70" s="281" cm="1">
        <f t="array" ref="A70">A69+1</f>
        <v>63</v>
      </c>
      <c r="B70" s="282"/>
      <c r="C70" s="283"/>
      <c r="D70" s="283"/>
      <c r="E70" s="284"/>
      <c r="F70" t="str" s="285" cm="1">
        <f t="array" ref="F70">IF($AD70="","",$H70-$G70)</f>
      </c>
      <c r="G70" s="286"/>
      <c r="H70" t="str" s="285" cm="1">
        <f t="array" ref="H70">IF($AD70="","",$AA70-$J70-$P70-$O70)</f>
      </c>
      <c r="I70" s="287"/>
      <c r="J70" s="286"/>
      <c r="K70" s="299"/>
      <c r="L70" s="300"/>
      <c r="M70" s="288"/>
      <c r="N70" s="287"/>
      <c r="O70" s="290"/>
      <c r="P70" s="286"/>
      <c r="Q70" s="288"/>
      <c r="R70" s="287"/>
      <c r="S70" s="287"/>
      <c r="T70" s="287"/>
      <c r="U70" s="287"/>
      <c r="V70" s="287"/>
      <c r="W70" s="287"/>
      <c r="X70" s="287"/>
      <c r="Y70" s="287"/>
      <c r="Z70" s="289"/>
      <c r="AA70" t="str" s="285" cm="1">
        <f t="array" ref="AA70">IF(AD70="","",AD70-AC70)</f>
      </c>
      <c r="AB70" s="289"/>
      <c r="AC70" s="270"/>
      <c r="AD70" s="284"/>
      <c r="AE70" s="291"/>
      <c r="AF70" s="292"/>
      <c r="AG70" s="293"/>
      <c r="AH70" s="293"/>
      <c r="AI70" s="293"/>
      <c r="AJ70" s="293"/>
      <c r="AK70" s="293"/>
      <c r="AL70" s="293"/>
      <c r="AM70" s="293"/>
      <c r="AN70" s="293"/>
      <c r="AO70" s="293"/>
      <c r="AP70" s="12"/>
      <c r="AQ70" s="12"/>
      <c r="AR70" s="12"/>
    </row>
    <row r="71" ht="22.5" customHeight="1">
      <c r="A71" s="281" cm="1">
        <f t="array" ref="A71">A70+1</f>
        <v>64</v>
      </c>
      <c r="B71" s="282"/>
      <c r="C71" t="s" s="297">
        <v>254</v>
      </c>
      <c r="D71" s="283"/>
      <c r="E71" s="284"/>
      <c r="F71" t="str" s="285" cm="1">
        <f t="array" ref="F71">IF($AD71="","",$H71-$G71)</f>
      </c>
      <c r="G71" s="286"/>
      <c r="H71" t="str" s="285" cm="1">
        <f t="array" ref="H71">IF($AD71="","",$AA71-$J71-$P71-$O71)</f>
      </c>
      <c r="I71" s="287"/>
      <c r="J71" s="286"/>
      <c r="K71" s="299"/>
      <c r="L71" s="300"/>
      <c r="M71" s="288"/>
      <c r="N71" s="287"/>
      <c r="O71" s="290"/>
      <c r="P71" s="286"/>
      <c r="Q71" s="288"/>
      <c r="R71" s="287"/>
      <c r="S71" s="287"/>
      <c r="T71" s="287"/>
      <c r="U71" s="287"/>
      <c r="V71" s="287"/>
      <c r="W71" s="287"/>
      <c r="X71" s="287"/>
      <c r="Y71" s="287"/>
      <c r="Z71" s="289"/>
      <c r="AA71" t="str" s="285" cm="1">
        <f t="array" ref="AA71">IF(AD71="","",AD71-AC71)</f>
      </c>
      <c r="AB71" s="289"/>
      <c r="AC71" s="270"/>
      <c r="AD71" s="284"/>
      <c r="AE71" s="291"/>
      <c r="AF71" s="292"/>
      <c r="AG71" s="293"/>
      <c r="AH71" s="293"/>
      <c r="AI71" s="293"/>
      <c r="AJ71" s="293"/>
      <c r="AK71" s="293"/>
      <c r="AL71" s="293"/>
      <c r="AM71" s="293"/>
      <c r="AN71" s="293"/>
      <c r="AO71" s="293"/>
      <c r="AP71" s="12"/>
      <c r="AQ71" s="12"/>
      <c r="AR71" s="12"/>
    </row>
    <row r="72" ht="22.5" customHeight="1">
      <c r="A72" s="281" cm="1">
        <f t="array" ref="A72">A71+1</f>
        <v>65</v>
      </c>
      <c r="B72" s="282"/>
      <c r="C72" t="s" s="297">
        <v>255</v>
      </c>
      <c r="D72" s="283"/>
      <c r="E72" s="284"/>
      <c r="F72" t="str" s="285" cm="1">
        <f t="array" ref="F72">IF($AD72="","",$H72-$G72)</f>
      </c>
      <c r="G72" s="286"/>
      <c r="H72" t="str" s="285" cm="1">
        <f t="array" ref="H72">IF($AD72="","",$AA72-$J72-$P72-$O72)</f>
      </c>
      <c r="I72" s="287"/>
      <c r="J72" s="286"/>
      <c r="K72" s="299"/>
      <c r="L72" s="300"/>
      <c r="M72" s="288"/>
      <c r="N72" s="287"/>
      <c r="O72" s="290"/>
      <c r="P72" s="286"/>
      <c r="Q72" s="288"/>
      <c r="R72" s="287"/>
      <c r="S72" s="287"/>
      <c r="T72" s="287"/>
      <c r="U72" s="287"/>
      <c r="V72" s="287"/>
      <c r="W72" s="287"/>
      <c r="X72" s="287"/>
      <c r="Y72" s="287"/>
      <c r="Z72" s="289"/>
      <c r="AA72" t="str" s="285" cm="1">
        <f t="array" ref="AA72">IF(AD72="","",AD72-AC72)</f>
      </c>
      <c r="AB72" s="289"/>
      <c r="AC72" s="270"/>
      <c r="AD72" s="284"/>
      <c r="AE72" s="291"/>
      <c r="AF72" s="292"/>
      <c r="AG72" s="293"/>
      <c r="AH72" s="293"/>
      <c r="AI72" s="293"/>
      <c r="AJ72" s="293"/>
      <c r="AK72" s="293"/>
      <c r="AL72" s="293"/>
      <c r="AM72" s="293"/>
      <c r="AN72" s="293"/>
      <c r="AO72" s="293"/>
      <c r="AP72" s="12"/>
      <c r="AQ72" s="12"/>
      <c r="AR72" s="12"/>
    </row>
    <row r="73" ht="22.5" customHeight="1">
      <c r="A73" s="281" cm="1">
        <f t="array" ref="A73">A72+1</f>
        <v>66</v>
      </c>
      <c r="B73" s="282"/>
      <c r="C73" t="s" s="297">
        <v>256</v>
      </c>
      <c r="D73" s="283"/>
      <c r="E73" s="284"/>
      <c r="F73" t="str" s="285" cm="1">
        <f t="array" ref="F73">IF($AD73="","",$H73-$G73)</f>
      </c>
      <c r="G73" s="286"/>
      <c r="H73" t="str" s="285" cm="1">
        <f t="array" ref="H73">IF($AD73="","",$AA73-$J73-$P73-$O73)</f>
      </c>
      <c r="I73" s="287"/>
      <c r="J73" s="286"/>
      <c r="K73" s="299"/>
      <c r="L73" s="300"/>
      <c r="M73" s="288"/>
      <c r="N73" s="287"/>
      <c r="O73" s="290"/>
      <c r="P73" s="286"/>
      <c r="Q73" s="288"/>
      <c r="R73" s="287"/>
      <c r="S73" s="287"/>
      <c r="T73" s="287"/>
      <c r="U73" s="287"/>
      <c r="V73" s="287"/>
      <c r="W73" s="287"/>
      <c r="X73" s="287"/>
      <c r="Y73" s="287"/>
      <c r="Z73" s="289"/>
      <c r="AA73" t="str" s="285" cm="1">
        <f t="array" ref="AA73">IF(AD73="","",AD73-AC73)</f>
      </c>
      <c r="AB73" s="289"/>
      <c r="AC73" s="270"/>
      <c r="AD73" s="284"/>
      <c r="AE73" s="291"/>
      <c r="AF73" s="292"/>
      <c r="AG73" s="293"/>
      <c r="AH73" s="293"/>
      <c r="AI73" s="293"/>
      <c r="AJ73" s="293"/>
      <c r="AK73" s="293"/>
      <c r="AL73" s="293"/>
      <c r="AM73" s="293"/>
      <c r="AN73" s="293"/>
      <c r="AO73" s="293"/>
      <c r="AP73" s="12"/>
      <c r="AQ73" s="12"/>
      <c r="AR73" s="12"/>
    </row>
    <row r="74" ht="22.5" customHeight="1">
      <c r="A74" s="281" cm="1">
        <f t="array" ref="A74">A73+1</f>
        <v>67</v>
      </c>
      <c r="B74" s="282"/>
      <c r="C74" s="283"/>
      <c r="D74" s="283"/>
      <c r="E74" s="284"/>
      <c r="F74" t="str" s="285" cm="1">
        <f t="array" ref="F74">IF($AD74="","",$H74-$G74)</f>
      </c>
      <c r="G74" s="286"/>
      <c r="H74" t="str" s="285" cm="1">
        <f t="array" ref="H74">IF($AD74="","",$AA74-$J74-$P74-$O74)</f>
      </c>
      <c r="I74" s="287"/>
      <c r="J74" s="286"/>
      <c r="K74" s="299"/>
      <c r="L74" s="300"/>
      <c r="M74" s="288"/>
      <c r="N74" s="287"/>
      <c r="O74" s="290"/>
      <c r="P74" s="286"/>
      <c r="Q74" s="288"/>
      <c r="R74" s="287"/>
      <c r="S74" s="287"/>
      <c r="T74" s="287"/>
      <c r="U74" s="287"/>
      <c r="V74" s="287"/>
      <c r="W74" s="287"/>
      <c r="X74" s="287"/>
      <c r="Y74" s="287"/>
      <c r="Z74" s="289"/>
      <c r="AA74" t="str" s="285" cm="1">
        <f t="array" ref="AA74">IF(AD74="","",AD74-AC74)</f>
      </c>
      <c r="AB74" s="289"/>
      <c r="AC74" s="270"/>
      <c r="AD74" s="284"/>
      <c r="AE74" s="291"/>
      <c r="AF74" s="292"/>
      <c r="AG74" s="293"/>
      <c r="AH74" s="293"/>
      <c r="AI74" s="293"/>
      <c r="AJ74" s="293"/>
      <c r="AK74" s="293"/>
      <c r="AL74" s="293"/>
      <c r="AM74" s="293"/>
      <c r="AN74" s="293"/>
      <c r="AO74" s="293"/>
      <c r="AP74" s="12"/>
      <c r="AQ74" s="12"/>
      <c r="AR74" s="12"/>
    </row>
    <row r="75" ht="22.5" customHeight="1">
      <c r="A75" s="281" cm="1">
        <f t="array" ref="A75">A74+1</f>
        <v>68</v>
      </c>
      <c r="B75" s="282"/>
      <c r="C75" s="283"/>
      <c r="D75" s="283"/>
      <c r="E75" s="284"/>
      <c r="F75" t="str" s="285" cm="1">
        <f t="array" ref="F75">IF($AD75="","",$H75-$G75)</f>
      </c>
      <c r="G75" s="286"/>
      <c r="H75" t="str" s="285" cm="1">
        <f t="array" ref="H75">IF($AD75="","",$AA75-$J75-$P75-$O75)</f>
      </c>
      <c r="I75" s="287"/>
      <c r="J75" s="286"/>
      <c r="K75" s="299"/>
      <c r="L75" s="300"/>
      <c r="M75" s="288"/>
      <c r="N75" s="287"/>
      <c r="O75" s="290"/>
      <c r="P75" s="286"/>
      <c r="Q75" s="288"/>
      <c r="R75" s="287"/>
      <c r="S75" s="287"/>
      <c r="T75" s="287"/>
      <c r="U75" s="287"/>
      <c r="V75" s="287"/>
      <c r="W75" s="287"/>
      <c r="X75" s="287"/>
      <c r="Y75" s="287"/>
      <c r="Z75" s="289"/>
      <c r="AA75" t="str" s="285" cm="1">
        <f t="array" ref="AA75">IF(AD75="","",AD75-AC75)</f>
      </c>
      <c r="AB75" s="289"/>
      <c r="AC75" s="270"/>
      <c r="AD75" s="284"/>
      <c r="AE75" s="291"/>
      <c r="AF75" s="292"/>
      <c r="AG75" s="293"/>
      <c r="AH75" s="293"/>
      <c r="AI75" s="293"/>
      <c r="AJ75" s="293"/>
      <c r="AK75" s="293"/>
      <c r="AL75" s="293"/>
      <c r="AM75" s="293"/>
      <c r="AN75" s="293"/>
      <c r="AO75" s="293"/>
      <c r="AP75" s="12"/>
      <c r="AQ75" s="12"/>
      <c r="AR75" s="12"/>
    </row>
    <row r="76" ht="22.5" customHeight="1">
      <c r="A76" s="281" cm="1">
        <f t="array" ref="A76">A75+1</f>
        <v>69</v>
      </c>
      <c r="B76" s="282"/>
      <c r="C76" s="283"/>
      <c r="D76" s="283"/>
      <c r="E76" s="284"/>
      <c r="F76" t="str" s="285" cm="1">
        <f t="array" ref="F76">IF($AD76="","",$H76-$G76)</f>
      </c>
      <c r="G76" s="286"/>
      <c r="H76" t="str" s="285" cm="1">
        <f t="array" ref="H76">IF($AD76="","",$AA76-$J76-$P76-$O76)</f>
      </c>
      <c r="I76" s="287"/>
      <c r="J76" s="286"/>
      <c r="K76" s="299"/>
      <c r="L76" s="300"/>
      <c r="M76" s="288"/>
      <c r="N76" s="287"/>
      <c r="O76" s="290"/>
      <c r="P76" s="286"/>
      <c r="Q76" s="288"/>
      <c r="R76" s="287"/>
      <c r="S76" s="287"/>
      <c r="T76" s="287"/>
      <c r="U76" s="287"/>
      <c r="V76" s="287"/>
      <c r="W76" s="287"/>
      <c r="X76" s="287"/>
      <c r="Y76" s="287"/>
      <c r="Z76" s="289"/>
      <c r="AA76" t="str" s="285" cm="1">
        <f t="array" ref="AA76">IF(AD76="","",AD76-AC76)</f>
      </c>
      <c r="AB76" s="289"/>
      <c r="AC76" s="270"/>
      <c r="AD76" s="284"/>
      <c r="AE76" s="291"/>
      <c r="AF76" s="292"/>
      <c r="AG76" s="293"/>
      <c r="AH76" s="293"/>
      <c r="AI76" s="293"/>
      <c r="AJ76" s="293"/>
      <c r="AK76" s="293"/>
      <c r="AL76" s="293"/>
      <c r="AM76" s="293"/>
      <c r="AN76" s="293"/>
      <c r="AO76" s="293"/>
      <c r="AP76" s="12"/>
      <c r="AQ76" s="12"/>
      <c r="AR76" s="12"/>
    </row>
    <row r="77" ht="22.5" customHeight="1">
      <c r="A77" s="281" cm="1">
        <f t="array" ref="A77">A76+1</f>
        <v>70</v>
      </c>
      <c r="B77" s="282"/>
      <c r="C77" s="283"/>
      <c r="D77" s="283"/>
      <c r="E77" s="284"/>
      <c r="F77" t="str" s="285" cm="1">
        <f t="array" ref="F77">IF($AD77="","",$H77-$G77)</f>
      </c>
      <c r="G77" s="286"/>
      <c r="H77" t="str" s="285" cm="1">
        <f t="array" ref="H77">IF($AD77="","",$AA77-$J77-$P77-$O77)</f>
      </c>
      <c r="I77" s="287"/>
      <c r="J77" s="286"/>
      <c r="K77" s="299"/>
      <c r="L77" s="300"/>
      <c r="M77" s="288"/>
      <c r="N77" s="287"/>
      <c r="O77" s="290"/>
      <c r="P77" s="286"/>
      <c r="Q77" s="288"/>
      <c r="R77" s="287"/>
      <c r="S77" s="287"/>
      <c r="T77" s="287"/>
      <c r="U77" s="287"/>
      <c r="V77" s="287"/>
      <c r="W77" s="287"/>
      <c r="X77" s="287"/>
      <c r="Y77" s="287"/>
      <c r="Z77" s="289"/>
      <c r="AA77" t="str" s="285" cm="1">
        <f t="array" ref="AA77">IF(AD77="","",AD77-AC77)</f>
      </c>
      <c r="AB77" s="289"/>
      <c r="AC77" s="270"/>
      <c r="AD77" s="284"/>
      <c r="AE77" s="291"/>
      <c r="AF77" s="292"/>
      <c r="AG77" s="293"/>
      <c r="AH77" s="293"/>
      <c r="AI77" s="293"/>
      <c r="AJ77" s="293"/>
      <c r="AK77" s="293"/>
      <c r="AL77" s="293"/>
      <c r="AM77" s="293"/>
      <c r="AN77" s="293"/>
      <c r="AO77" s="293"/>
      <c r="AP77" s="12"/>
      <c r="AQ77" s="12"/>
      <c r="AR77" s="12"/>
    </row>
    <row r="78" ht="22.5" customHeight="1">
      <c r="A78" s="281" cm="1">
        <f t="array" ref="A78">A77+1</f>
        <v>71</v>
      </c>
      <c r="B78" s="282"/>
      <c r="C78" s="283"/>
      <c r="D78" s="283"/>
      <c r="E78" s="284"/>
      <c r="F78" t="str" s="285" cm="1">
        <f t="array" ref="F78">IF($AD78="","",$H78-$G78)</f>
      </c>
      <c r="G78" s="286"/>
      <c r="H78" t="str" s="285" cm="1">
        <f t="array" ref="H78">IF($AD78="","",$AA78-$J78-$P78-$O78)</f>
      </c>
      <c r="I78" s="287"/>
      <c r="J78" s="286"/>
      <c r="K78" s="299"/>
      <c r="L78" s="300"/>
      <c r="M78" s="288"/>
      <c r="N78" s="287"/>
      <c r="O78" s="290"/>
      <c r="P78" s="286"/>
      <c r="Q78" s="288"/>
      <c r="R78" s="287"/>
      <c r="S78" s="287"/>
      <c r="T78" s="287"/>
      <c r="U78" s="287"/>
      <c r="V78" s="287"/>
      <c r="W78" s="287"/>
      <c r="X78" s="287"/>
      <c r="Y78" s="287"/>
      <c r="Z78" s="289"/>
      <c r="AA78" t="str" s="285" cm="1">
        <f t="array" ref="AA78">IF(AD78="","",AD78-AC78)</f>
      </c>
      <c r="AB78" s="289"/>
      <c r="AC78" s="270"/>
      <c r="AD78" s="284"/>
      <c r="AE78" s="291"/>
      <c r="AF78" s="292"/>
      <c r="AG78" s="293"/>
      <c r="AH78" s="293"/>
      <c r="AI78" s="293"/>
      <c r="AJ78" s="293"/>
      <c r="AK78" s="293"/>
      <c r="AL78" s="293"/>
      <c r="AM78" s="293"/>
      <c r="AN78" s="293"/>
      <c r="AO78" s="293"/>
      <c r="AP78" s="12"/>
      <c r="AQ78" s="12"/>
      <c r="AR78" s="12"/>
    </row>
    <row r="79" ht="22.5" customHeight="1">
      <c r="A79" s="281" cm="1">
        <f t="array" ref="A79">A78+1</f>
        <v>72</v>
      </c>
      <c r="B79" s="282"/>
      <c r="C79" s="283"/>
      <c r="D79" s="283"/>
      <c r="E79" s="284"/>
      <c r="F79" t="str" s="285" cm="1">
        <f t="array" ref="F79">IF($AD79="","",$H79-$G79)</f>
      </c>
      <c r="G79" s="286"/>
      <c r="H79" t="str" s="285" cm="1">
        <f t="array" ref="H79">IF($AD79="","",$AA79-$J79-$P79-$O79)</f>
      </c>
      <c r="I79" s="287"/>
      <c r="J79" s="286"/>
      <c r="K79" s="299"/>
      <c r="L79" s="300"/>
      <c r="M79" s="288"/>
      <c r="N79" s="287"/>
      <c r="O79" s="290"/>
      <c r="P79" s="286"/>
      <c r="Q79" s="288"/>
      <c r="R79" s="287"/>
      <c r="S79" s="287"/>
      <c r="T79" s="287"/>
      <c r="U79" s="287"/>
      <c r="V79" s="287"/>
      <c r="W79" s="287"/>
      <c r="X79" s="287"/>
      <c r="Y79" s="287"/>
      <c r="Z79" s="289"/>
      <c r="AA79" t="str" s="285" cm="1">
        <f t="array" ref="AA79">IF(AD79="","",AD79-AC79)</f>
      </c>
      <c r="AB79" s="289"/>
      <c r="AC79" s="270"/>
      <c r="AD79" s="284"/>
      <c r="AE79" s="291"/>
      <c r="AF79" s="292"/>
      <c r="AG79" s="293"/>
      <c r="AH79" s="293"/>
      <c r="AI79" s="293"/>
      <c r="AJ79" s="293"/>
      <c r="AK79" s="293"/>
      <c r="AL79" s="293"/>
      <c r="AM79" s="293"/>
      <c r="AN79" s="293"/>
      <c r="AO79" s="293"/>
      <c r="AP79" s="12"/>
      <c r="AQ79" s="12"/>
      <c r="AR79" s="12"/>
    </row>
    <row r="80" ht="22.5" customHeight="1">
      <c r="A80" s="281" cm="1">
        <f t="array" ref="A80">A79+1</f>
        <v>73</v>
      </c>
      <c r="B80" s="282"/>
      <c r="C80" s="283"/>
      <c r="D80" s="283"/>
      <c r="E80" s="284"/>
      <c r="F80" t="str" s="285" cm="1">
        <f t="array" ref="F80">IF($AD80="","",$H80-$G80)</f>
      </c>
      <c r="G80" s="286"/>
      <c r="H80" t="str" s="285" cm="1">
        <f t="array" ref="H80">IF($AD80="","",$AA80-$J80-$P80-$O80)</f>
      </c>
      <c r="I80" s="287"/>
      <c r="J80" s="286"/>
      <c r="K80" s="299"/>
      <c r="L80" s="300"/>
      <c r="M80" s="288"/>
      <c r="N80" s="287"/>
      <c r="O80" s="290"/>
      <c r="P80" s="286"/>
      <c r="Q80" s="288"/>
      <c r="R80" s="287"/>
      <c r="S80" s="287"/>
      <c r="T80" s="287"/>
      <c r="U80" s="287"/>
      <c r="V80" s="287"/>
      <c r="W80" s="287"/>
      <c r="X80" s="287"/>
      <c r="Y80" s="287"/>
      <c r="Z80" s="289"/>
      <c r="AA80" t="str" s="285" cm="1">
        <f t="array" ref="AA80">IF(AD80="","",AD80-AC80)</f>
      </c>
      <c r="AB80" s="289"/>
      <c r="AC80" s="270"/>
      <c r="AD80" s="284"/>
      <c r="AE80" s="291"/>
      <c r="AF80" s="292"/>
      <c r="AG80" s="293"/>
      <c r="AH80" s="293"/>
      <c r="AI80" s="293"/>
      <c r="AJ80" s="293"/>
      <c r="AK80" s="293"/>
      <c r="AL80" s="293"/>
      <c r="AM80" s="293"/>
      <c r="AN80" s="293"/>
      <c r="AO80" s="293"/>
      <c r="AP80" s="12"/>
      <c r="AQ80" s="12"/>
      <c r="AR80" s="12"/>
    </row>
    <row r="81" ht="22.5" customHeight="1">
      <c r="A81" s="281" cm="1">
        <f t="array" ref="A81">A80+1</f>
        <v>74</v>
      </c>
      <c r="B81" s="282"/>
      <c r="C81" t="s" s="297">
        <v>257</v>
      </c>
      <c r="D81" s="283"/>
      <c r="E81" s="284"/>
      <c r="F81" t="str" s="285" cm="1">
        <f t="array" ref="F81">IF($AD81="","",$H81-$G81)</f>
      </c>
      <c r="G81" s="286"/>
      <c r="H81" t="str" s="285" cm="1">
        <f t="array" ref="H81">IF($AD81="","",$AA81-$J81-$P81-$O81)</f>
      </c>
      <c r="I81" s="287"/>
      <c r="J81" s="286"/>
      <c r="K81" s="299"/>
      <c r="L81" s="300"/>
      <c r="M81" s="288"/>
      <c r="N81" s="287"/>
      <c r="O81" s="290"/>
      <c r="P81" s="286"/>
      <c r="Q81" s="288"/>
      <c r="R81" s="287"/>
      <c r="S81" s="287"/>
      <c r="T81" s="287"/>
      <c r="U81" s="287"/>
      <c r="V81" s="287"/>
      <c r="W81" s="287"/>
      <c r="X81" s="287"/>
      <c r="Y81" s="287"/>
      <c r="Z81" s="289"/>
      <c r="AA81" t="str" s="285" cm="1">
        <f t="array" ref="AA81">IF(AD81="","",AD81-AC81)</f>
      </c>
      <c r="AB81" s="289"/>
      <c r="AC81" s="270"/>
      <c r="AD81" s="284"/>
      <c r="AE81" s="291"/>
      <c r="AF81" s="292"/>
      <c r="AG81" s="293"/>
      <c r="AH81" s="293"/>
      <c r="AI81" s="293"/>
      <c r="AJ81" s="293"/>
      <c r="AK81" s="293"/>
      <c r="AL81" s="293"/>
      <c r="AM81" s="293"/>
      <c r="AN81" s="293"/>
      <c r="AO81" s="293"/>
      <c r="AP81" s="12"/>
      <c r="AQ81" s="12"/>
      <c r="AR81" s="12"/>
    </row>
    <row r="82" ht="22.5" customHeight="1">
      <c r="A82" s="281" cm="1">
        <f t="array" ref="A82">A81+1</f>
        <v>75</v>
      </c>
      <c r="B82" s="282"/>
      <c r="C82" t="s" s="297">
        <v>258</v>
      </c>
      <c r="D82" s="283"/>
      <c r="E82" s="284"/>
      <c r="F82" t="str" s="285" cm="1">
        <f t="array" ref="F82">IF($AD82="","",$H82-$G82)</f>
      </c>
      <c r="G82" s="286"/>
      <c r="H82" t="str" s="285" cm="1">
        <f t="array" ref="H82">IF($AD82="","",$AA82-$J82-$P82-$O82)</f>
      </c>
      <c r="I82" s="287"/>
      <c r="J82" s="286"/>
      <c r="K82" s="299"/>
      <c r="L82" s="300"/>
      <c r="M82" s="288"/>
      <c r="N82" s="287"/>
      <c r="O82" s="290"/>
      <c r="P82" s="286"/>
      <c r="Q82" s="288"/>
      <c r="R82" s="287"/>
      <c r="S82" s="287"/>
      <c r="T82" s="287"/>
      <c r="U82" s="287"/>
      <c r="V82" s="287"/>
      <c r="W82" s="287"/>
      <c r="X82" s="287"/>
      <c r="Y82" s="287"/>
      <c r="Z82" s="289"/>
      <c r="AA82" t="str" s="285" cm="1">
        <f t="array" ref="AA82">IF(AD82="","",AD82-AC82)</f>
      </c>
      <c r="AB82" s="289"/>
      <c r="AC82" s="270"/>
      <c r="AD82" s="284"/>
      <c r="AE82" s="291"/>
      <c r="AF82" s="292"/>
      <c r="AG82" s="293"/>
      <c r="AH82" s="293"/>
      <c r="AI82" s="293"/>
      <c r="AJ82" s="293"/>
      <c r="AK82" s="293"/>
      <c r="AL82" s="293"/>
      <c r="AM82" s="293"/>
      <c r="AN82" s="293"/>
      <c r="AO82" s="293"/>
      <c r="AP82" s="12"/>
      <c r="AQ82" s="12"/>
      <c r="AR82" s="12"/>
    </row>
    <row r="83" ht="22.5" customHeight="1">
      <c r="A83" s="281" cm="1">
        <f t="array" ref="A83">A82+1</f>
        <v>76</v>
      </c>
      <c r="B83" s="282"/>
      <c r="C83" t="s" s="297">
        <v>259</v>
      </c>
      <c r="D83" s="283"/>
      <c r="E83" s="284"/>
      <c r="F83" t="str" s="285" cm="1">
        <f t="array" ref="F83">IF($AD83="","",$H83-$G83)</f>
      </c>
      <c r="G83" s="286"/>
      <c r="H83" t="str" s="285" cm="1">
        <f t="array" ref="H83">IF($AD83="","",$AA83-$J83-$P83-$O83)</f>
      </c>
      <c r="I83" s="287"/>
      <c r="J83" s="286"/>
      <c r="K83" s="299"/>
      <c r="L83" s="300"/>
      <c r="M83" s="288"/>
      <c r="N83" s="287"/>
      <c r="O83" s="290"/>
      <c r="P83" s="286"/>
      <c r="Q83" s="288"/>
      <c r="R83" s="287"/>
      <c r="S83" s="287"/>
      <c r="T83" s="287"/>
      <c r="U83" s="287"/>
      <c r="V83" s="287"/>
      <c r="W83" s="287"/>
      <c r="X83" s="287"/>
      <c r="Y83" s="287"/>
      <c r="Z83" s="289"/>
      <c r="AA83" t="str" s="285" cm="1">
        <f t="array" ref="AA83">IF(AD83="","",AD83-AC83)</f>
      </c>
      <c r="AB83" s="289"/>
      <c r="AC83" s="270"/>
      <c r="AD83" s="284"/>
      <c r="AE83" s="291"/>
      <c r="AF83" s="292"/>
      <c r="AG83" s="293"/>
      <c r="AH83" s="293"/>
      <c r="AI83" s="293"/>
      <c r="AJ83" s="293"/>
      <c r="AK83" s="293"/>
      <c r="AL83" s="293"/>
      <c r="AM83" s="293"/>
      <c r="AN83" s="293"/>
      <c r="AO83" s="293"/>
      <c r="AP83" s="12"/>
      <c r="AQ83" s="12"/>
      <c r="AR83" s="12"/>
    </row>
    <row r="84" ht="22.5" customHeight="1">
      <c r="A84" s="281" cm="1">
        <f t="array" ref="A84">A83+1</f>
        <v>77</v>
      </c>
      <c r="B84" s="282"/>
      <c r="C84" t="s" s="297">
        <v>260</v>
      </c>
      <c r="D84" s="283"/>
      <c r="E84" s="284"/>
      <c r="F84" t="str" s="285" cm="1">
        <f t="array" ref="F84">IF($AD84="","",$H84-$G84)</f>
      </c>
      <c r="G84" s="286"/>
      <c r="H84" t="str" s="285" cm="1">
        <f t="array" ref="H84">IF($AD84="","",$AA84-$J84-$P84-$O84)</f>
      </c>
      <c r="I84" s="287"/>
      <c r="J84" s="286"/>
      <c r="K84" s="299"/>
      <c r="L84" s="300"/>
      <c r="M84" s="288"/>
      <c r="N84" s="287"/>
      <c r="O84" s="290"/>
      <c r="P84" s="286"/>
      <c r="Q84" s="288"/>
      <c r="R84" s="287"/>
      <c r="S84" s="287"/>
      <c r="T84" s="287"/>
      <c r="U84" s="287"/>
      <c r="V84" s="287"/>
      <c r="W84" s="287"/>
      <c r="X84" s="287"/>
      <c r="Y84" s="287"/>
      <c r="Z84" s="289"/>
      <c r="AA84" t="str" s="285" cm="1">
        <f t="array" ref="AA84">IF(AD84="","",AD84-AC84)</f>
      </c>
      <c r="AB84" s="289"/>
      <c r="AC84" s="270"/>
      <c r="AD84" s="284"/>
      <c r="AE84" s="291"/>
      <c r="AF84" s="292"/>
      <c r="AG84" s="293"/>
      <c r="AH84" s="293"/>
      <c r="AI84" s="293"/>
      <c r="AJ84" s="293"/>
      <c r="AK84" s="293"/>
      <c r="AL84" s="293"/>
      <c r="AM84" s="293"/>
      <c r="AN84" s="293"/>
      <c r="AO84" s="293"/>
      <c r="AP84" s="12"/>
      <c r="AQ84" s="12"/>
      <c r="AR84" s="12"/>
    </row>
    <row r="85" ht="22.5" customHeight="1">
      <c r="A85" s="281" cm="1">
        <f t="array" ref="A85">A84+1</f>
        <v>78</v>
      </c>
      <c r="B85" s="282"/>
      <c r="C85" t="s" s="297">
        <v>261</v>
      </c>
      <c r="D85" s="283"/>
      <c r="E85" s="284"/>
      <c r="F85" t="str" s="285" cm="1">
        <f t="array" ref="F85">IF($AD85="","",$H85-$G85)</f>
      </c>
      <c r="G85" s="286"/>
      <c r="H85" t="str" s="285" cm="1">
        <f t="array" ref="H85">IF($AD85="","",$AA85-$J85-$P85-$O85)</f>
      </c>
      <c r="I85" s="287"/>
      <c r="J85" s="286"/>
      <c r="K85" s="299"/>
      <c r="L85" s="300"/>
      <c r="M85" s="288"/>
      <c r="N85" s="287"/>
      <c r="O85" s="290"/>
      <c r="P85" s="286"/>
      <c r="Q85" s="288"/>
      <c r="R85" s="287"/>
      <c r="S85" s="287"/>
      <c r="T85" s="287"/>
      <c r="U85" s="287"/>
      <c r="V85" s="287"/>
      <c r="W85" s="287"/>
      <c r="X85" s="287"/>
      <c r="Y85" s="287"/>
      <c r="Z85" s="289"/>
      <c r="AA85" t="str" s="285" cm="1">
        <f t="array" ref="AA85">IF(AD85="","",AD85-AC85)</f>
      </c>
      <c r="AB85" s="289"/>
      <c r="AC85" s="270"/>
      <c r="AD85" s="284"/>
      <c r="AE85" s="291"/>
      <c r="AF85" s="292"/>
      <c r="AG85" s="293"/>
      <c r="AH85" s="293"/>
      <c r="AI85" s="293"/>
      <c r="AJ85" s="293"/>
      <c r="AK85" s="293"/>
      <c r="AL85" s="293"/>
      <c r="AM85" s="293"/>
      <c r="AN85" s="293"/>
      <c r="AO85" s="293"/>
      <c r="AP85" s="12"/>
      <c r="AQ85" s="12"/>
      <c r="AR85" s="12"/>
    </row>
    <row r="86" ht="22.5" customHeight="1">
      <c r="A86" s="281" cm="1">
        <f t="array" ref="A86">A85+1</f>
        <v>79</v>
      </c>
      <c r="B86" s="282"/>
      <c r="C86" t="s" s="297">
        <v>262</v>
      </c>
      <c r="D86" s="283"/>
      <c r="E86" s="284"/>
      <c r="F86" t="str" s="285" cm="1">
        <f t="array" ref="F86">IF($AD86="","",$H86-$G86)</f>
      </c>
      <c r="G86" s="286"/>
      <c r="H86" t="str" s="285" cm="1">
        <f t="array" ref="H86">IF($AD86="","",$AA86-$J86-$P86-$O86)</f>
      </c>
      <c r="I86" s="287"/>
      <c r="J86" s="286"/>
      <c r="K86" s="299"/>
      <c r="L86" s="300"/>
      <c r="M86" s="288"/>
      <c r="N86" s="287"/>
      <c r="O86" s="290"/>
      <c r="P86" s="286"/>
      <c r="Q86" s="288"/>
      <c r="R86" s="287"/>
      <c r="S86" s="287"/>
      <c r="T86" s="287"/>
      <c r="U86" s="287"/>
      <c r="V86" s="287"/>
      <c r="W86" s="287"/>
      <c r="X86" s="287"/>
      <c r="Y86" s="287"/>
      <c r="Z86" s="289"/>
      <c r="AA86" t="str" s="285" cm="1">
        <f t="array" ref="AA86">IF(AD86="","",AD86-AC86)</f>
      </c>
      <c r="AB86" s="289"/>
      <c r="AC86" s="270"/>
      <c r="AD86" s="284"/>
      <c r="AE86" s="291"/>
      <c r="AF86" s="292"/>
      <c r="AG86" s="293"/>
      <c r="AH86" s="293"/>
      <c r="AI86" s="293"/>
      <c r="AJ86" s="293"/>
      <c r="AK86" s="293"/>
      <c r="AL86" s="293"/>
      <c r="AM86" s="293"/>
      <c r="AN86" s="293"/>
      <c r="AO86" s="293"/>
      <c r="AP86" s="12"/>
      <c r="AQ86" s="12"/>
      <c r="AR86" s="12"/>
    </row>
    <row r="87" ht="22.5" customHeight="1">
      <c r="A87" s="281" cm="1">
        <f t="array" ref="A87">A86+1</f>
        <v>80</v>
      </c>
      <c r="B87" s="282"/>
      <c r="C87" t="s" s="297">
        <v>263</v>
      </c>
      <c r="D87" s="283"/>
      <c r="E87" s="284"/>
      <c r="F87" t="str" s="285" cm="1">
        <f t="array" ref="F87">IF($AD87="","",$H87-$G87)</f>
      </c>
      <c r="G87" s="286"/>
      <c r="H87" t="str" s="285" cm="1">
        <f t="array" ref="H87">IF($AD87="","",$AA87-$J87-$P87-$O87)</f>
      </c>
      <c r="I87" s="287"/>
      <c r="J87" s="286"/>
      <c r="K87" s="299"/>
      <c r="L87" s="300"/>
      <c r="M87" s="288"/>
      <c r="N87" s="287"/>
      <c r="O87" s="290"/>
      <c r="P87" s="286"/>
      <c r="Q87" s="288"/>
      <c r="R87" s="287"/>
      <c r="S87" s="287"/>
      <c r="T87" s="287"/>
      <c r="U87" s="287"/>
      <c r="V87" s="287"/>
      <c r="W87" s="287"/>
      <c r="X87" s="287"/>
      <c r="Y87" s="287"/>
      <c r="Z87" s="289"/>
      <c r="AA87" t="str" s="285" cm="1">
        <f t="array" ref="AA87">IF(AD87="","",AD87-AC87)</f>
      </c>
      <c r="AB87" s="289"/>
      <c r="AC87" s="270"/>
      <c r="AD87" s="284"/>
      <c r="AE87" s="291"/>
      <c r="AF87" s="292"/>
      <c r="AG87" s="293"/>
      <c r="AH87" s="293"/>
      <c r="AI87" s="293"/>
      <c r="AJ87" s="293"/>
      <c r="AK87" s="293"/>
      <c r="AL87" s="293"/>
      <c r="AM87" s="293"/>
      <c r="AN87" s="293"/>
      <c r="AO87" s="293"/>
      <c r="AP87" s="12"/>
      <c r="AQ87" s="12"/>
      <c r="AR87" s="12"/>
    </row>
    <row r="88" ht="22.5" customHeight="1">
      <c r="A88" s="281" cm="1">
        <f t="array" ref="A88">A87+1</f>
        <v>81</v>
      </c>
      <c r="B88" s="282"/>
      <c r="C88" t="s" s="297">
        <v>264</v>
      </c>
      <c r="D88" s="283"/>
      <c r="E88" s="284"/>
      <c r="F88" t="str" s="285" cm="1">
        <f t="array" ref="F88">IF($AD88="","",$H88-$G88)</f>
      </c>
      <c r="G88" s="286"/>
      <c r="H88" t="str" s="285" cm="1">
        <f t="array" ref="H88">IF($AD88="","",$AA88-$J88-$P88-$O88)</f>
      </c>
      <c r="I88" s="287"/>
      <c r="J88" s="286"/>
      <c r="K88" s="299"/>
      <c r="L88" s="300"/>
      <c r="M88" s="288"/>
      <c r="N88" s="287"/>
      <c r="O88" s="290"/>
      <c r="P88" s="286"/>
      <c r="Q88" s="288"/>
      <c r="R88" s="287"/>
      <c r="S88" s="287"/>
      <c r="T88" s="287"/>
      <c r="U88" s="287"/>
      <c r="V88" s="287"/>
      <c r="W88" s="287"/>
      <c r="X88" s="287"/>
      <c r="Y88" s="287"/>
      <c r="Z88" s="289"/>
      <c r="AA88" t="str" s="285" cm="1">
        <f t="array" ref="AA88">IF(AD88="","",AD88-AC88)</f>
      </c>
      <c r="AB88" s="289"/>
      <c r="AC88" s="270"/>
      <c r="AD88" s="284"/>
      <c r="AE88" s="291"/>
      <c r="AF88" s="292"/>
      <c r="AG88" s="293"/>
      <c r="AH88" s="293"/>
      <c r="AI88" s="293"/>
      <c r="AJ88" s="293"/>
      <c r="AK88" s="293"/>
      <c r="AL88" s="293"/>
      <c r="AM88" s="293"/>
      <c r="AN88" s="293"/>
      <c r="AO88" s="293"/>
      <c r="AP88" s="12"/>
      <c r="AQ88" s="12"/>
      <c r="AR88" s="12"/>
    </row>
    <row r="89" ht="22.5" customHeight="1">
      <c r="A89" s="281" cm="1">
        <f t="array" ref="A89">A88+1</f>
        <v>82</v>
      </c>
      <c r="B89" s="282"/>
      <c r="C89" t="s" s="297">
        <v>265</v>
      </c>
      <c r="D89" s="283"/>
      <c r="E89" s="284"/>
      <c r="F89" t="str" s="285" cm="1">
        <f t="array" ref="F89">IF($AD89="","",$H89-$G89)</f>
      </c>
      <c r="G89" s="286"/>
      <c r="H89" t="str" s="285" cm="1">
        <f t="array" ref="H89">IF($AD89="","",$AA89-$J89-$P89-$O89)</f>
      </c>
      <c r="I89" s="287"/>
      <c r="J89" s="286"/>
      <c r="K89" s="299"/>
      <c r="L89" s="300"/>
      <c r="M89" s="288"/>
      <c r="N89" s="287"/>
      <c r="O89" s="290"/>
      <c r="P89" s="286"/>
      <c r="Q89" s="288"/>
      <c r="R89" s="287"/>
      <c r="S89" s="287"/>
      <c r="T89" s="287"/>
      <c r="U89" s="287"/>
      <c r="V89" s="287"/>
      <c r="W89" s="287"/>
      <c r="X89" s="287"/>
      <c r="Y89" s="287"/>
      <c r="Z89" s="289"/>
      <c r="AA89" t="str" s="285" cm="1">
        <f t="array" ref="AA89">IF(AD89="","",AD89-AC89)</f>
      </c>
      <c r="AB89" s="289"/>
      <c r="AC89" s="270"/>
      <c r="AD89" s="284"/>
      <c r="AE89" s="291"/>
      <c r="AF89" s="292"/>
      <c r="AG89" s="293"/>
      <c r="AH89" s="293"/>
      <c r="AI89" s="293"/>
      <c r="AJ89" s="293"/>
      <c r="AK89" s="293"/>
      <c r="AL89" s="293"/>
      <c r="AM89" s="293"/>
      <c r="AN89" s="293"/>
      <c r="AO89" s="293"/>
      <c r="AP89" s="12"/>
      <c r="AQ89" s="12"/>
      <c r="AR89" s="12"/>
    </row>
    <row r="90" ht="22.5" customHeight="1">
      <c r="A90" s="281" cm="1">
        <f t="array" ref="A90">A89+1</f>
        <v>83</v>
      </c>
      <c r="B90" s="282"/>
      <c r="C90" t="s" s="297">
        <v>266</v>
      </c>
      <c r="D90" s="283"/>
      <c r="E90" s="284"/>
      <c r="F90" t="str" s="285" cm="1">
        <f t="array" ref="F90">IF($AD90="","",$H90-$G90)</f>
      </c>
      <c r="G90" s="286"/>
      <c r="H90" t="str" s="285" cm="1">
        <f t="array" ref="H90">IF($AD90="","",$AA90-$J90-$P90-$O90)</f>
      </c>
      <c r="I90" s="287"/>
      <c r="J90" s="286"/>
      <c r="K90" s="299"/>
      <c r="L90" s="300"/>
      <c r="M90" s="288"/>
      <c r="N90" s="287"/>
      <c r="O90" s="290"/>
      <c r="P90" s="286"/>
      <c r="Q90" s="288"/>
      <c r="R90" s="287"/>
      <c r="S90" s="287"/>
      <c r="T90" s="287"/>
      <c r="U90" s="287"/>
      <c r="V90" s="287"/>
      <c r="W90" s="287"/>
      <c r="X90" s="287"/>
      <c r="Y90" s="287"/>
      <c r="Z90" s="289"/>
      <c r="AA90" t="str" s="285" cm="1">
        <f t="array" ref="AA90">IF(AD90="","",AD90-AC90)</f>
      </c>
      <c r="AB90" s="289"/>
      <c r="AC90" s="270"/>
      <c r="AD90" s="284"/>
      <c r="AE90" s="291"/>
      <c r="AF90" s="292"/>
      <c r="AG90" s="293"/>
      <c r="AH90" s="293"/>
      <c r="AI90" s="293"/>
      <c r="AJ90" s="293"/>
      <c r="AK90" s="293"/>
      <c r="AL90" s="293"/>
      <c r="AM90" s="293"/>
      <c r="AN90" s="293"/>
      <c r="AO90" s="293"/>
      <c r="AP90" s="12"/>
      <c r="AQ90" s="12"/>
      <c r="AR90" s="12"/>
    </row>
    <row r="91" ht="22.5" customHeight="1">
      <c r="A91" s="281" cm="1">
        <f t="array" ref="A91">A90+1</f>
        <v>84</v>
      </c>
      <c r="B91" s="282"/>
      <c r="C91" t="s" s="297">
        <v>234</v>
      </c>
      <c r="D91" s="283"/>
      <c r="E91" s="284"/>
      <c r="F91" t="str" s="285" cm="1">
        <f t="array" ref="F91">IF($AD91="","",$H91-$G91)</f>
      </c>
      <c r="G91" s="286"/>
      <c r="H91" t="str" s="285" cm="1">
        <f t="array" ref="H91">IF($AD91="","",$AA91-$J91-$P91-$O91)</f>
      </c>
      <c r="I91" s="287"/>
      <c r="J91" s="286"/>
      <c r="K91" s="299"/>
      <c r="L91" s="300"/>
      <c r="M91" s="288"/>
      <c r="N91" s="287"/>
      <c r="O91" s="290"/>
      <c r="P91" s="286"/>
      <c r="Q91" s="288"/>
      <c r="R91" s="287"/>
      <c r="S91" s="287"/>
      <c r="T91" s="287"/>
      <c r="U91" s="287"/>
      <c r="V91" s="287"/>
      <c r="W91" s="287"/>
      <c r="X91" s="287"/>
      <c r="Y91" s="287"/>
      <c r="Z91" s="289"/>
      <c r="AA91" t="str" s="285" cm="1">
        <f t="array" ref="AA91">IF(AD91="","",AD91-AC91)</f>
      </c>
      <c r="AB91" s="289"/>
      <c r="AC91" s="270"/>
      <c r="AD91" s="284"/>
      <c r="AE91" s="291"/>
      <c r="AF91" s="292"/>
      <c r="AG91" s="293"/>
      <c r="AH91" s="293"/>
      <c r="AI91" s="293"/>
      <c r="AJ91" s="293"/>
      <c r="AK91" s="293"/>
      <c r="AL91" s="293"/>
      <c r="AM91" s="293"/>
      <c r="AN91" s="293"/>
      <c r="AO91" s="293"/>
      <c r="AP91" s="12"/>
      <c r="AQ91" s="12"/>
      <c r="AR91" s="12"/>
    </row>
    <row r="92" ht="22.5" customHeight="1">
      <c r="A92" s="281" cm="1">
        <f t="array" ref="A92">A91+1</f>
        <v>85</v>
      </c>
      <c r="B92" s="282"/>
      <c r="C92" t="s" s="297">
        <v>267</v>
      </c>
      <c r="D92" s="283"/>
      <c r="E92" s="284"/>
      <c r="F92" t="str" s="285" cm="1">
        <f t="array" ref="F92">IF($AD92="","",$H92-$G92)</f>
      </c>
      <c r="G92" s="286"/>
      <c r="H92" t="str" s="285" cm="1">
        <f t="array" ref="H92">IF($AD92="","",$AA92-$J92-$P92-$O92)</f>
      </c>
      <c r="I92" s="287"/>
      <c r="J92" s="286"/>
      <c r="K92" s="299"/>
      <c r="L92" s="300"/>
      <c r="M92" s="288"/>
      <c r="N92" s="287"/>
      <c r="O92" s="290"/>
      <c r="P92" s="286"/>
      <c r="Q92" s="288"/>
      <c r="R92" s="287"/>
      <c r="S92" s="287"/>
      <c r="T92" s="287"/>
      <c r="U92" s="287"/>
      <c r="V92" s="287"/>
      <c r="W92" s="287"/>
      <c r="X92" s="287"/>
      <c r="Y92" s="287"/>
      <c r="Z92" s="289"/>
      <c r="AA92" t="str" s="285" cm="1">
        <f t="array" ref="AA92">IF(AD92="","",AD92-AC92)</f>
      </c>
      <c r="AB92" s="289"/>
      <c r="AC92" s="270"/>
      <c r="AD92" s="284"/>
      <c r="AE92" s="291"/>
      <c r="AF92" s="292"/>
      <c r="AG92" s="293"/>
      <c r="AH92" s="293"/>
      <c r="AI92" s="293"/>
      <c r="AJ92" s="293"/>
      <c r="AK92" s="293"/>
      <c r="AL92" s="293"/>
      <c r="AM92" s="293"/>
      <c r="AN92" s="293"/>
      <c r="AO92" s="293"/>
      <c r="AP92" s="12"/>
      <c r="AQ92" s="12"/>
      <c r="AR92" s="12"/>
    </row>
    <row r="93" ht="22.5" customHeight="1">
      <c r="A93" s="281" cm="1">
        <f t="array" ref="A93">A92+1</f>
        <v>86</v>
      </c>
      <c r="B93" s="282"/>
      <c r="C93" t="s" s="297">
        <v>268</v>
      </c>
      <c r="D93" s="283"/>
      <c r="E93" s="284"/>
      <c r="F93" t="str" s="285" cm="1">
        <f t="array" ref="F93">IF($AD93="","",$H93-$G93)</f>
      </c>
      <c r="G93" s="286"/>
      <c r="H93" t="str" s="285" cm="1">
        <f t="array" ref="H93">IF($AD93="","",$AA93-$J93-$P93-$O93)</f>
      </c>
      <c r="I93" s="287"/>
      <c r="J93" s="286"/>
      <c r="K93" s="299"/>
      <c r="L93" s="300"/>
      <c r="M93" s="288"/>
      <c r="N93" s="287"/>
      <c r="O93" s="290"/>
      <c r="P93" s="286"/>
      <c r="Q93" s="288"/>
      <c r="R93" s="287"/>
      <c r="S93" s="287"/>
      <c r="T93" s="287"/>
      <c r="U93" s="287"/>
      <c r="V93" s="287"/>
      <c r="W93" s="287"/>
      <c r="X93" s="287"/>
      <c r="Y93" s="287"/>
      <c r="Z93" s="289"/>
      <c r="AA93" t="str" s="285" cm="1">
        <f t="array" ref="AA93">IF(AD93="","",AD93-AC93)</f>
      </c>
      <c r="AB93" s="289"/>
      <c r="AC93" s="270"/>
      <c r="AD93" s="284"/>
      <c r="AE93" s="291"/>
      <c r="AF93" s="292"/>
      <c r="AG93" s="293"/>
      <c r="AH93" s="293"/>
      <c r="AI93" s="293"/>
      <c r="AJ93" s="293"/>
      <c r="AK93" s="293"/>
      <c r="AL93" s="293"/>
      <c r="AM93" s="293"/>
      <c r="AN93" s="293"/>
      <c r="AO93" s="293"/>
      <c r="AP93" s="12"/>
      <c r="AQ93" s="12"/>
      <c r="AR93" s="12"/>
    </row>
    <row r="94" ht="22.5" customHeight="1">
      <c r="A94" s="281" cm="1">
        <f t="array" ref="A94">A93+1</f>
        <v>87</v>
      </c>
      <c r="B94" s="282"/>
      <c r="C94" t="s" s="297">
        <v>269</v>
      </c>
      <c r="D94" s="283"/>
      <c r="E94" s="284"/>
      <c r="F94" t="str" s="285" cm="1">
        <f t="array" ref="F94">IF($AD94="","",$H94-$G94)</f>
      </c>
      <c r="G94" s="286"/>
      <c r="H94" t="str" s="285" cm="1">
        <f t="array" ref="H94">IF($AD94="","",$AA94-$J94-$P94-$O94)</f>
      </c>
      <c r="I94" s="287"/>
      <c r="J94" s="286"/>
      <c r="K94" s="299"/>
      <c r="L94" s="300"/>
      <c r="M94" s="288"/>
      <c r="N94" s="287"/>
      <c r="O94" s="290"/>
      <c r="P94" s="286"/>
      <c r="Q94" s="288"/>
      <c r="R94" s="287"/>
      <c r="S94" s="287"/>
      <c r="T94" s="287"/>
      <c r="U94" s="287"/>
      <c r="V94" s="287"/>
      <c r="W94" s="287"/>
      <c r="X94" s="287"/>
      <c r="Y94" s="287"/>
      <c r="Z94" s="289"/>
      <c r="AA94" t="str" s="285" cm="1">
        <f t="array" ref="AA94">IF(AD94="","",AD94-AC94)</f>
      </c>
      <c r="AB94" s="289"/>
      <c r="AC94" s="270"/>
      <c r="AD94" s="284"/>
      <c r="AE94" s="291"/>
      <c r="AF94" s="292"/>
      <c r="AG94" s="293"/>
      <c r="AH94" s="293"/>
      <c r="AI94" s="293"/>
      <c r="AJ94" s="293"/>
      <c r="AK94" s="293"/>
      <c r="AL94" s="293"/>
      <c r="AM94" s="293"/>
      <c r="AN94" s="293"/>
      <c r="AO94" s="293"/>
      <c r="AP94" s="12"/>
      <c r="AQ94" s="12"/>
      <c r="AR94" s="12"/>
    </row>
    <row r="95" ht="22.5" customHeight="1">
      <c r="A95" s="281" cm="1">
        <f t="array" ref="A95">A94+1</f>
        <v>88</v>
      </c>
      <c r="B95" s="282"/>
      <c r="C95" t="s" s="297">
        <v>270</v>
      </c>
      <c r="D95" s="283"/>
      <c r="E95" s="284"/>
      <c r="F95" t="str" s="285" cm="1">
        <f t="array" ref="F95">IF($AD95="","",$H95-$G95)</f>
      </c>
      <c r="G95" s="286"/>
      <c r="H95" t="str" s="285" cm="1">
        <f t="array" ref="H95">IF($AD95="","",$AA95-$J95-$P95-$O95)</f>
      </c>
      <c r="I95" s="287"/>
      <c r="J95" s="286"/>
      <c r="K95" s="299"/>
      <c r="L95" s="300"/>
      <c r="M95" s="288"/>
      <c r="N95" s="287"/>
      <c r="O95" s="290"/>
      <c r="P95" s="286"/>
      <c r="Q95" s="288"/>
      <c r="R95" s="287"/>
      <c r="S95" s="287"/>
      <c r="T95" s="287"/>
      <c r="U95" s="287"/>
      <c r="V95" s="287"/>
      <c r="W95" s="287"/>
      <c r="X95" s="287"/>
      <c r="Y95" s="287"/>
      <c r="Z95" s="289"/>
      <c r="AA95" t="str" s="285" cm="1">
        <f t="array" ref="AA95">IF(AD95="","",AD95-AC95)</f>
      </c>
      <c r="AB95" s="289"/>
      <c r="AC95" s="270"/>
      <c r="AD95" s="284"/>
      <c r="AE95" t="s" s="303">
        <v>271</v>
      </c>
      <c r="AF95" s="292"/>
      <c r="AG95" s="293"/>
      <c r="AH95" s="293"/>
      <c r="AI95" s="293"/>
      <c r="AJ95" s="293"/>
      <c r="AK95" s="293"/>
      <c r="AL95" s="293"/>
      <c r="AM95" s="293"/>
      <c r="AN95" s="293"/>
      <c r="AO95" s="293"/>
      <c r="AP95" s="12"/>
      <c r="AQ95" s="12"/>
      <c r="AR95" s="12"/>
    </row>
    <row r="96" ht="22.5" customHeight="1">
      <c r="A96" s="281" cm="1">
        <f t="array" ref="A96">A95+1</f>
        <v>89</v>
      </c>
      <c r="B96" s="282"/>
      <c r="C96" t="s" s="297">
        <v>212</v>
      </c>
      <c r="D96" s="283"/>
      <c r="E96" s="284"/>
      <c r="F96" t="str" s="285" cm="1">
        <f t="array" ref="F96">IF($AD96="","",$H96-$G96)</f>
      </c>
      <c r="G96" s="286"/>
      <c r="H96" t="str" s="285" cm="1">
        <f t="array" ref="H96">IF($AD96="","",$AA96-$J96-$P96-$O96)</f>
      </c>
      <c r="I96" s="287"/>
      <c r="J96" s="286"/>
      <c r="K96" s="299"/>
      <c r="L96" s="300"/>
      <c r="M96" s="288"/>
      <c r="N96" s="287"/>
      <c r="O96" s="290"/>
      <c r="P96" s="286"/>
      <c r="Q96" s="288"/>
      <c r="R96" s="287"/>
      <c r="S96" s="287"/>
      <c r="T96" s="287"/>
      <c r="U96" s="287"/>
      <c r="V96" s="287"/>
      <c r="W96" s="287"/>
      <c r="X96" s="287"/>
      <c r="Y96" s="287"/>
      <c r="Z96" s="289"/>
      <c r="AA96" t="str" s="285" cm="1">
        <f t="array" ref="AA96">IF(AD96="","",AD96-AC96)</f>
      </c>
      <c r="AB96" s="289"/>
      <c r="AC96" s="270"/>
      <c r="AD96" s="284"/>
      <c r="AE96" s="291"/>
      <c r="AF96" s="292"/>
      <c r="AG96" s="293"/>
      <c r="AH96" s="293"/>
      <c r="AI96" s="293"/>
      <c r="AJ96" s="293"/>
      <c r="AK96" s="293"/>
      <c r="AL96" s="293"/>
      <c r="AM96" s="293"/>
      <c r="AN96" s="293"/>
      <c r="AO96" s="293"/>
      <c r="AP96" s="12"/>
      <c r="AQ96" s="12"/>
      <c r="AR96" s="12"/>
    </row>
    <row r="97" ht="22.5" customHeight="1">
      <c r="A97" s="281" cm="1">
        <f t="array" ref="A97">A96+1</f>
        <v>90</v>
      </c>
      <c r="B97" s="282"/>
      <c r="C97" t="s" s="297">
        <v>215</v>
      </c>
      <c r="D97" s="283"/>
      <c r="E97" s="284"/>
      <c r="F97" t="str" s="285" cm="1">
        <f t="array" ref="F97">IF($AD97="","",$H97-$G97)</f>
      </c>
      <c r="G97" s="286"/>
      <c r="H97" t="str" s="285" cm="1">
        <f t="array" ref="H97">IF($AD97="","",$AA97-$J97-$P97-$O97)</f>
      </c>
      <c r="I97" s="287"/>
      <c r="J97" s="286"/>
      <c r="K97" s="299"/>
      <c r="L97" s="300"/>
      <c r="M97" s="288"/>
      <c r="N97" s="287"/>
      <c r="O97" s="290"/>
      <c r="P97" s="286"/>
      <c r="Q97" s="288"/>
      <c r="R97" s="287"/>
      <c r="S97" s="287"/>
      <c r="T97" s="287"/>
      <c r="U97" s="287"/>
      <c r="V97" s="287"/>
      <c r="W97" s="287"/>
      <c r="X97" s="287"/>
      <c r="Y97" s="287"/>
      <c r="Z97" s="289"/>
      <c r="AA97" t="str" s="285" cm="1">
        <f t="array" ref="AA97">IF(AD97="","",AD97-AC97)</f>
      </c>
      <c r="AB97" s="289"/>
      <c r="AC97" s="270"/>
      <c r="AD97" s="284"/>
      <c r="AE97" s="291"/>
      <c r="AF97" s="292"/>
      <c r="AG97" s="293"/>
      <c r="AH97" s="293"/>
      <c r="AI97" s="293"/>
      <c r="AJ97" s="293"/>
      <c r="AK97" s="293"/>
      <c r="AL97" s="293"/>
      <c r="AM97" s="293"/>
      <c r="AN97" s="293"/>
      <c r="AO97" s="293"/>
      <c r="AP97" s="12"/>
      <c r="AQ97" s="12"/>
      <c r="AR97" s="12"/>
    </row>
    <row r="98" ht="22.5" customHeight="1">
      <c r="A98" s="281" cm="1">
        <f t="array" ref="A98">A97+1</f>
        <v>91</v>
      </c>
      <c r="B98" s="282"/>
      <c r="C98" t="s" s="297">
        <v>272</v>
      </c>
      <c r="D98" s="283"/>
      <c r="E98" s="284"/>
      <c r="F98" t="str" s="285" cm="1">
        <f t="array" ref="F98">IF($AD98="","",$H98-$G98)</f>
      </c>
      <c r="G98" s="286"/>
      <c r="H98" t="str" s="285" cm="1">
        <f t="array" ref="H98">IF($AD98="","",$AA98-$J98-$P98-$O98)</f>
      </c>
      <c r="I98" s="287"/>
      <c r="J98" s="286"/>
      <c r="K98" s="299"/>
      <c r="L98" s="300"/>
      <c r="M98" s="288"/>
      <c r="N98" s="287"/>
      <c r="O98" s="290"/>
      <c r="P98" s="286"/>
      <c r="Q98" s="288"/>
      <c r="R98" s="287"/>
      <c r="S98" s="287"/>
      <c r="T98" s="287"/>
      <c r="U98" s="287"/>
      <c r="V98" s="287"/>
      <c r="W98" s="287"/>
      <c r="X98" s="287"/>
      <c r="Y98" s="287"/>
      <c r="Z98" s="289"/>
      <c r="AA98" t="str" s="285" cm="1">
        <f t="array" ref="AA98">IF(AD98="","",AD98-AC98)</f>
      </c>
      <c r="AB98" s="289"/>
      <c r="AC98" s="270"/>
      <c r="AD98" s="284"/>
      <c r="AE98" s="291"/>
      <c r="AF98" s="292"/>
      <c r="AG98" s="293"/>
      <c r="AH98" s="293"/>
      <c r="AI98" s="293"/>
      <c r="AJ98" s="293"/>
      <c r="AK98" s="293"/>
      <c r="AL98" s="293"/>
      <c r="AM98" s="293"/>
      <c r="AN98" s="293"/>
      <c r="AO98" s="293"/>
      <c r="AP98" s="12"/>
      <c r="AQ98" s="12"/>
      <c r="AR98" s="12"/>
    </row>
    <row r="99" ht="22.5" customHeight="1">
      <c r="A99" s="281" cm="1">
        <f t="array" ref="A99">A98+1</f>
        <v>92</v>
      </c>
      <c r="B99" s="282"/>
      <c r="C99" t="s" s="297">
        <v>273</v>
      </c>
      <c r="D99" s="283"/>
      <c r="E99" s="284"/>
      <c r="F99" t="str" s="285" cm="1">
        <f t="array" ref="F99">IF($AD99="","",$H99-$G99)</f>
      </c>
      <c r="G99" s="286"/>
      <c r="H99" t="str" s="285" cm="1">
        <f t="array" ref="H99">IF($AD99="","",$AA99-$J99-$P99-$O99)</f>
      </c>
      <c r="I99" s="287"/>
      <c r="J99" s="286"/>
      <c r="K99" s="299"/>
      <c r="L99" s="300"/>
      <c r="M99" s="288"/>
      <c r="N99" s="287"/>
      <c r="O99" s="290"/>
      <c r="P99" s="286"/>
      <c r="Q99" s="288"/>
      <c r="R99" s="287"/>
      <c r="S99" s="287"/>
      <c r="T99" s="287"/>
      <c r="U99" s="287"/>
      <c r="V99" s="287"/>
      <c r="W99" s="287"/>
      <c r="X99" s="287"/>
      <c r="Y99" s="287"/>
      <c r="Z99" s="289"/>
      <c r="AA99" t="str" s="285" cm="1">
        <f t="array" ref="AA99">IF(AD99="","",AD99-AC99)</f>
      </c>
      <c r="AB99" s="289"/>
      <c r="AC99" s="270"/>
      <c r="AD99" s="284"/>
      <c r="AE99" s="291"/>
      <c r="AF99" s="292"/>
      <c r="AG99" s="293"/>
      <c r="AH99" s="293"/>
      <c r="AI99" s="293"/>
      <c r="AJ99" s="293"/>
      <c r="AK99" s="293"/>
      <c r="AL99" s="293"/>
      <c r="AM99" s="293"/>
      <c r="AN99" s="293"/>
      <c r="AO99" s="293"/>
      <c r="AP99" s="12"/>
      <c r="AQ99" s="12"/>
      <c r="AR99" s="12"/>
    </row>
    <row r="100" ht="22.5" customHeight="1">
      <c r="A100" s="281" cm="1">
        <f t="array" ref="A100">A99+1</f>
        <v>93</v>
      </c>
      <c r="B100" s="282"/>
      <c r="C100" t="s" s="297">
        <v>179</v>
      </c>
      <c r="D100" s="283"/>
      <c r="E100" s="284"/>
      <c r="F100" t="str" s="285" cm="1">
        <f t="array" ref="F100">IF($AD100="","",$H100-$G100)</f>
      </c>
      <c r="G100" s="286"/>
      <c r="H100" t="str" s="285" cm="1">
        <f t="array" ref="H100">IF($AD100="","",$AA100-$J100-$P100-$O100)</f>
      </c>
      <c r="I100" s="287"/>
      <c r="J100" s="286"/>
      <c r="K100" s="299"/>
      <c r="L100" s="300"/>
      <c r="M100" s="288"/>
      <c r="N100" s="287"/>
      <c r="O100" s="290"/>
      <c r="P100" s="286"/>
      <c r="Q100" s="288"/>
      <c r="R100" s="287"/>
      <c r="S100" s="287"/>
      <c r="T100" s="287"/>
      <c r="U100" s="287"/>
      <c r="V100" s="287"/>
      <c r="W100" s="287"/>
      <c r="X100" s="287"/>
      <c r="Y100" s="287"/>
      <c r="Z100" s="289"/>
      <c r="AA100" t="str" s="285" cm="1">
        <f t="array" ref="AA100">IF(AD100="","",AD100-AC100)</f>
      </c>
      <c r="AB100" s="289"/>
      <c r="AC100" s="270"/>
      <c r="AD100" s="284"/>
      <c r="AE100" s="291"/>
      <c r="AF100" s="292"/>
      <c r="AG100" s="293"/>
      <c r="AH100" s="293"/>
      <c r="AI100" s="293"/>
      <c r="AJ100" s="293"/>
      <c r="AK100" s="293"/>
      <c r="AL100" s="293"/>
      <c r="AM100" s="293"/>
      <c r="AN100" s="293"/>
      <c r="AO100" s="293"/>
      <c r="AP100" s="12"/>
      <c r="AQ100" s="12"/>
      <c r="AR100" s="12"/>
    </row>
    <row r="101" ht="22.5" customHeight="1">
      <c r="A101" s="282"/>
      <c r="B101" s="282"/>
      <c r="C101" s="283"/>
      <c r="D101" s="283"/>
      <c r="E101" s="284"/>
      <c r="F101" t="str" s="285" cm="1">
        <f t="array" ref="F101">IF($AD101="","",$H101-$G101)</f>
      </c>
      <c r="G101" s="286"/>
      <c r="H101" t="str" s="285" cm="1">
        <f t="array" ref="H101">IF($AD101="","",$AA101-$J101-$P101-$O101)</f>
      </c>
      <c r="I101" s="287"/>
      <c r="J101" s="286"/>
      <c r="K101" s="299"/>
      <c r="L101" s="300"/>
      <c r="M101" s="288"/>
      <c r="N101" s="287"/>
      <c r="O101" s="290"/>
      <c r="P101" s="286"/>
      <c r="Q101" s="288"/>
      <c r="R101" s="287"/>
      <c r="S101" s="287"/>
      <c r="T101" s="287"/>
      <c r="U101" s="287"/>
      <c r="V101" s="287"/>
      <c r="W101" s="287"/>
      <c r="X101" s="287"/>
      <c r="Y101" s="287"/>
      <c r="Z101" s="289"/>
      <c r="AA101" t="str" s="285" cm="1">
        <f t="array" ref="AA101">IF(AD101="","",AD101-AC101)</f>
      </c>
      <c r="AB101" s="289"/>
      <c r="AC101" s="270"/>
      <c r="AD101" s="284"/>
      <c r="AE101" s="291"/>
      <c r="AF101" s="292"/>
      <c r="AG101" s="293"/>
      <c r="AH101" s="293"/>
      <c r="AI101" s="293"/>
      <c r="AJ101" s="293"/>
      <c r="AK101" s="293"/>
      <c r="AL101" s="293"/>
      <c r="AM101" s="293"/>
      <c r="AN101" s="293"/>
      <c r="AO101" s="293"/>
      <c r="AP101" s="12"/>
      <c r="AQ101" s="12"/>
      <c r="AR101" s="12"/>
    </row>
    <row r="102" ht="22.5" customHeight="1">
      <c r="A102" s="282"/>
      <c r="B102" s="282"/>
      <c r="C102" s="283"/>
      <c r="D102" s="283"/>
      <c r="E102" s="284"/>
      <c r="F102" t="str" s="285" cm="1">
        <f t="array" ref="F102">IF($AD102="","",$H102-$G102)</f>
      </c>
      <c r="G102" s="286"/>
      <c r="H102" t="str" s="285" cm="1">
        <f t="array" ref="H102">IF($AD102="","",$AA102-$J102-$P102-$O102)</f>
      </c>
      <c r="I102" s="287"/>
      <c r="J102" s="286"/>
      <c r="K102" s="299"/>
      <c r="L102" s="300"/>
      <c r="M102" s="288"/>
      <c r="N102" s="287"/>
      <c r="O102" s="290"/>
      <c r="P102" s="286"/>
      <c r="Q102" s="288"/>
      <c r="R102" s="287"/>
      <c r="S102" s="287"/>
      <c r="T102" s="287"/>
      <c r="U102" s="287"/>
      <c r="V102" s="287"/>
      <c r="W102" s="287"/>
      <c r="X102" s="287"/>
      <c r="Y102" s="287"/>
      <c r="Z102" s="289"/>
      <c r="AA102" t="str" s="285" cm="1">
        <f t="array" ref="AA102">IF(AD102="","",AD102-AC102)</f>
      </c>
      <c r="AB102" s="289"/>
      <c r="AC102" s="270"/>
      <c r="AD102" s="284"/>
      <c r="AE102" s="291"/>
      <c r="AF102" s="292"/>
      <c r="AG102" s="293"/>
      <c r="AH102" s="293"/>
      <c r="AI102" s="293"/>
      <c r="AJ102" s="293"/>
      <c r="AK102" s="293"/>
      <c r="AL102" s="293"/>
      <c r="AM102" s="293"/>
      <c r="AN102" s="293"/>
      <c r="AO102" s="293"/>
      <c r="AP102" s="12"/>
      <c r="AQ102" s="12"/>
      <c r="AR102" s="12"/>
    </row>
    <row r="103" ht="22.5" customHeight="1">
      <c r="A103" s="282"/>
      <c r="B103" s="282"/>
      <c r="C103" s="283"/>
      <c r="D103" s="283"/>
      <c r="E103" s="284"/>
      <c r="F103" t="str" s="285" cm="1">
        <f t="array" ref="F103">IF($AD103="","",$H103-$G103)</f>
      </c>
      <c r="G103" s="286"/>
      <c r="H103" t="str" s="285" cm="1">
        <f t="array" ref="H103">IF($AD103="","",$AA103-$J103-$P103-$O103)</f>
      </c>
      <c r="I103" s="287"/>
      <c r="J103" s="286"/>
      <c r="K103" s="299"/>
      <c r="L103" s="300"/>
      <c r="M103" s="288"/>
      <c r="N103" s="287"/>
      <c r="O103" s="290"/>
      <c r="P103" s="286"/>
      <c r="Q103" s="288"/>
      <c r="R103" s="287"/>
      <c r="S103" s="287"/>
      <c r="T103" s="287"/>
      <c r="U103" s="287"/>
      <c r="V103" s="287"/>
      <c r="W103" s="287"/>
      <c r="X103" s="287"/>
      <c r="Y103" s="287"/>
      <c r="Z103" s="289"/>
      <c r="AA103" t="str" s="285" cm="1">
        <f t="array" ref="AA103">IF(AD103="","",AD103-AC103)</f>
      </c>
      <c r="AB103" s="289"/>
      <c r="AC103" s="270"/>
      <c r="AD103" s="284"/>
      <c r="AE103" s="291"/>
      <c r="AF103" s="292"/>
      <c r="AG103" s="293"/>
      <c r="AH103" s="293"/>
      <c r="AI103" s="293"/>
      <c r="AJ103" s="293"/>
      <c r="AK103" s="293"/>
      <c r="AL103" s="293"/>
      <c r="AM103" s="293"/>
      <c r="AN103" s="293"/>
      <c r="AO103" s="293"/>
      <c r="AP103" s="12"/>
      <c r="AQ103" s="12"/>
      <c r="AR103" s="12"/>
    </row>
    <row r="104" ht="22.5" customHeight="1">
      <c r="A104" s="282"/>
      <c r="B104" s="282"/>
      <c r="C104" s="283"/>
      <c r="D104" s="283"/>
      <c r="E104" s="284"/>
      <c r="F104" t="str" s="285" cm="1">
        <f t="array" ref="F104">IF($AD104="","",$H104-$G104)</f>
      </c>
      <c r="G104" s="286"/>
      <c r="H104" t="str" s="285" cm="1">
        <f t="array" ref="H104">IF($AD104="","",$AA104-$J104-$P104-$O104)</f>
      </c>
      <c r="I104" s="287"/>
      <c r="J104" s="286"/>
      <c r="K104" s="299"/>
      <c r="L104" s="300"/>
      <c r="M104" s="288"/>
      <c r="N104" s="287"/>
      <c r="O104" s="290"/>
      <c r="P104" s="286"/>
      <c r="Q104" s="288"/>
      <c r="R104" s="287"/>
      <c r="S104" s="287"/>
      <c r="T104" s="287"/>
      <c r="U104" s="287"/>
      <c r="V104" s="287"/>
      <c r="W104" s="287"/>
      <c r="X104" s="287"/>
      <c r="Y104" s="287"/>
      <c r="Z104" s="289"/>
      <c r="AA104" t="str" s="285" cm="1">
        <f t="array" ref="AA104">IF(AD104="","",AD104-AC104)</f>
      </c>
      <c r="AB104" s="289"/>
      <c r="AC104" s="270"/>
      <c r="AD104" s="284"/>
      <c r="AE104" s="291"/>
      <c r="AF104" s="292"/>
      <c r="AG104" s="293"/>
      <c r="AH104" s="293"/>
      <c r="AI104" s="293"/>
      <c r="AJ104" s="293"/>
      <c r="AK104" s="293"/>
      <c r="AL104" s="293"/>
      <c r="AM104" s="293"/>
      <c r="AN104" s="293"/>
      <c r="AO104" s="293"/>
      <c r="AP104" s="12"/>
      <c r="AQ104" s="12"/>
      <c r="AR104" s="12"/>
    </row>
    <row r="105" ht="22.5" customHeight="1">
      <c r="A105" s="282"/>
      <c r="B105" s="282"/>
      <c r="C105" s="283"/>
      <c r="D105" s="283"/>
      <c r="E105" s="284"/>
      <c r="F105" t="str" s="285" cm="1">
        <f t="array" ref="F105">IF($AD105="","",$H105-$G105)</f>
      </c>
      <c r="G105" s="286"/>
      <c r="H105" t="str" s="285" cm="1">
        <f t="array" ref="H105">IF($AD105="","",$AA105-$J105-$P105-$O105)</f>
      </c>
      <c r="I105" s="287"/>
      <c r="J105" s="286"/>
      <c r="K105" s="299"/>
      <c r="L105" s="300"/>
      <c r="M105" s="288"/>
      <c r="N105" s="287"/>
      <c r="O105" s="290"/>
      <c r="P105" s="286"/>
      <c r="Q105" s="288"/>
      <c r="R105" s="287"/>
      <c r="S105" s="287"/>
      <c r="T105" s="287"/>
      <c r="U105" s="287"/>
      <c r="V105" s="287"/>
      <c r="W105" s="287"/>
      <c r="X105" s="287"/>
      <c r="Y105" s="287"/>
      <c r="Z105" s="289"/>
      <c r="AA105" t="str" s="285" cm="1">
        <f t="array" ref="AA105">IF(AD105="","",AD105-AC105)</f>
      </c>
      <c r="AB105" s="289"/>
      <c r="AC105" s="270"/>
      <c r="AD105" s="284"/>
      <c r="AE105" s="291"/>
      <c r="AF105" s="292"/>
      <c r="AG105" s="293"/>
      <c r="AH105" s="293"/>
      <c r="AI105" s="293"/>
      <c r="AJ105" s="293"/>
      <c r="AK105" s="293"/>
      <c r="AL105" s="293"/>
      <c r="AM105" s="293"/>
      <c r="AN105" s="293"/>
      <c r="AO105" s="293"/>
      <c r="AP105" s="12"/>
      <c r="AQ105" s="12"/>
      <c r="AR105" s="295"/>
    </row>
    <row r="106" ht="22.5" customHeight="1">
      <c r="A106" s="282"/>
      <c r="B106" s="282"/>
      <c r="C106" s="283"/>
      <c r="D106" s="283"/>
      <c r="E106" s="284"/>
      <c r="F106" t="str" s="285" cm="1">
        <f t="array" ref="F106">IF($AD106="","",$H106-$G106)</f>
      </c>
      <c r="G106" s="286"/>
      <c r="H106" t="str" s="285" cm="1">
        <f t="array" ref="H106">IF($AD106="","",$AA106-$J106-$P106-$O106)</f>
      </c>
      <c r="I106" s="287"/>
      <c r="J106" s="286"/>
      <c r="K106" s="299"/>
      <c r="L106" s="300"/>
      <c r="M106" s="288"/>
      <c r="N106" s="287"/>
      <c r="O106" s="290"/>
      <c r="P106" s="286"/>
      <c r="Q106" s="288"/>
      <c r="R106" s="287"/>
      <c r="S106" s="287"/>
      <c r="T106" s="287"/>
      <c r="U106" s="287"/>
      <c r="V106" s="287"/>
      <c r="W106" s="287"/>
      <c r="X106" s="287"/>
      <c r="Y106" s="287"/>
      <c r="Z106" s="289"/>
      <c r="AA106" t="str" s="285" cm="1">
        <f t="array" ref="AA106">IF(AD106="","",AD106-AC106)</f>
      </c>
      <c r="AB106" s="289"/>
      <c r="AC106" s="270"/>
      <c r="AD106" s="284"/>
      <c r="AE106" s="291"/>
      <c r="AF106" s="292"/>
      <c r="AG106" s="293"/>
      <c r="AH106" s="293"/>
      <c r="AI106" s="293"/>
      <c r="AJ106" s="293"/>
      <c r="AK106" s="293"/>
      <c r="AL106" s="293"/>
      <c r="AM106" s="293"/>
      <c r="AN106" s="293"/>
      <c r="AO106" s="293"/>
      <c r="AP106" s="12"/>
      <c r="AQ106" s="304"/>
      <c r="AR106" s="305"/>
    </row>
    <row r="107" ht="22.5" customHeight="1">
      <c r="A107" s="282"/>
      <c r="B107" s="282"/>
      <c r="C107" s="283"/>
      <c r="D107" s="283"/>
      <c r="E107" s="284"/>
      <c r="F107" t="str" s="285" cm="1">
        <f t="array" ref="F107">IF($AD107="","",$H107-$G107)</f>
      </c>
      <c r="G107" s="286"/>
      <c r="H107" t="str" s="285" cm="1">
        <f t="array" ref="H107">IF($AD107="","",$AA107-$J107-$P107-$O107)</f>
      </c>
      <c r="I107" s="287"/>
      <c r="J107" s="286"/>
      <c r="K107" s="299"/>
      <c r="L107" s="300"/>
      <c r="M107" s="288"/>
      <c r="N107" s="287"/>
      <c r="O107" s="290"/>
      <c r="P107" s="286"/>
      <c r="Q107" s="288"/>
      <c r="R107" s="287"/>
      <c r="S107" s="287"/>
      <c r="T107" s="287"/>
      <c r="U107" s="287"/>
      <c r="V107" s="287"/>
      <c r="W107" s="287"/>
      <c r="X107" s="287"/>
      <c r="Y107" s="287"/>
      <c r="Z107" s="289"/>
      <c r="AA107" t="str" s="285" cm="1">
        <f t="array" ref="AA107">IF(AD107="","",AD107-AC107)</f>
      </c>
      <c r="AB107" s="289"/>
      <c r="AC107" s="270"/>
      <c r="AD107" s="284"/>
      <c r="AE107" s="291"/>
      <c r="AF107" s="292"/>
      <c r="AG107" s="293"/>
      <c r="AH107" s="293"/>
      <c r="AI107" s="293"/>
      <c r="AJ107" s="293"/>
      <c r="AK107" s="293"/>
      <c r="AL107" s="293"/>
      <c r="AM107" s="293"/>
      <c r="AN107" s="293"/>
      <c r="AO107" s="293"/>
      <c r="AP107" s="12"/>
      <c r="AQ107" s="12"/>
      <c r="AR107" s="307"/>
    </row>
    <row r="108" ht="22.5" customHeight="1">
      <c r="A108" s="282"/>
      <c r="B108" s="282"/>
      <c r="C108" s="283"/>
      <c r="D108" s="283"/>
      <c r="E108" s="284"/>
      <c r="F108" t="str" s="285" cm="1">
        <f t="array" ref="F108">IF($AD108="","",$H108-$G108)</f>
      </c>
      <c r="G108" s="286"/>
      <c r="H108" t="str" s="285" cm="1">
        <f t="array" ref="H108">IF($AD108="","",$AA108-$J108-$P108-$O108)</f>
      </c>
      <c r="I108" s="287"/>
      <c r="J108" s="286"/>
      <c r="K108" s="299"/>
      <c r="L108" s="300"/>
      <c r="M108" s="288"/>
      <c r="N108" s="287"/>
      <c r="O108" s="290"/>
      <c r="P108" s="286"/>
      <c r="Q108" s="288"/>
      <c r="R108" s="287"/>
      <c r="S108" s="287"/>
      <c r="T108" s="287"/>
      <c r="U108" s="287"/>
      <c r="V108" s="287"/>
      <c r="W108" s="287"/>
      <c r="X108" s="287"/>
      <c r="Y108" s="287"/>
      <c r="Z108" s="289"/>
      <c r="AA108" t="str" s="285" cm="1">
        <f t="array" ref="AA108">IF(AD108="","",AD108-AC108)</f>
      </c>
      <c r="AB108" s="289"/>
      <c r="AC108" s="270"/>
      <c r="AD108" s="284"/>
      <c r="AE108" s="291"/>
      <c r="AF108" s="292"/>
      <c r="AG108" s="293"/>
      <c r="AH108" s="293"/>
      <c r="AI108" s="293"/>
      <c r="AJ108" s="293"/>
      <c r="AK108" s="293"/>
      <c r="AL108" s="293"/>
      <c r="AM108" s="293"/>
      <c r="AN108" s="293"/>
      <c r="AO108" s="293"/>
      <c r="AP108" s="12"/>
      <c r="AQ108" s="12"/>
      <c r="AR108" s="12"/>
    </row>
    <row r="109" ht="22.5" customHeight="1">
      <c r="A109" s="282"/>
      <c r="B109" s="282"/>
      <c r="C109" s="283"/>
      <c r="D109" s="283"/>
      <c r="E109" s="284"/>
      <c r="F109" t="str" s="285" cm="1">
        <f t="array" ref="F109">IF($AD109="","",$H109-$G109)</f>
      </c>
      <c r="G109" s="286"/>
      <c r="H109" t="str" s="285" cm="1">
        <f t="array" ref="H109">IF($AD109="","",$AA109-$J109-$P109-$O109)</f>
      </c>
      <c r="I109" s="287"/>
      <c r="J109" s="286"/>
      <c r="K109" s="299"/>
      <c r="L109" s="300"/>
      <c r="M109" s="288"/>
      <c r="N109" s="287"/>
      <c r="O109" s="290"/>
      <c r="P109" s="286"/>
      <c r="Q109" s="288"/>
      <c r="R109" s="287"/>
      <c r="S109" s="287"/>
      <c r="T109" s="287"/>
      <c r="U109" s="287"/>
      <c r="V109" s="287"/>
      <c r="W109" s="287"/>
      <c r="X109" s="287"/>
      <c r="Y109" s="287"/>
      <c r="Z109" s="289"/>
      <c r="AA109" t="str" s="285" cm="1">
        <f t="array" ref="AA109">IF(AD109="","",AD109-AC109)</f>
      </c>
      <c r="AB109" s="289"/>
      <c r="AC109" s="270"/>
      <c r="AD109" s="284"/>
      <c r="AE109" s="291"/>
      <c r="AF109" s="292"/>
      <c r="AG109" s="293"/>
      <c r="AH109" s="293"/>
      <c r="AI109" s="293"/>
      <c r="AJ109" s="293"/>
      <c r="AK109" s="293"/>
      <c r="AL109" s="293"/>
      <c r="AM109" s="293"/>
      <c r="AN109" s="293"/>
      <c r="AO109" s="293"/>
      <c r="AP109" s="12"/>
      <c r="AQ109" s="12"/>
      <c r="AR109" s="12"/>
    </row>
    <row r="110" ht="22.5" customHeight="1">
      <c r="A110" s="282"/>
      <c r="B110" s="282"/>
      <c r="C110" s="283"/>
      <c r="D110" s="283"/>
      <c r="E110" s="284"/>
      <c r="F110" t="str" s="285" cm="1">
        <f t="array" ref="F110">IF($AD110="","",$H110-$G110)</f>
      </c>
      <c r="G110" s="286"/>
      <c r="H110" t="str" s="285" cm="1">
        <f t="array" ref="H110">IF($AD110="","",$AA110-$J110-$P110-$O110)</f>
      </c>
      <c r="I110" s="287"/>
      <c r="J110" s="286"/>
      <c r="K110" s="299"/>
      <c r="L110" s="300"/>
      <c r="M110" s="288"/>
      <c r="N110" s="287"/>
      <c r="O110" s="290"/>
      <c r="P110" s="286"/>
      <c r="Q110" s="288"/>
      <c r="R110" s="287"/>
      <c r="S110" s="287"/>
      <c r="T110" s="287"/>
      <c r="U110" s="287"/>
      <c r="V110" s="287"/>
      <c r="W110" s="287"/>
      <c r="X110" s="287"/>
      <c r="Y110" s="287"/>
      <c r="Z110" s="289"/>
      <c r="AA110" t="str" s="285" cm="1">
        <f t="array" ref="AA110">IF(AD110="","",AD110-AC110)</f>
      </c>
      <c r="AB110" s="289"/>
      <c r="AC110" s="270"/>
      <c r="AD110" s="284"/>
      <c r="AE110" s="291"/>
      <c r="AF110" s="292"/>
      <c r="AG110" s="293"/>
      <c r="AH110" s="293"/>
      <c r="AI110" s="293"/>
      <c r="AJ110" s="293"/>
      <c r="AK110" s="293"/>
      <c r="AL110" s="293"/>
      <c r="AM110" s="293"/>
      <c r="AN110" s="293"/>
      <c r="AO110" s="293"/>
      <c r="AP110" s="12"/>
      <c r="AQ110" s="12"/>
      <c r="AR110" s="12"/>
    </row>
    <row r="111" ht="22.5" customHeight="1">
      <c r="A111" s="282"/>
      <c r="B111" s="282"/>
      <c r="C111" s="283"/>
      <c r="D111" s="283"/>
      <c r="E111" s="284"/>
      <c r="F111" t="str" s="285" cm="1">
        <f t="array" ref="F111">IF($AD111="","",$H111-$G111)</f>
      </c>
      <c r="G111" s="286"/>
      <c r="H111" t="str" s="285" cm="1">
        <f t="array" ref="H111">IF($AD111="","",$AA111-$J111-$P111-$O111)</f>
      </c>
      <c r="I111" s="287"/>
      <c r="J111" s="286"/>
      <c r="K111" s="299"/>
      <c r="L111" s="300"/>
      <c r="M111" s="288"/>
      <c r="N111" s="287"/>
      <c r="O111" s="290"/>
      <c r="P111" s="286"/>
      <c r="Q111" s="288"/>
      <c r="R111" s="287"/>
      <c r="S111" s="287"/>
      <c r="T111" s="287"/>
      <c r="U111" s="287"/>
      <c r="V111" s="287"/>
      <c r="W111" s="287"/>
      <c r="X111" s="287"/>
      <c r="Y111" s="287"/>
      <c r="Z111" s="289"/>
      <c r="AA111" t="str" s="285" cm="1">
        <f t="array" ref="AA111">IF(AD111="","",AD111-AC111)</f>
      </c>
      <c r="AB111" s="289"/>
      <c r="AC111" s="270"/>
      <c r="AD111" s="284"/>
      <c r="AE111" s="291"/>
      <c r="AF111" s="292"/>
      <c r="AG111" s="293"/>
      <c r="AH111" s="293"/>
      <c r="AI111" s="293"/>
      <c r="AJ111" s="293"/>
      <c r="AK111" s="293"/>
      <c r="AL111" s="293"/>
      <c r="AM111" s="293"/>
      <c r="AN111" s="293"/>
      <c r="AO111" s="293"/>
      <c r="AP111" s="12"/>
      <c r="AQ111" s="12"/>
      <c r="AR111" s="12"/>
    </row>
    <row r="112" ht="22.5" customHeight="1">
      <c r="A112" s="282"/>
      <c r="B112" s="282"/>
      <c r="C112" s="283"/>
      <c r="D112" s="283"/>
      <c r="E112" s="284"/>
      <c r="F112" t="str" s="285" cm="1">
        <f t="array" ref="F112">IF($AD112="","",$H112-$G112)</f>
      </c>
      <c r="G112" s="286"/>
      <c r="H112" t="str" s="285" cm="1">
        <f t="array" ref="H112">IF($AD112="","",$AA112-$J112-$P112-$O112)</f>
      </c>
      <c r="I112" s="287"/>
      <c r="J112" s="286"/>
      <c r="K112" s="299"/>
      <c r="L112" s="300"/>
      <c r="M112" s="288"/>
      <c r="N112" s="287"/>
      <c r="O112" s="290"/>
      <c r="P112" s="286"/>
      <c r="Q112" s="288"/>
      <c r="R112" s="287"/>
      <c r="S112" s="287"/>
      <c r="T112" s="287"/>
      <c r="U112" s="287"/>
      <c r="V112" s="287"/>
      <c r="W112" s="287"/>
      <c r="X112" s="287"/>
      <c r="Y112" s="287"/>
      <c r="Z112" s="289"/>
      <c r="AA112" t="str" s="285" cm="1">
        <f t="array" ref="AA112">IF(AD112="","",AD112-AC112)</f>
      </c>
      <c r="AB112" s="289"/>
      <c r="AC112" s="270"/>
      <c r="AD112" s="284"/>
      <c r="AE112" s="291"/>
      <c r="AF112" s="292"/>
      <c r="AG112" s="293"/>
      <c r="AH112" s="293"/>
      <c r="AI112" s="293"/>
      <c r="AJ112" s="293"/>
      <c r="AK112" s="293"/>
      <c r="AL112" s="293"/>
      <c r="AM112" s="293"/>
      <c r="AN112" s="293"/>
      <c r="AO112" s="293"/>
      <c r="AP112" s="12"/>
      <c r="AQ112" s="12"/>
      <c r="AR112" s="12"/>
    </row>
    <row r="113" ht="22.5" customHeight="1">
      <c r="A113" s="282"/>
      <c r="B113" s="282"/>
      <c r="C113" s="283"/>
      <c r="D113" s="283"/>
      <c r="E113" s="284"/>
      <c r="F113" t="str" s="285" cm="1">
        <f t="array" ref="F113">IF($AD113="","",$H113-$G113)</f>
      </c>
      <c r="G113" s="286"/>
      <c r="H113" t="str" s="285" cm="1">
        <f t="array" ref="H113">IF($AD113="","",$AA113-$J113-$P113-$O113)</f>
      </c>
      <c r="I113" s="287"/>
      <c r="J113" s="286"/>
      <c r="K113" s="299"/>
      <c r="L113" s="300"/>
      <c r="M113" s="288"/>
      <c r="N113" s="287"/>
      <c r="O113" s="290"/>
      <c r="P113" s="286"/>
      <c r="Q113" s="288"/>
      <c r="R113" s="287"/>
      <c r="S113" s="287"/>
      <c r="T113" s="287"/>
      <c r="U113" s="287"/>
      <c r="V113" s="287"/>
      <c r="W113" s="287"/>
      <c r="X113" s="287"/>
      <c r="Y113" s="287"/>
      <c r="Z113" s="289"/>
      <c r="AA113" t="str" s="285" cm="1">
        <f t="array" ref="AA113">IF(AD113="","",AD113-AC113)</f>
      </c>
      <c r="AB113" s="289"/>
      <c r="AC113" s="270"/>
      <c r="AD113" s="284"/>
      <c r="AE113" s="291"/>
      <c r="AF113" s="292"/>
      <c r="AG113" s="293"/>
      <c r="AH113" s="293"/>
      <c r="AI113" s="293"/>
      <c r="AJ113" s="293"/>
      <c r="AK113" s="293"/>
      <c r="AL113" s="293"/>
      <c r="AM113" s="293"/>
      <c r="AN113" s="293"/>
      <c r="AO113" s="293"/>
      <c r="AP113" s="12"/>
      <c r="AQ113" s="12"/>
      <c r="AR113" s="12"/>
    </row>
    <row r="114" ht="22.5" customHeight="1">
      <c r="A114" s="282"/>
      <c r="B114" s="282"/>
      <c r="C114" s="283"/>
      <c r="D114" s="283"/>
      <c r="E114" s="284"/>
      <c r="F114" t="str" s="285" cm="1">
        <f t="array" ref="F114">IF($AD114="","",$H114-$G114)</f>
      </c>
      <c r="G114" s="286"/>
      <c r="H114" t="str" s="285" cm="1">
        <f t="array" ref="H114">IF($AD114="","",$AA114-$J114-$P114-$O114)</f>
      </c>
      <c r="I114" s="287"/>
      <c r="J114" s="286"/>
      <c r="K114" s="299"/>
      <c r="L114" s="300"/>
      <c r="M114" s="288"/>
      <c r="N114" s="287"/>
      <c r="O114" s="290"/>
      <c r="P114" s="286"/>
      <c r="Q114" s="288"/>
      <c r="R114" s="287"/>
      <c r="S114" s="287"/>
      <c r="T114" s="287"/>
      <c r="U114" s="287"/>
      <c r="V114" s="287"/>
      <c r="W114" s="287"/>
      <c r="X114" s="287"/>
      <c r="Y114" s="287"/>
      <c r="Z114" s="289"/>
      <c r="AA114" t="str" s="285" cm="1">
        <f t="array" ref="AA114">IF(AD114="","",AD114-AC114)</f>
      </c>
      <c r="AB114" s="289"/>
      <c r="AC114" s="270"/>
      <c r="AD114" s="284"/>
      <c r="AE114" s="291"/>
      <c r="AF114" s="292"/>
      <c r="AG114" s="293"/>
      <c r="AH114" s="293"/>
      <c r="AI114" s="293"/>
      <c r="AJ114" s="293"/>
      <c r="AK114" s="293"/>
      <c r="AL114" s="293"/>
      <c r="AM114" s="293"/>
      <c r="AN114" s="293"/>
      <c r="AO114" s="293"/>
      <c r="AP114" s="12"/>
      <c r="AQ114" s="12"/>
      <c r="AR114" s="12"/>
    </row>
    <row r="115" ht="22.5" customHeight="1">
      <c r="A115" s="282"/>
      <c r="B115" s="282"/>
      <c r="C115" s="283"/>
      <c r="D115" s="283"/>
      <c r="E115" s="284"/>
      <c r="F115" t="str" s="285" cm="1">
        <f t="array" ref="F115">IF($AD115="","",$H115-$G115)</f>
      </c>
      <c r="G115" s="286"/>
      <c r="H115" t="str" s="285" cm="1">
        <f t="array" ref="H115">IF($AD115="","",$AA115-$J115-$P115-$O115)</f>
      </c>
      <c r="I115" s="287"/>
      <c r="J115" s="286"/>
      <c r="K115" s="299"/>
      <c r="L115" s="300"/>
      <c r="M115" s="288"/>
      <c r="N115" s="287"/>
      <c r="O115" s="290"/>
      <c r="P115" s="286"/>
      <c r="Q115" s="288"/>
      <c r="R115" s="287"/>
      <c r="S115" s="287"/>
      <c r="T115" s="287"/>
      <c r="U115" s="287"/>
      <c r="V115" s="287"/>
      <c r="W115" s="287"/>
      <c r="X115" s="287"/>
      <c r="Y115" s="287"/>
      <c r="Z115" s="289"/>
      <c r="AA115" t="str" s="285" cm="1">
        <f t="array" ref="AA115">IF(AD115="","",AD115-AC115)</f>
      </c>
      <c r="AB115" s="289"/>
      <c r="AC115" s="270"/>
      <c r="AD115" s="284"/>
      <c r="AE115" s="291"/>
      <c r="AF115" s="292"/>
      <c r="AG115" s="293"/>
      <c r="AH115" s="293"/>
      <c r="AI115" s="293"/>
      <c r="AJ115" s="293"/>
      <c r="AK115" s="293"/>
      <c r="AL115" s="293"/>
      <c r="AM115" s="293"/>
      <c r="AN115" s="293"/>
      <c r="AO115" s="293"/>
      <c r="AP115" s="12"/>
      <c r="AQ115" s="12"/>
      <c r="AR115" s="12"/>
    </row>
    <row r="116" ht="22.5" customHeight="1">
      <c r="A116" s="282"/>
      <c r="B116" s="282"/>
      <c r="C116" s="283"/>
      <c r="D116" s="283"/>
      <c r="E116" s="284"/>
      <c r="F116" t="str" s="285" cm="1">
        <f t="array" ref="F116">IF($AD116="","",$H116-$G116)</f>
      </c>
      <c r="G116" s="286"/>
      <c r="H116" t="str" s="285" cm="1">
        <f t="array" ref="H116">IF($AD116="","",$AA116-$J116-$P116-$O116)</f>
      </c>
      <c r="I116" s="287"/>
      <c r="J116" s="286"/>
      <c r="K116" s="299"/>
      <c r="L116" s="300"/>
      <c r="M116" s="288"/>
      <c r="N116" s="287"/>
      <c r="O116" s="290"/>
      <c r="P116" s="286"/>
      <c r="Q116" s="288"/>
      <c r="R116" s="287"/>
      <c r="S116" s="287"/>
      <c r="T116" s="287"/>
      <c r="U116" s="287"/>
      <c r="V116" s="287"/>
      <c r="W116" s="287"/>
      <c r="X116" s="287"/>
      <c r="Y116" s="287"/>
      <c r="Z116" s="289"/>
      <c r="AA116" t="str" s="285" cm="1">
        <f t="array" ref="AA116">IF(AD116="","",AD116-AC116)</f>
      </c>
      <c r="AB116" s="289"/>
      <c r="AC116" s="270"/>
      <c r="AD116" s="284"/>
      <c r="AE116" s="291"/>
      <c r="AF116" s="292"/>
      <c r="AG116" s="293"/>
      <c r="AH116" s="293"/>
      <c r="AI116" s="293"/>
      <c r="AJ116" s="293"/>
      <c r="AK116" s="293"/>
      <c r="AL116" s="293"/>
      <c r="AM116" s="293"/>
      <c r="AN116" s="293"/>
      <c r="AO116" s="293"/>
      <c r="AP116" s="12"/>
      <c r="AQ116" s="12"/>
      <c r="AR116" s="12"/>
    </row>
    <row r="117" ht="22.5" customHeight="1">
      <c r="A117" s="282"/>
      <c r="B117" s="282"/>
      <c r="C117" s="283"/>
      <c r="D117" s="283"/>
      <c r="E117" s="284"/>
      <c r="F117" t="str" s="285" cm="1">
        <f t="array" ref="F117">IF($AD117="","",$H117-$G117)</f>
      </c>
      <c r="G117" s="286"/>
      <c r="H117" t="str" s="285" cm="1">
        <f t="array" ref="H117">IF($AD117="","",$AA117-$J117-$P117-$O117)</f>
      </c>
      <c r="I117" s="287"/>
      <c r="J117" s="286"/>
      <c r="K117" s="299"/>
      <c r="L117" s="300"/>
      <c r="M117" s="288"/>
      <c r="N117" s="287"/>
      <c r="O117" s="290"/>
      <c r="P117" s="286"/>
      <c r="Q117" s="288"/>
      <c r="R117" s="287"/>
      <c r="S117" s="287"/>
      <c r="T117" s="287"/>
      <c r="U117" s="287"/>
      <c r="V117" s="287"/>
      <c r="W117" s="287"/>
      <c r="X117" s="287"/>
      <c r="Y117" s="287"/>
      <c r="Z117" s="289"/>
      <c r="AA117" t="str" s="285" cm="1">
        <f t="array" ref="AA117">IF(AD117="","",AD117-AC117)</f>
      </c>
      <c r="AB117" s="289"/>
      <c r="AC117" s="270"/>
      <c r="AD117" s="284"/>
      <c r="AE117" s="291"/>
      <c r="AF117" s="292"/>
      <c r="AG117" s="293"/>
      <c r="AH117" s="293"/>
      <c r="AI117" s="293"/>
      <c r="AJ117" s="293"/>
      <c r="AK117" s="293"/>
      <c r="AL117" s="293"/>
      <c r="AM117" s="293"/>
      <c r="AN117" s="293"/>
      <c r="AO117" s="293"/>
      <c r="AP117" s="12"/>
      <c r="AQ117" s="12"/>
      <c r="AR117" s="12"/>
    </row>
    <row r="118" ht="22.5" customHeight="1">
      <c r="A118" s="282"/>
      <c r="B118" s="282"/>
      <c r="C118" s="283"/>
      <c r="D118" s="283"/>
      <c r="E118" s="284"/>
      <c r="F118" t="str" s="285" cm="1">
        <f t="array" ref="F118">IF($AD118="","",$H118-$G118)</f>
      </c>
      <c r="G118" s="286"/>
      <c r="H118" t="str" s="285" cm="1">
        <f t="array" ref="H118">IF($AD118="","",$AA118-$J118-$P118-$O118)</f>
      </c>
      <c r="I118" s="287"/>
      <c r="J118" s="286"/>
      <c r="K118" s="299"/>
      <c r="L118" s="300"/>
      <c r="M118" s="288"/>
      <c r="N118" s="287"/>
      <c r="O118" s="290"/>
      <c r="P118" s="286"/>
      <c r="Q118" s="288"/>
      <c r="R118" s="287"/>
      <c r="S118" s="287"/>
      <c r="T118" s="287"/>
      <c r="U118" s="287"/>
      <c r="V118" s="287"/>
      <c r="W118" s="287"/>
      <c r="X118" s="287"/>
      <c r="Y118" s="287"/>
      <c r="Z118" s="289"/>
      <c r="AA118" t="str" s="285" cm="1">
        <f t="array" ref="AA118">IF(AD118="","",AD118-AC118)</f>
      </c>
      <c r="AB118" s="289"/>
      <c r="AC118" s="270"/>
      <c r="AD118" s="284"/>
      <c r="AE118" s="291"/>
      <c r="AF118" s="292"/>
      <c r="AG118" s="293"/>
      <c r="AH118" s="293"/>
      <c r="AI118" s="293"/>
      <c r="AJ118" s="293"/>
      <c r="AK118" s="293"/>
      <c r="AL118" s="293"/>
      <c r="AM118" s="293"/>
      <c r="AN118" s="293"/>
      <c r="AO118" s="293"/>
      <c r="AP118" s="12"/>
      <c r="AQ118" s="12"/>
      <c r="AR118" s="12"/>
    </row>
    <row r="119" ht="22.5" customHeight="1">
      <c r="A119" s="282"/>
      <c r="B119" s="282"/>
      <c r="C119" s="283"/>
      <c r="D119" s="283"/>
      <c r="E119" s="284"/>
      <c r="F119" t="str" s="285" cm="1">
        <f t="array" ref="F119">IF($AD119="","",$H119-$G119)</f>
      </c>
      <c r="G119" s="286"/>
      <c r="H119" t="str" s="285" cm="1">
        <f t="array" ref="H119">IF($AD119="","",$AA119-$J119-$P119-$O119)</f>
      </c>
      <c r="I119" s="287"/>
      <c r="J119" s="286"/>
      <c r="K119" s="299"/>
      <c r="L119" s="300"/>
      <c r="M119" s="288"/>
      <c r="N119" s="287"/>
      <c r="O119" s="290"/>
      <c r="P119" s="286"/>
      <c r="Q119" s="288"/>
      <c r="R119" s="287"/>
      <c r="S119" s="287"/>
      <c r="T119" s="287"/>
      <c r="U119" s="287"/>
      <c r="V119" s="287"/>
      <c r="W119" s="287"/>
      <c r="X119" s="287"/>
      <c r="Y119" s="287"/>
      <c r="Z119" s="289"/>
      <c r="AA119" t="str" s="285" cm="1">
        <f t="array" ref="AA119">IF(AD119="","",AD119-AC119)</f>
      </c>
      <c r="AB119" s="289"/>
      <c r="AC119" s="270"/>
      <c r="AD119" s="284"/>
      <c r="AE119" s="291"/>
      <c r="AF119" s="292"/>
      <c r="AG119" s="293"/>
      <c r="AH119" s="293"/>
      <c r="AI119" s="293"/>
      <c r="AJ119" s="293"/>
      <c r="AK119" s="293"/>
      <c r="AL119" s="293"/>
      <c r="AM119" s="293"/>
      <c r="AN119" s="293"/>
      <c r="AO119" s="293"/>
      <c r="AP119" s="12"/>
      <c r="AQ119" s="12"/>
      <c r="AR119" s="12"/>
    </row>
    <row r="120" ht="22.5" customHeight="1">
      <c r="A120" s="282"/>
      <c r="B120" s="282"/>
      <c r="C120" s="283"/>
      <c r="D120" s="283"/>
      <c r="E120" s="284"/>
      <c r="F120" t="str" s="285" cm="1">
        <f t="array" ref="F120">IF($AD120="","",$H120-$G120)</f>
      </c>
      <c r="G120" s="286"/>
      <c r="H120" t="str" s="285" cm="1">
        <f t="array" ref="H120">IF($AD120="","",$AA120-$J120-$P120-$O120)</f>
      </c>
      <c r="I120" s="287"/>
      <c r="J120" s="286"/>
      <c r="K120" s="299"/>
      <c r="L120" s="300"/>
      <c r="M120" s="288"/>
      <c r="N120" s="287"/>
      <c r="O120" s="290"/>
      <c r="P120" s="286"/>
      <c r="Q120" s="288"/>
      <c r="R120" s="287"/>
      <c r="S120" s="287"/>
      <c r="T120" s="287"/>
      <c r="U120" s="287"/>
      <c r="V120" s="287"/>
      <c r="W120" s="287"/>
      <c r="X120" s="287"/>
      <c r="Y120" s="287"/>
      <c r="Z120" s="289"/>
      <c r="AA120" t="str" s="285" cm="1">
        <f t="array" ref="AA120">IF(AD120="","",AD120-AC120)</f>
      </c>
      <c r="AB120" s="289"/>
      <c r="AC120" s="270"/>
      <c r="AD120" s="284"/>
      <c r="AE120" s="291"/>
      <c r="AF120" s="292"/>
      <c r="AG120" s="293"/>
      <c r="AH120" s="293"/>
      <c r="AI120" s="293"/>
      <c r="AJ120" s="293"/>
      <c r="AK120" s="293"/>
      <c r="AL120" s="293"/>
      <c r="AM120" s="293"/>
      <c r="AN120" s="293"/>
      <c r="AO120" s="293"/>
      <c r="AP120" s="12"/>
      <c r="AQ120" s="12"/>
      <c r="AR120" s="12"/>
    </row>
    <row r="121" ht="22.5" customHeight="1">
      <c r="A121" s="282"/>
      <c r="B121" s="282"/>
      <c r="C121" s="283"/>
      <c r="D121" s="283"/>
      <c r="E121" s="284"/>
      <c r="F121" t="str" s="285" cm="1">
        <f t="array" ref="F121">IF($AD121="","",$H121-$G121)</f>
      </c>
      <c r="G121" s="286"/>
      <c r="H121" t="str" s="285" cm="1">
        <f t="array" ref="H121">IF($AD121="","",$AA121-$J121-$P121-$O121)</f>
      </c>
      <c r="I121" s="287"/>
      <c r="J121" s="286"/>
      <c r="K121" s="299"/>
      <c r="L121" s="300"/>
      <c r="M121" s="288"/>
      <c r="N121" s="287"/>
      <c r="O121" s="290"/>
      <c r="P121" s="286"/>
      <c r="Q121" s="288"/>
      <c r="R121" s="287"/>
      <c r="S121" s="287"/>
      <c r="T121" s="287"/>
      <c r="U121" s="287"/>
      <c r="V121" s="287"/>
      <c r="W121" s="287"/>
      <c r="X121" s="287"/>
      <c r="Y121" s="287"/>
      <c r="Z121" s="289"/>
      <c r="AA121" t="str" s="285" cm="1">
        <f t="array" ref="AA121">IF(AD121="","",AD121-AC121)</f>
      </c>
      <c r="AB121" s="289"/>
      <c r="AC121" s="270"/>
      <c r="AD121" s="284"/>
      <c r="AE121" s="291"/>
      <c r="AF121" s="292"/>
      <c r="AG121" s="293"/>
      <c r="AH121" s="293"/>
      <c r="AI121" s="293"/>
      <c r="AJ121" s="293"/>
      <c r="AK121" s="293"/>
      <c r="AL121" s="293"/>
      <c r="AM121" s="293"/>
      <c r="AN121" s="293"/>
      <c r="AO121" s="293"/>
      <c r="AP121" s="12"/>
      <c r="AQ121" s="12"/>
      <c r="AR121" s="12"/>
    </row>
    <row r="122" ht="22.5" customHeight="1">
      <c r="A122" s="282"/>
      <c r="B122" s="282"/>
      <c r="C122" s="283"/>
      <c r="D122" s="283"/>
      <c r="E122" s="284"/>
      <c r="F122" t="str" s="285" cm="1">
        <f t="array" ref="F122">IF($AD122="","",$H122-$G122)</f>
      </c>
      <c r="G122" s="286"/>
      <c r="H122" t="str" s="285" cm="1">
        <f t="array" ref="H122">IF($AD122="","",$AA122-$J122-$P122-$O122)</f>
      </c>
      <c r="I122" s="287"/>
      <c r="J122" s="286"/>
      <c r="K122" s="299"/>
      <c r="L122" s="300"/>
      <c r="M122" s="288"/>
      <c r="N122" s="287"/>
      <c r="O122" s="290"/>
      <c r="P122" s="286"/>
      <c r="Q122" s="288"/>
      <c r="R122" s="287"/>
      <c r="S122" s="287"/>
      <c r="T122" s="287"/>
      <c r="U122" s="287"/>
      <c r="V122" s="287"/>
      <c r="W122" s="287"/>
      <c r="X122" s="287"/>
      <c r="Y122" s="287"/>
      <c r="Z122" s="289"/>
      <c r="AA122" t="str" s="285" cm="1">
        <f t="array" ref="AA122">IF(AD122="","",AD122-AC122)</f>
      </c>
      <c r="AB122" s="289"/>
      <c r="AC122" s="270"/>
      <c r="AD122" s="284"/>
      <c r="AE122" s="291"/>
      <c r="AF122" s="292"/>
      <c r="AG122" s="293"/>
      <c r="AH122" s="293"/>
      <c r="AI122" s="293"/>
      <c r="AJ122" s="293"/>
      <c r="AK122" s="293"/>
      <c r="AL122" s="293"/>
      <c r="AM122" s="293"/>
      <c r="AN122" s="293"/>
      <c r="AO122" s="293"/>
      <c r="AP122" s="12"/>
      <c r="AQ122" s="12"/>
      <c r="AR122" s="12"/>
    </row>
    <row r="123" ht="22.5" customHeight="1">
      <c r="A123" s="282"/>
      <c r="B123" s="282"/>
      <c r="C123" s="283"/>
      <c r="D123" s="283"/>
      <c r="E123" s="284"/>
      <c r="F123" t="str" s="285" cm="1">
        <f t="array" ref="F123">IF($AD123="","",$H123-$G123)</f>
      </c>
      <c r="G123" s="286"/>
      <c r="H123" t="str" s="285" cm="1">
        <f t="array" ref="H123">IF($AD123="","",$AA123-$J123-$P123-$O123)</f>
      </c>
      <c r="I123" s="287"/>
      <c r="J123" s="286"/>
      <c r="K123" s="299"/>
      <c r="L123" s="300"/>
      <c r="M123" s="288"/>
      <c r="N123" s="287"/>
      <c r="O123" s="290"/>
      <c r="P123" s="286"/>
      <c r="Q123" s="288"/>
      <c r="R123" s="287"/>
      <c r="S123" s="287"/>
      <c r="T123" s="287"/>
      <c r="U123" s="287"/>
      <c r="V123" s="287"/>
      <c r="W123" s="287"/>
      <c r="X123" s="287"/>
      <c r="Y123" s="287"/>
      <c r="Z123" s="289"/>
      <c r="AA123" t="str" s="285" cm="1">
        <f t="array" ref="AA123">IF(AD123="","",AD123-AC123)</f>
      </c>
      <c r="AB123" s="289"/>
      <c r="AC123" s="270"/>
      <c r="AD123" s="284"/>
      <c r="AE123" s="291"/>
      <c r="AF123" s="292"/>
      <c r="AG123" s="293"/>
      <c r="AH123" s="293"/>
      <c r="AI123" s="293"/>
      <c r="AJ123" s="293"/>
      <c r="AK123" s="293"/>
      <c r="AL123" s="293"/>
      <c r="AM123" s="293"/>
      <c r="AN123" s="293"/>
      <c r="AO123" s="293"/>
      <c r="AP123" s="12"/>
      <c r="AQ123" s="12"/>
      <c r="AR123" s="12"/>
    </row>
    <row r="124" ht="22.5" customHeight="1">
      <c r="A124" s="282"/>
      <c r="B124" s="282"/>
      <c r="C124" s="283"/>
      <c r="D124" s="283"/>
      <c r="E124" s="284"/>
      <c r="F124" t="str" s="285" cm="1">
        <f t="array" ref="F124">IF($AD124="","",$H124-$G124)</f>
      </c>
      <c r="G124" s="286"/>
      <c r="H124" t="str" s="285" cm="1">
        <f t="array" ref="H124">IF($AD124="","",$AA124-$J124-$P124-$O124)</f>
      </c>
      <c r="I124" s="287"/>
      <c r="J124" s="286"/>
      <c r="K124" s="299"/>
      <c r="L124" s="300"/>
      <c r="M124" s="288"/>
      <c r="N124" s="287"/>
      <c r="O124" s="290"/>
      <c r="P124" s="286"/>
      <c r="Q124" s="288"/>
      <c r="R124" s="287"/>
      <c r="S124" s="287"/>
      <c r="T124" s="287"/>
      <c r="U124" s="287"/>
      <c r="V124" s="287"/>
      <c r="W124" s="287"/>
      <c r="X124" s="287"/>
      <c r="Y124" s="287"/>
      <c r="Z124" s="289"/>
      <c r="AA124" t="str" s="285" cm="1">
        <f t="array" ref="AA124">IF(AD124="","",AD124-AC124)</f>
      </c>
      <c r="AB124" s="289"/>
      <c r="AC124" s="270"/>
      <c r="AD124" s="284"/>
      <c r="AE124" s="291"/>
      <c r="AF124" s="292"/>
      <c r="AG124" s="293"/>
      <c r="AH124" s="293"/>
      <c r="AI124" s="293"/>
      <c r="AJ124" s="293"/>
      <c r="AK124" s="293"/>
      <c r="AL124" s="293"/>
      <c r="AM124" s="293"/>
      <c r="AN124" s="293"/>
      <c r="AO124" s="293"/>
      <c r="AP124" s="12"/>
      <c r="AQ124" s="12"/>
      <c r="AR124" s="12"/>
    </row>
    <row r="125" ht="22.5" customHeight="1">
      <c r="A125" s="282"/>
      <c r="B125" s="282"/>
      <c r="C125" s="283"/>
      <c r="D125" s="283"/>
      <c r="E125" s="284"/>
      <c r="F125" t="str" s="285" cm="1">
        <f t="array" ref="F125">IF($AD125="","",$H125-$G125)</f>
      </c>
      <c r="G125" s="286"/>
      <c r="H125" t="str" s="285" cm="1">
        <f t="array" ref="H125">IF($AD125="","",$AA125-$J125-$P125-$O125)</f>
      </c>
      <c r="I125" s="287"/>
      <c r="J125" s="286"/>
      <c r="K125" s="299"/>
      <c r="L125" s="300"/>
      <c r="M125" s="288"/>
      <c r="N125" s="287"/>
      <c r="O125" s="290"/>
      <c r="P125" s="286"/>
      <c r="Q125" s="288"/>
      <c r="R125" s="287"/>
      <c r="S125" s="287"/>
      <c r="T125" s="287"/>
      <c r="U125" s="287"/>
      <c r="V125" s="287"/>
      <c r="W125" s="287"/>
      <c r="X125" s="287"/>
      <c r="Y125" s="287"/>
      <c r="Z125" s="289"/>
      <c r="AA125" t="str" s="285" cm="1">
        <f t="array" ref="AA125">IF(AD125="","",AD125-AC125)</f>
      </c>
      <c r="AB125" s="289"/>
      <c r="AC125" s="270"/>
      <c r="AD125" s="284"/>
      <c r="AE125" s="291"/>
      <c r="AF125" s="292"/>
      <c r="AG125" s="293"/>
      <c r="AH125" s="293"/>
      <c r="AI125" s="293"/>
      <c r="AJ125" s="293"/>
      <c r="AK125" s="293"/>
      <c r="AL125" s="293"/>
      <c r="AM125" s="293"/>
      <c r="AN125" s="293"/>
      <c r="AO125" s="293"/>
      <c r="AP125" s="12"/>
      <c r="AQ125" s="12"/>
      <c r="AR125" s="12"/>
    </row>
    <row r="126" ht="22.5" customHeight="1">
      <c r="A126" s="282"/>
      <c r="B126" s="282"/>
      <c r="C126" s="283"/>
      <c r="D126" s="283"/>
      <c r="E126" s="284"/>
      <c r="F126" t="str" s="285" cm="1">
        <f t="array" ref="F126">IF($AD126="","",$H126-$G126)</f>
      </c>
      <c r="G126" s="286"/>
      <c r="H126" t="str" s="285" cm="1">
        <f t="array" ref="H126">IF($AD126="","",$AA126-$J126-$P126-$O126)</f>
      </c>
      <c r="I126" s="287"/>
      <c r="J126" s="286"/>
      <c r="K126" s="299"/>
      <c r="L126" s="300"/>
      <c r="M126" s="288"/>
      <c r="N126" s="287"/>
      <c r="O126" s="290"/>
      <c r="P126" s="286"/>
      <c r="Q126" s="288"/>
      <c r="R126" s="287"/>
      <c r="S126" s="287"/>
      <c r="T126" s="287"/>
      <c r="U126" s="287"/>
      <c r="V126" s="287"/>
      <c r="W126" s="287"/>
      <c r="X126" s="287"/>
      <c r="Y126" s="287"/>
      <c r="Z126" s="289"/>
      <c r="AA126" t="str" s="285" cm="1">
        <f t="array" ref="AA126">IF(AD126="","",AD126-AC126)</f>
      </c>
      <c r="AB126" s="289"/>
      <c r="AC126" s="270"/>
      <c r="AD126" s="284"/>
      <c r="AE126" s="291"/>
      <c r="AF126" s="292"/>
      <c r="AG126" s="293"/>
      <c r="AH126" s="293"/>
      <c r="AI126" s="293"/>
      <c r="AJ126" s="293"/>
      <c r="AK126" s="293"/>
      <c r="AL126" s="293"/>
      <c r="AM126" s="293"/>
      <c r="AN126" s="293"/>
      <c r="AO126" s="293"/>
      <c r="AP126" s="12"/>
      <c r="AQ126" s="12"/>
      <c r="AR126" s="12"/>
    </row>
    <row r="127" ht="22.5" customHeight="1">
      <c r="A127" s="282"/>
      <c r="B127" s="282"/>
      <c r="C127" s="283"/>
      <c r="D127" s="283"/>
      <c r="E127" s="284"/>
      <c r="F127" t="str" s="285" cm="1">
        <f t="array" ref="F127">IF($AD127="","",$H127-$G127)</f>
      </c>
      <c r="G127" s="286"/>
      <c r="H127" t="str" s="285" cm="1">
        <f t="array" ref="H127">IF($AD127="","",$AA127-$J127-$P127-$O127)</f>
      </c>
      <c r="I127" s="287"/>
      <c r="J127" s="286"/>
      <c r="K127" s="299"/>
      <c r="L127" s="300"/>
      <c r="M127" s="288"/>
      <c r="N127" s="287"/>
      <c r="O127" s="290"/>
      <c r="P127" s="286"/>
      <c r="Q127" s="288"/>
      <c r="R127" s="287"/>
      <c r="S127" s="287"/>
      <c r="T127" s="287"/>
      <c r="U127" s="287"/>
      <c r="V127" s="287"/>
      <c r="W127" s="287"/>
      <c r="X127" s="287"/>
      <c r="Y127" s="287"/>
      <c r="Z127" s="289"/>
      <c r="AA127" t="str" s="285" cm="1">
        <f t="array" ref="AA127">IF(AD127="","",AD127-AC127)</f>
      </c>
      <c r="AB127" s="289"/>
      <c r="AC127" s="270"/>
      <c r="AD127" s="284"/>
      <c r="AE127" s="291"/>
      <c r="AF127" s="292"/>
      <c r="AG127" s="293"/>
      <c r="AH127" s="293"/>
      <c r="AI127" s="293"/>
      <c r="AJ127" s="293"/>
      <c r="AK127" s="293"/>
      <c r="AL127" s="293"/>
      <c r="AM127" s="293"/>
      <c r="AN127" s="293"/>
      <c r="AO127" s="293"/>
      <c r="AP127" s="12"/>
      <c r="AQ127" s="12"/>
      <c r="AR127" s="12"/>
    </row>
    <row r="128" ht="22.5" customHeight="1">
      <c r="A128" s="282"/>
      <c r="B128" s="282"/>
      <c r="C128" s="283"/>
      <c r="D128" s="283"/>
      <c r="E128" s="284"/>
      <c r="F128" t="str" s="285" cm="1">
        <f t="array" ref="F128">IF($AD128="","",$H128-$G128)</f>
      </c>
      <c r="G128" s="286"/>
      <c r="H128" t="str" s="285" cm="1">
        <f t="array" ref="H128">IF($AD128="","",$AA128-$J128-$P128-$O128)</f>
      </c>
      <c r="I128" s="287"/>
      <c r="J128" s="286"/>
      <c r="K128" s="299"/>
      <c r="L128" s="300"/>
      <c r="M128" s="288"/>
      <c r="N128" s="287"/>
      <c r="O128" s="290"/>
      <c r="P128" s="286"/>
      <c r="Q128" s="288"/>
      <c r="R128" s="287"/>
      <c r="S128" s="287"/>
      <c r="T128" s="287"/>
      <c r="U128" s="287"/>
      <c r="V128" s="287"/>
      <c r="W128" s="287"/>
      <c r="X128" s="287"/>
      <c r="Y128" s="287"/>
      <c r="Z128" s="289"/>
      <c r="AA128" t="str" s="285" cm="1">
        <f t="array" ref="AA128">IF(AD128="","",AD128-AC128)</f>
      </c>
      <c r="AB128" s="289"/>
      <c r="AC128" s="270"/>
      <c r="AD128" s="284"/>
      <c r="AE128" s="291"/>
      <c r="AF128" s="292"/>
      <c r="AG128" s="293"/>
      <c r="AH128" s="293"/>
      <c r="AI128" s="293"/>
      <c r="AJ128" s="293"/>
      <c r="AK128" s="293"/>
      <c r="AL128" s="293"/>
      <c r="AM128" s="293"/>
      <c r="AN128" s="293"/>
      <c r="AO128" s="293"/>
      <c r="AP128" s="12"/>
      <c r="AQ128" s="12"/>
      <c r="AR128" s="12"/>
    </row>
    <row r="129" ht="22.5" customHeight="1">
      <c r="A129" s="282"/>
      <c r="B129" s="282"/>
      <c r="C129" s="283"/>
      <c r="D129" s="283"/>
      <c r="E129" s="284"/>
      <c r="F129" t="str" s="285" cm="1">
        <f t="array" ref="F129">IF($AD129="","",$H129-$G129)</f>
      </c>
      <c r="G129" s="286"/>
      <c r="H129" t="str" s="285" cm="1">
        <f t="array" ref="H129">IF($AD129="","",$AA129-$J129-$P129-$O129)</f>
      </c>
      <c r="I129" s="287"/>
      <c r="J129" s="286"/>
      <c r="K129" s="299"/>
      <c r="L129" s="300"/>
      <c r="M129" s="288"/>
      <c r="N129" s="287"/>
      <c r="O129" s="290"/>
      <c r="P129" s="286"/>
      <c r="Q129" s="288"/>
      <c r="R129" s="287"/>
      <c r="S129" s="287"/>
      <c r="T129" s="287"/>
      <c r="U129" s="287"/>
      <c r="V129" s="287"/>
      <c r="W129" s="287"/>
      <c r="X129" s="287"/>
      <c r="Y129" s="287"/>
      <c r="Z129" s="289"/>
      <c r="AA129" t="str" s="285" cm="1">
        <f t="array" ref="AA129">IF(AD129="","",AD129-AC129)</f>
      </c>
      <c r="AB129" s="289"/>
      <c r="AC129" s="270"/>
      <c r="AD129" s="284"/>
      <c r="AE129" s="291"/>
      <c r="AF129" s="292"/>
      <c r="AG129" s="293"/>
      <c r="AH129" s="293"/>
      <c r="AI129" s="293"/>
      <c r="AJ129" s="293"/>
      <c r="AK129" s="293"/>
      <c r="AL129" s="293"/>
      <c r="AM129" s="293"/>
      <c r="AN129" s="293"/>
      <c r="AO129" s="293"/>
      <c r="AP129" s="12"/>
      <c r="AQ129" s="12"/>
      <c r="AR129" s="12"/>
    </row>
    <row r="130" ht="22.5" customHeight="1">
      <c r="A130" s="282"/>
      <c r="B130" s="282"/>
      <c r="C130" s="283"/>
      <c r="D130" s="283"/>
      <c r="E130" s="284"/>
      <c r="F130" t="str" s="285" cm="1">
        <f t="array" ref="F130">IF($AD130="","",$H130-$G130)</f>
      </c>
      <c r="G130" s="286"/>
      <c r="H130" t="str" s="285" cm="1">
        <f t="array" ref="H130">IF($AD130="","",$AA130-$J130-$P130-$O130)</f>
      </c>
      <c r="I130" s="287"/>
      <c r="J130" s="286"/>
      <c r="K130" s="299"/>
      <c r="L130" s="300"/>
      <c r="M130" s="288"/>
      <c r="N130" s="287"/>
      <c r="O130" s="290"/>
      <c r="P130" s="286"/>
      <c r="Q130" s="288"/>
      <c r="R130" s="287"/>
      <c r="S130" s="287"/>
      <c r="T130" s="287"/>
      <c r="U130" s="287"/>
      <c r="V130" s="287"/>
      <c r="W130" s="287"/>
      <c r="X130" s="287"/>
      <c r="Y130" s="287"/>
      <c r="Z130" s="289"/>
      <c r="AA130" t="str" s="285" cm="1">
        <f t="array" ref="AA130">IF(AD130="","",AD130-AC130)</f>
      </c>
      <c r="AB130" s="289"/>
      <c r="AC130" s="270"/>
      <c r="AD130" s="284"/>
      <c r="AE130" s="291"/>
      <c r="AF130" s="292"/>
      <c r="AG130" s="293"/>
      <c r="AH130" s="293"/>
      <c r="AI130" s="293"/>
      <c r="AJ130" s="293"/>
      <c r="AK130" s="293"/>
      <c r="AL130" s="293"/>
      <c r="AM130" s="293"/>
      <c r="AN130" s="293"/>
      <c r="AO130" s="293"/>
      <c r="AP130" s="12"/>
      <c r="AQ130" s="12"/>
      <c r="AR130" s="12"/>
    </row>
    <row r="131" ht="22.5" customHeight="1">
      <c r="A131" s="282"/>
      <c r="B131" s="282"/>
      <c r="C131" s="283"/>
      <c r="D131" s="283"/>
      <c r="E131" s="284"/>
      <c r="F131" t="str" s="285" cm="1">
        <f t="array" ref="F131">IF($AD131="","",$H131-$G131)</f>
      </c>
      <c r="G131" s="286"/>
      <c r="H131" t="str" s="285" cm="1">
        <f t="array" ref="H131">IF($AD131="","",$AA131-$J131-$P131-$O131)</f>
      </c>
      <c r="I131" s="287"/>
      <c r="J131" s="286"/>
      <c r="K131" s="299"/>
      <c r="L131" s="300"/>
      <c r="M131" s="288"/>
      <c r="N131" s="287"/>
      <c r="O131" s="290"/>
      <c r="P131" s="286"/>
      <c r="Q131" s="288"/>
      <c r="R131" s="287"/>
      <c r="S131" s="287"/>
      <c r="T131" s="287"/>
      <c r="U131" s="287"/>
      <c r="V131" s="287"/>
      <c r="W131" s="287"/>
      <c r="X131" s="287"/>
      <c r="Y131" s="287"/>
      <c r="Z131" s="289"/>
      <c r="AA131" t="str" s="285" cm="1">
        <f t="array" ref="AA131">IF(AD131="","",AD131-AC131)</f>
      </c>
      <c r="AB131" s="289"/>
      <c r="AC131" s="270"/>
      <c r="AD131" s="284"/>
      <c r="AE131" s="291"/>
      <c r="AF131" s="292"/>
      <c r="AG131" s="293"/>
      <c r="AH131" s="293"/>
      <c r="AI131" s="293"/>
      <c r="AJ131" s="293"/>
      <c r="AK131" s="293"/>
      <c r="AL131" s="293"/>
      <c r="AM131" s="293"/>
      <c r="AN131" s="293"/>
      <c r="AO131" s="293"/>
      <c r="AP131" s="12"/>
      <c r="AQ131" s="12"/>
      <c r="AR131" s="12"/>
    </row>
    <row r="132" ht="22.5" customHeight="1">
      <c r="A132" s="282"/>
      <c r="B132" s="282"/>
      <c r="C132" s="283"/>
      <c r="D132" s="283"/>
      <c r="E132" s="284"/>
      <c r="F132" t="str" s="285" cm="1">
        <f t="array" ref="F132">IF($AD132="","",$H132-$G132)</f>
      </c>
      <c r="G132" s="286"/>
      <c r="H132" t="str" s="285" cm="1">
        <f t="array" ref="H132">IF($AD132="","",$AA132-$J132-$P132-$O132)</f>
      </c>
      <c r="I132" s="287"/>
      <c r="J132" s="286"/>
      <c r="K132" s="299"/>
      <c r="L132" s="300"/>
      <c r="M132" s="288"/>
      <c r="N132" s="287"/>
      <c r="O132" s="290"/>
      <c r="P132" s="286"/>
      <c r="Q132" s="288"/>
      <c r="R132" s="287"/>
      <c r="S132" s="287"/>
      <c r="T132" s="287"/>
      <c r="U132" s="287"/>
      <c r="V132" s="287"/>
      <c r="W132" s="287"/>
      <c r="X132" s="287"/>
      <c r="Y132" s="287"/>
      <c r="Z132" s="289"/>
      <c r="AA132" t="str" s="285" cm="1">
        <f t="array" ref="AA132">IF(AD132="","",AD132-AC132)</f>
      </c>
      <c r="AB132" s="289"/>
      <c r="AC132" s="270"/>
      <c r="AD132" s="284"/>
      <c r="AE132" s="291"/>
      <c r="AF132" s="292"/>
      <c r="AG132" s="293"/>
      <c r="AH132" s="293"/>
      <c r="AI132" s="293"/>
      <c r="AJ132" s="293"/>
      <c r="AK132" s="293"/>
      <c r="AL132" s="293"/>
      <c r="AM132" s="293"/>
      <c r="AN132" s="293"/>
      <c r="AO132" s="293"/>
      <c r="AP132" s="12"/>
      <c r="AQ132" s="12"/>
      <c r="AR132" s="12"/>
    </row>
    <row r="133" ht="22.5" customHeight="1">
      <c r="A133" s="282"/>
      <c r="B133" s="282"/>
      <c r="C133" s="283"/>
      <c r="D133" s="283"/>
      <c r="E133" s="284"/>
      <c r="F133" t="str" s="285" cm="1">
        <f t="array" ref="F133">IF($AD133="","",$H133-$G133)</f>
      </c>
      <c r="G133" s="286"/>
      <c r="H133" t="str" s="285" cm="1">
        <f t="array" ref="H133">IF($AD133="","",$AA133-$J133-$P133-$O133)</f>
      </c>
      <c r="I133" s="287"/>
      <c r="J133" s="286"/>
      <c r="K133" s="299"/>
      <c r="L133" s="300"/>
      <c r="M133" s="288"/>
      <c r="N133" s="287"/>
      <c r="O133" s="290"/>
      <c r="P133" s="286"/>
      <c r="Q133" s="288"/>
      <c r="R133" s="287"/>
      <c r="S133" s="287"/>
      <c r="T133" s="287"/>
      <c r="U133" s="287"/>
      <c r="V133" s="287"/>
      <c r="W133" s="287"/>
      <c r="X133" s="287"/>
      <c r="Y133" s="287"/>
      <c r="Z133" s="289"/>
      <c r="AA133" t="str" s="285" cm="1">
        <f t="array" ref="AA133">IF(AD133="","",AD133-AC133)</f>
      </c>
      <c r="AB133" s="289"/>
      <c r="AC133" s="270"/>
      <c r="AD133" s="284"/>
      <c r="AE133" s="291"/>
      <c r="AF133" s="292"/>
      <c r="AG133" s="293"/>
      <c r="AH133" s="293"/>
      <c r="AI133" s="293"/>
      <c r="AJ133" s="293"/>
      <c r="AK133" s="293"/>
      <c r="AL133" s="293"/>
      <c r="AM133" s="293"/>
      <c r="AN133" s="293"/>
      <c r="AO133" s="293"/>
      <c r="AP133" s="12"/>
      <c r="AQ133" s="12"/>
      <c r="AR133" s="12"/>
    </row>
    <row r="134" ht="22.5" customHeight="1">
      <c r="A134" s="282"/>
      <c r="B134" s="282"/>
      <c r="C134" s="283"/>
      <c r="D134" s="283"/>
      <c r="E134" s="284"/>
      <c r="F134" t="str" s="285" cm="1">
        <f t="array" ref="F134">IF($AD134="","",$H134-$G134)</f>
      </c>
      <c r="G134" s="286"/>
      <c r="H134" t="str" s="285" cm="1">
        <f t="array" ref="H134">IF($AD134="","",$AA134-$J134-$P134-$O134)</f>
      </c>
      <c r="I134" s="287"/>
      <c r="J134" s="286"/>
      <c r="K134" s="299"/>
      <c r="L134" s="300"/>
      <c r="M134" s="288"/>
      <c r="N134" s="287"/>
      <c r="O134" s="290"/>
      <c r="P134" s="286"/>
      <c r="Q134" s="288"/>
      <c r="R134" s="287"/>
      <c r="S134" s="287"/>
      <c r="T134" s="287"/>
      <c r="U134" s="287"/>
      <c r="V134" s="287"/>
      <c r="W134" s="287"/>
      <c r="X134" s="287"/>
      <c r="Y134" s="287"/>
      <c r="Z134" s="289"/>
      <c r="AA134" t="str" s="285" cm="1">
        <f t="array" ref="AA134">IF(AD134="","",AD134-AC134)</f>
      </c>
      <c r="AB134" s="289"/>
      <c r="AC134" s="270"/>
      <c r="AD134" s="284"/>
      <c r="AE134" s="291"/>
      <c r="AF134" s="292"/>
      <c r="AG134" s="293"/>
      <c r="AH134" s="293"/>
      <c r="AI134" s="293"/>
      <c r="AJ134" s="293"/>
      <c r="AK134" s="293"/>
      <c r="AL134" s="293"/>
      <c r="AM134" s="293"/>
      <c r="AN134" s="293"/>
      <c r="AO134" s="293"/>
      <c r="AP134" s="12"/>
      <c r="AQ134" s="12"/>
      <c r="AR134" s="12"/>
    </row>
    <row r="135" ht="22.5" customHeight="1">
      <c r="A135" s="282"/>
      <c r="B135" s="282"/>
      <c r="C135" s="283"/>
      <c r="D135" s="283"/>
      <c r="E135" s="284"/>
      <c r="F135" t="str" s="285" cm="1">
        <f t="array" ref="F135">IF($AD135="","",$H135-$G135)</f>
      </c>
      <c r="G135" s="286"/>
      <c r="H135" t="str" s="285" cm="1">
        <f t="array" ref="H135">IF($AD135="","",$AA135-$J135-$P135-$O135)</f>
      </c>
      <c r="I135" s="287"/>
      <c r="J135" s="286"/>
      <c r="K135" s="299"/>
      <c r="L135" s="300"/>
      <c r="M135" s="288"/>
      <c r="N135" s="287"/>
      <c r="O135" s="290"/>
      <c r="P135" s="286"/>
      <c r="Q135" s="288"/>
      <c r="R135" s="287"/>
      <c r="S135" s="287"/>
      <c r="T135" s="287"/>
      <c r="U135" s="287"/>
      <c r="V135" s="287"/>
      <c r="W135" s="287"/>
      <c r="X135" s="287"/>
      <c r="Y135" s="287"/>
      <c r="Z135" s="289"/>
      <c r="AA135" t="str" s="285" cm="1">
        <f t="array" ref="AA135">IF(AD135="","",AD135-AC135)</f>
      </c>
      <c r="AB135" s="289"/>
      <c r="AC135" s="270"/>
      <c r="AD135" s="284"/>
      <c r="AE135" s="291"/>
      <c r="AF135" s="292"/>
      <c r="AG135" s="293"/>
      <c r="AH135" s="293"/>
      <c r="AI135" s="293"/>
      <c r="AJ135" s="293"/>
      <c r="AK135" s="293"/>
      <c r="AL135" s="293"/>
      <c r="AM135" s="293"/>
      <c r="AN135" s="293"/>
      <c r="AO135" s="293"/>
      <c r="AP135" s="12"/>
      <c r="AQ135" s="12"/>
      <c r="AR135" s="12"/>
    </row>
    <row r="136" ht="22.5" customHeight="1">
      <c r="A136" s="282"/>
      <c r="B136" s="282"/>
      <c r="C136" s="283"/>
      <c r="D136" s="283"/>
      <c r="E136" s="284"/>
      <c r="F136" t="str" s="285" cm="1">
        <f t="array" ref="F136">IF($AD136="","",$H136-$G136)</f>
      </c>
      <c r="G136" s="286"/>
      <c r="H136" t="str" s="285" cm="1">
        <f t="array" ref="H136">IF($AD136="","",$AA136-$J136-$P136-$O136)</f>
      </c>
      <c r="I136" s="287"/>
      <c r="J136" s="286"/>
      <c r="K136" s="299"/>
      <c r="L136" s="300"/>
      <c r="M136" s="288"/>
      <c r="N136" s="287"/>
      <c r="O136" s="290"/>
      <c r="P136" s="286"/>
      <c r="Q136" s="288"/>
      <c r="R136" s="287"/>
      <c r="S136" s="287"/>
      <c r="T136" s="287"/>
      <c r="U136" s="287"/>
      <c r="V136" s="287"/>
      <c r="W136" s="287"/>
      <c r="X136" s="287"/>
      <c r="Y136" s="287"/>
      <c r="Z136" s="289"/>
      <c r="AA136" t="str" s="285" cm="1">
        <f t="array" ref="AA136">IF(AD136="","",AD136-AC136)</f>
      </c>
      <c r="AB136" s="289"/>
      <c r="AC136" s="270"/>
      <c r="AD136" s="284"/>
      <c r="AE136" s="291"/>
      <c r="AF136" s="292"/>
      <c r="AG136" s="293"/>
      <c r="AH136" s="293"/>
      <c r="AI136" s="293"/>
      <c r="AJ136" s="293"/>
      <c r="AK136" s="293"/>
      <c r="AL136" s="293"/>
      <c r="AM136" s="293"/>
      <c r="AN136" s="293"/>
      <c r="AO136" s="293"/>
      <c r="AP136" s="12"/>
      <c r="AQ136" s="12"/>
      <c r="AR136" s="12"/>
    </row>
    <row r="137" ht="22.5" customHeight="1">
      <c r="A137" s="282"/>
      <c r="B137" s="282"/>
      <c r="C137" s="283"/>
      <c r="D137" s="283"/>
      <c r="E137" s="284"/>
      <c r="F137" t="str" s="285" cm="1">
        <f t="array" ref="F137">IF($AD137="","",$H137-$G137)</f>
      </c>
      <c r="G137" s="286"/>
      <c r="H137" t="str" s="285" cm="1">
        <f t="array" ref="H137">IF($AD137="","",$AA137-$J137-$P137-$O137)</f>
      </c>
      <c r="I137" s="287"/>
      <c r="J137" s="286"/>
      <c r="K137" s="299"/>
      <c r="L137" s="300"/>
      <c r="M137" s="288"/>
      <c r="N137" s="287"/>
      <c r="O137" s="290"/>
      <c r="P137" s="286"/>
      <c r="Q137" s="288"/>
      <c r="R137" s="287"/>
      <c r="S137" s="287"/>
      <c r="T137" s="287"/>
      <c r="U137" s="287"/>
      <c r="V137" s="287"/>
      <c r="W137" s="287"/>
      <c r="X137" s="287"/>
      <c r="Y137" s="287"/>
      <c r="Z137" s="289"/>
      <c r="AA137" t="str" s="285" cm="1">
        <f t="array" ref="AA137">IF(AD137="","",AD137-AC137)</f>
      </c>
      <c r="AB137" s="289"/>
      <c r="AC137" s="270"/>
      <c r="AD137" s="284"/>
      <c r="AE137" s="291"/>
      <c r="AF137" s="292"/>
      <c r="AG137" s="293"/>
      <c r="AH137" s="293"/>
      <c r="AI137" s="293"/>
      <c r="AJ137" s="293"/>
      <c r="AK137" s="293"/>
      <c r="AL137" s="293"/>
      <c r="AM137" s="293"/>
      <c r="AN137" s="293"/>
      <c r="AO137" s="293"/>
      <c r="AP137" s="12"/>
      <c r="AQ137" s="12"/>
      <c r="AR137" s="12"/>
    </row>
    <row r="138" ht="22.5" customHeight="1">
      <c r="A138" s="282"/>
      <c r="B138" s="282"/>
      <c r="C138" s="283"/>
      <c r="D138" s="283"/>
      <c r="E138" s="284"/>
      <c r="F138" t="str" s="285" cm="1">
        <f t="array" ref="F138">IF($AD138="","",$H138-$G138)</f>
      </c>
      <c r="G138" s="286"/>
      <c r="H138" t="str" s="285" cm="1">
        <f t="array" ref="H138">IF($AD138="","",$AA138-$J138-$P138-$O138)</f>
      </c>
      <c r="I138" s="287"/>
      <c r="J138" s="286"/>
      <c r="K138" s="299"/>
      <c r="L138" s="300"/>
      <c r="M138" s="288"/>
      <c r="N138" s="287"/>
      <c r="O138" s="290"/>
      <c r="P138" s="286"/>
      <c r="Q138" s="288"/>
      <c r="R138" s="287"/>
      <c r="S138" s="287"/>
      <c r="T138" s="287"/>
      <c r="U138" s="287"/>
      <c r="V138" s="287"/>
      <c r="W138" s="287"/>
      <c r="X138" s="287"/>
      <c r="Y138" s="287"/>
      <c r="Z138" s="289"/>
      <c r="AA138" t="str" s="285" cm="1">
        <f t="array" ref="AA138">IF(AD138="","",AD138-AC138)</f>
      </c>
      <c r="AB138" s="289"/>
      <c r="AC138" s="270"/>
      <c r="AD138" s="284"/>
      <c r="AE138" s="291"/>
      <c r="AF138" s="292"/>
      <c r="AG138" s="293"/>
      <c r="AH138" s="293"/>
      <c r="AI138" s="293"/>
      <c r="AJ138" s="293"/>
      <c r="AK138" s="293"/>
      <c r="AL138" s="293"/>
      <c r="AM138" s="293"/>
      <c r="AN138" s="293"/>
      <c r="AO138" s="293"/>
      <c r="AP138" s="12"/>
      <c r="AQ138" s="12"/>
      <c r="AR138" s="12"/>
    </row>
    <row r="139" ht="22.5" customHeight="1">
      <c r="A139" s="282"/>
      <c r="B139" s="282"/>
      <c r="C139" s="283"/>
      <c r="D139" s="283"/>
      <c r="E139" s="284"/>
      <c r="F139" t="str" s="285" cm="1">
        <f t="array" ref="F139">IF($AD139="","",$H139-$G139)</f>
      </c>
      <c r="G139" s="286"/>
      <c r="H139" t="str" s="285" cm="1">
        <f t="array" ref="H139">IF($AD139="","",$AA139-$J139-$P139-$O139)</f>
      </c>
      <c r="I139" s="287"/>
      <c r="J139" s="286"/>
      <c r="K139" s="299"/>
      <c r="L139" s="300"/>
      <c r="M139" s="288"/>
      <c r="N139" s="287"/>
      <c r="O139" s="290"/>
      <c r="P139" s="286"/>
      <c r="Q139" s="288"/>
      <c r="R139" s="287"/>
      <c r="S139" s="287"/>
      <c r="T139" s="287"/>
      <c r="U139" s="287"/>
      <c r="V139" s="287"/>
      <c r="W139" s="287"/>
      <c r="X139" s="287"/>
      <c r="Y139" s="287"/>
      <c r="Z139" s="289"/>
      <c r="AA139" t="str" s="285" cm="1">
        <f t="array" ref="AA139">IF(AD139="","",AD139-AC139)</f>
      </c>
      <c r="AB139" s="289"/>
      <c r="AC139" s="270"/>
      <c r="AD139" s="284"/>
      <c r="AE139" s="291"/>
      <c r="AF139" s="292"/>
      <c r="AG139" s="293"/>
      <c r="AH139" s="293"/>
      <c r="AI139" s="293"/>
      <c r="AJ139" s="293"/>
      <c r="AK139" s="293"/>
      <c r="AL139" s="293"/>
      <c r="AM139" s="293"/>
      <c r="AN139" s="293"/>
      <c r="AO139" s="293"/>
      <c r="AP139" s="12"/>
      <c r="AQ139" s="12"/>
      <c r="AR139" s="12"/>
    </row>
    <row r="140" ht="22.5" customHeight="1">
      <c r="A140" s="282"/>
      <c r="B140" s="282"/>
      <c r="C140" s="283"/>
      <c r="D140" s="283"/>
      <c r="E140" s="284"/>
      <c r="F140" t="str" s="285" cm="1">
        <f t="array" ref="F140">IF($AD140="","",$H140-$G140)</f>
      </c>
      <c r="G140" s="286"/>
      <c r="H140" t="str" s="285" cm="1">
        <f t="array" ref="H140">IF($AD140="","",$AA140-$J140-$P140-$O140)</f>
      </c>
      <c r="I140" s="287"/>
      <c r="J140" s="286"/>
      <c r="K140" s="299"/>
      <c r="L140" s="300"/>
      <c r="M140" s="288"/>
      <c r="N140" s="287"/>
      <c r="O140" s="290"/>
      <c r="P140" s="286"/>
      <c r="Q140" s="288"/>
      <c r="R140" s="287"/>
      <c r="S140" s="287"/>
      <c r="T140" s="287"/>
      <c r="U140" s="287"/>
      <c r="V140" s="287"/>
      <c r="W140" s="287"/>
      <c r="X140" s="287"/>
      <c r="Y140" s="287"/>
      <c r="Z140" s="289"/>
      <c r="AA140" t="str" s="285" cm="1">
        <f t="array" ref="AA140">IF(AD140="","",AD140-AC140)</f>
      </c>
      <c r="AB140" s="289"/>
      <c r="AC140" s="270"/>
      <c r="AD140" s="284"/>
      <c r="AE140" s="291"/>
      <c r="AF140" s="292"/>
      <c r="AG140" s="293"/>
      <c r="AH140" s="293"/>
      <c r="AI140" s="293"/>
      <c r="AJ140" s="293"/>
      <c r="AK140" s="293"/>
      <c r="AL140" s="293"/>
      <c r="AM140" s="293"/>
      <c r="AN140" s="293"/>
      <c r="AO140" s="293"/>
      <c r="AP140" s="12"/>
      <c r="AQ140" s="12"/>
      <c r="AR140" s="12"/>
    </row>
    <row r="141" ht="13.5" customHeight="1">
      <c r="A141" s="309"/>
      <c r="B141" s="309"/>
      <c r="C141" s="309"/>
      <c r="D141" s="309"/>
      <c r="E141" s="309"/>
      <c r="F141" s="309"/>
      <c r="G141" s="309"/>
      <c r="H141" s="309"/>
      <c r="I141" s="309"/>
      <c r="J141" s="309"/>
      <c r="K141" s="309"/>
      <c r="L141" s="309"/>
      <c r="M141" s="309"/>
      <c r="N141" s="309"/>
      <c r="O141" s="309"/>
      <c r="P141" s="309"/>
      <c r="Q141" s="309"/>
      <c r="R141" s="309"/>
      <c r="S141" s="309"/>
      <c r="T141" s="309"/>
      <c r="U141" s="309"/>
      <c r="V141" s="309"/>
      <c r="W141" s="309"/>
      <c r="X141" s="309"/>
      <c r="Y141" s="309"/>
      <c r="Z141" s="309"/>
      <c r="AA141" s="309"/>
      <c r="AB141" s="309"/>
      <c r="AC141" s="309"/>
      <c r="AD141" s="309"/>
      <c r="AE141" s="309"/>
      <c r="AF141" s="12"/>
      <c r="AG141" s="12"/>
      <c r="AH141" s="12"/>
      <c r="AI141" s="12"/>
      <c r="AJ141" s="12"/>
      <c r="AK141" s="12"/>
      <c r="AL141" s="12"/>
      <c r="AM141" s="12"/>
      <c r="AN141" s="12"/>
      <c r="AO141" s="12"/>
      <c r="AP141" s="12"/>
      <c r="AQ141" s="12"/>
      <c r="AR141" s="12"/>
    </row>
    <row r="142" ht="13.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row>
    <row r="143" ht="13.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row>
    <row r="144" ht="13.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row>
    <row r="145" ht="13.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row>
    <row r="146" ht="13.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row>
  </sheetData>
  <mergeCells count="53">
    <mergeCell ref="J1:N1"/>
    <mergeCell ref="J2:N3"/>
    <mergeCell ref="O1:AE1"/>
    <mergeCell ref="O2:AE3"/>
    <mergeCell ref="Q4:R4"/>
    <mergeCell ref="AE4:AE6"/>
    <mergeCell ref="K4:N4"/>
    <mergeCell ref="AA4:AA6"/>
    <mergeCell ref="AB4:AB6"/>
    <mergeCell ref="AD4:AD6"/>
    <mergeCell ref="AC4:AC6"/>
    <mergeCell ref="J4:J6"/>
    <mergeCell ref="O4:O6"/>
    <mergeCell ref="P4:P6"/>
    <mergeCell ref="W4:X4"/>
    <mergeCell ref="Y4:Z4"/>
    <mergeCell ref="A1:A3"/>
    <mergeCell ref="G1:I1"/>
    <mergeCell ref="A4:A6"/>
    <mergeCell ref="G2:I2"/>
    <mergeCell ref="G3:I3"/>
    <mergeCell ref="F4:F6"/>
    <mergeCell ref="C4:C6"/>
    <mergeCell ref="D4:D6"/>
    <mergeCell ref="I4:I6"/>
    <mergeCell ref="H4:H6"/>
    <mergeCell ref="C1:E3"/>
    <mergeCell ref="E4:E6"/>
    <mergeCell ref="G4:G6"/>
    <mergeCell ref="B4:B6"/>
    <mergeCell ref="AH4:AH6"/>
    <mergeCell ref="AM4:AN4"/>
    <mergeCell ref="AK5:AK6"/>
    <mergeCell ref="AK4:AL4"/>
    <mergeCell ref="K5:L5"/>
    <mergeCell ref="M5:N5"/>
    <mergeCell ref="Q5:Q6"/>
    <mergeCell ref="R5:R6"/>
    <mergeCell ref="AI4:AI6"/>
    <mergeCell ref="AJ4:AJ6"/>
    <mergeCell ref="AL5:AL6"/>
    <mergeCell ref="AM5:AM6"/>
    <mergeCell ref="AN5:AN6"/>
    <mergeCell ref="S4:T4"/>
    <mergeCell ref="S5:S6"/>
    <mergeCell ref="T5:T6"/>
    <mergeCell ref="W5:W6"/>
    <mergeCell ref="X5:X6"/>
    <mergeCell ref="Y5:Y6"/>
    <mergeCell ref="Z5:Z6"/>
    <mergeCell ref="U4:V4"/>
    <mergeCell ref="U5:U6"/>
    <mergeCell ref="V5:V6"/>
  </mergeCells>
  <conditionalFormatting sqref="E7 I7 K7:N7 AB7 E8 I8 K8:N8 AB8 E9 I9 K9:N9 AB9 E10 I10 K10:N10 AB10 E11 I11 K11:N11 AB11 E12 I12 K12:N12 AB12 E13 I13 K13:N13 AB13 E14 I14 K14:N14 AB14 E15 I15 K15:N15 AB15 E16 I16 K16:N16 AB16 E17 I17 K17:N17 AB17 E18 I18 K18:N18 AB18 E19 I19 K19:N19 AB19 E20 I20 K20:N20 AB20 E21 I21 K21:N21 AB21 E22 I22 K22:N22 AB22 E23 I23 K23:N23 AB23 E24 I24 K24:N24 AB24 E25 I25 K25:N25 AB25 E26 I26 K26:N26 AB26 E27 I27 K27:N27 AB27 E28 I28 K28:N28 AB28 E29 I29 K29:N29 AB29 E30 I30 K30:N30 AB30 E31 I31 K31:N31 AB31 E32 I32 K32:N32 AB32 E33 I33 K33:N33 AB33 E34 I34 K34:N34 AB34 E35 I35 K35:N35 AB35 E36 I36 K36:N36 AB36 E37 I37 K37:N37 AB37 E38 I38 K38:N38 AB38 E39 I39 K39:N39 AB39 E40 I40 K40:N40 AB40 E41 I41 K41:N41 AB41 E42 I42 K42:N42 AB42 E43 I43 K43:N43 AB43 E44 I44 K44:N44 AB44 E45 I45 K45:N45 AB45 E46 I46 K46:N46 AB46 E47 I47 K47:N47 AB47 E48 I48 K48:N48 AB48 E49 I49 K49:N49 AB49 E50 I50 K50:N50 AB50 E51 I51 K51:N51 AB51 E52 I52 K52:N52 AB52 E53 I53 K53:N53 AB53 E54 I54 K54:N54 AB54 E55 I55 K55:N55 AB55 E56 I56 K56:N56 AB56 E57 I57 K57:N57 AB57 E58 I58 K58:N58 AB58 E59 I59 K59:N59 AB59 E60 I60 K60:N60 AB60 E61 I61 K61:N61 AB61 E62 I62 K62:N62 AB62 E63 I63 K63:N63 AB63 E64 I64 K64:N64 AB64 E65 I65 K65:N65 AB65 E66 I66 K66:N66 AB66 E67 I67 K67:N67 AB67 E68 I68 K68:N68 AB68 E69 I69 K69:N69 AB69 E70 I70 K70:N70 AB70 E71 I71 K71:N71 AB71 E72 I72 K72:N72 AB72 E73 I73 K73:N73 AB73 E74 I74 K74:N74 AB74 E75 I75 K75:N75 AB75 E76 I76 K76:N76 AB76 E77 I77 K77:N77 AB77 E78 I78 K78:N78 AB78 E79 I79 K79:N79 AB79 E80 I80 K80:N80 AB80 E81 I81 K81:N81 AB81 E82 I82 K82:N82 AB82 E83 I83 K83:N83 AB83 E84 I84 K84:N84 AB84 E85 I85 K85:N85 AB85 E86 I86 K86:N86 AB86 E87 I87 K87:N87 AB87 E88 I88 K88:N88 AB88 E89 I89 K89:N89 AB89 E90 I90 K90:N90 AB90 E91 I91 K91:N91 AB91 E92 I92 K92:N92 AB92 E93 I93 K93:N93 AB93 E94 I94 K94:N94 AB94 E95 I95 K95:N95 AB95 E96 I96 K96:N96 AB96 E97 I97 K97:N97 AB97 E98 I98 K98:N98 AB98 E99 I99 K99:N99 AB99 E100 I100 K100:N100 AB100 E101 I101 K101:N101 AB101 E102 I102 K102:N102 AB102 E103 I103 K103:N103 AB103 E104 I104 K104:N104 AB104 E105 I105 K105:N105 AB105 E106 I106 K106:N106 AB106 E107 I107 K107:N107 AB107 E108 I108 K108:N108 AB108 E109 I109 K109:N109 AB109 E110 I110 K110:N110 AB110 E111 I111 K111:N111 AB111 E112 I112 K112:N112 AB112 E113 I113 K113:N113 AB113 E114 I114 K114:N114 AB114 E115 I115 K115:N115 AB115 E116 I116 K116:N116 AB116 E117 I117 K117:N117 AB117 E118 I118 K118:N118 AB118 E119 I119 K119:N119 AB119 E120 I120 K120:N120 AB120 E121 I121 K121:N121 AB121 E122 I122 K122:N122 AB122 E123 I123 K123:N123 AB123 E124 I124 K124:N124 AB124 E125 I125 K125:N125 AB125 E126 I126 K126:N126 AB126 E127 I127 K127:N127 AB127 E128 I128 K128:N128 AB128 E129 I129 K129:N129 AB129 E130 I130 K130:N130 AB130 E131 I131 K131:N131 AB131 E132 I132 K132:N132 AB132 E133 I133 K133:N133 AB133 E134 I134 K134:N134 AB134 E135 I135 K135:N135 AB135 E136 I136 K136:N136 AB136 E137 I137 K137:N137 AB137 E138 I138 K138:N138 AB138 E139 I139 K139:N139 AB139 E140 I140 K140:N140 AB140">
    <cfRule type="notContainsBlanks" dxfId="15" priority="1" stopIfTrue="1">
      <formula>NOT(ISBLANK(E7))</formula>
    </cfRule>
  </conditionalFormatting>
  <conditionalFormatting sqref="G7 J7 O7:P7 AC7 G8 J8 O8:P8 AC8 G9 J9 O9:P9 AC9 G10 J10 O10:P10 AC10 G11 J11 O11:P11 AC11 G12 J12 O12:P12 AC12 G13 J13 O13:P13 AC13 G14 J14 O14:P14 AC14 G15 J15 O15:P15 AC15 G16 J16 O16:P16 AC16 G17 J17 O17:P17 AC17 G18 J18 O18:P18 AC18 G19 J19 O19:P19 AC19 G20 J20 O20:P20 AC20 G21 J21 O21:P21 AC21 G22 J22 O22:P22 AC22 G23 J23 O23:P23 AC23 G24 J24 O24:P24 AC24 G25 J25 O25:P25 AC25 G26 J26 O26:P26 AC26 G27 J27 O27:P27 AC27 G28 J28 O28:P28 AC28 G29 J29 O29:P29 AC29 G30 J30 O30:P30 AC30 G31 J31 O31:P31 AC31 G32 J32 O32:P32 AC32 G33 J33 O33:P33 AC33 G34 J34 O34:P34 AC34 G35 J35 O35:P35 AC35 G36 J36 O36:P36 AC36 G37 J37 O37:P37 AC37 G38 J38 O38:P38 AC38 G39 J39 O39:P39 AC39 G40 J40 O40:P40 AC40 G41 J41 O41:P41 AC41 G42 J42 O42:P42 AC42 G43 J43 O43:P43 AC43 G44 J44 O44:P44 AC44 G45 J45 O45:P45 AC45 G46 J46 O46:P46 AC46 G47 J47 O47:P47 AC47 G48 J48 O48:P48 AC48 G49 J49 O49:P49 AC49 G50 J50 O50:P50 AC50 G51 J51 O51:P51 AC51 G52 J52 O52:P52 AC52 G53 J53 O53:P53 AC53 G54 J54 O54:P54 AC54 G55 J55 O55:P55 AC55 G56 J56 O56:P56 AC56 G57 J57 O57:P57 AC57 G58 J58 O58:P58 AC58 G59 J59 O59:P59 AC59 G60 J60 O60:P60 AC60 G61 J61 O61:P61 AC61 G62 J62 O62:P62 AC62 G63 J63 O63:P63 AC63 G64 J64 O64:P64 AC64 G65 J65 O65:P65 AC65 G66 J66 O66:P66 AC66 G67 J67 O67:P67 AC67 G68 J68 O68:P68 AC68 G69 J69 O69:P69 AC69 G70 J70 O70:P70 AC70 G71 J71 O71:P71 AC71 G72 J72 O72:P72 AC72 G73 J73 O73:P73 AC73 G74 J74 O74:P74 AC74 G75 J75 O75:P75 AC75 G76 J76 O76:P76 AC76 G77 J77 O77:P77 AC77 G78 J78 O78:P78 AC78 G79 J79 O79:P79 AC79 G80 J80 O80:P80 AC80 G81 J81 O81:P81 AC81 G82 J82 O82:P82 AC82 G83 J83 O83:P83 AC83 G84 J84 O84:P84 AC84 G85 J85 O85:P85 AC85 G86 J86 O86:P86 AC86 G87 J87 O87:P87 AC87 G88 J88 O88:P88 AC88 G89 J89 O89:P89 AC89 G90 J90 O90:P90 AC90 G91 J91 O91:P91 AC91 G92 J92 O92:P92 AC92 G93 J93 O93:P93 AC93 G94 J94 O94:P94 AC94 G95 J95 O95:P95 AC95 G96 J96 O96:P96 AC96 G97 J97 O97:P97 AC97 G98 J98 O98:P98 AC98 G99 J99 O99:P99 AC99 G100 J100 O100:P100 AC100 G101 J101 O101:P101 AC101 G102 J102 O102:P102 AC102 G103 J103 O103:P103 AC103 G104 J104 O104:P104 AC104 G105 J105 O105:P105 AC105 G106 J106 O106:P106 AC106 G107 J107 O107:P107 AC107 G108 J108 O108:P108 AC108 G109 J109 O109:P109 AC109 G110 J110 O110:P110 AC110 G111 J111 O111:P111 AC111 G112 J112 O112:P112 AC112 G113 J113 O113:P113 AC113 G114 J114 O114:P114 AC114 G115 J115 O115:P115 AC115 G116 J116 O116:P116 AC116 G117 J117 O117:P117 AC117 G118 J118 O118:P118 AC118 G119 J119 O119:P119 AC119 G120 J120 O120:P120 AC120 G121 J121 O121:P121 AC121 G122 J122 O122:P122 AC122 G123 J123 O123:P123 AC123 G124 J124 O124:P124 AC124 G125 J125 O125:P125 AC125 G126 J126 O126:P126 AC126 G127 J127 O127:P127 AC127 G128 J128 O128:P128 AC128 G129 J129 O129:P129 AC129 G130 J130 O130:P130 AC130 G131 J131 O131:P131 AC131 G132 J132 O132:P132 AC132 G133 J133 O133:P133 AC133 G134 J134 O134:P134 AC134 G135 J135 O135:P135 AC135 G136 J136 O136:P136 AC136 G137 J137 O137:P137 AC137 G138 J138 O138:P138 AC138 G139 J139 O139:P139 AC139 G140 J140 O140:P140 AC140">
    <cfRule type="notContainsBlanks" dxfId="16" priority="1" stopIfTrue="1">
      <formula>NOT(ISBLANK(G7))</formula>
    </cfRule>
  </conditionalFormatting>
  <conditionalFormatting sqref="Q7:Z140">
    <cfRule type="notContainsBlanks" dxfId="17" priority="1" stopIfTrue="1">
      <formula>NOT(ISBLANK(Q7))</formula>
    </cfRule>
  </conditionalFormatting>
  <pageMargins left="0.393701" right="0.19685" top="0.787402" bottom="0.393701" header="0.511811" footer="0.511811"/>
  <pageSetup firstPageNumber="1" fitToHeight="1" fitToWidth="1" scale="100" useFirstPageNumber="0" orientation="landscape" pageOrder="downThenOver"/>
  <headerFooter>
    <oddHeader>&amp;L&amp;"ヒラギノ角ゴ ProN W3,Regular"&amp;12&amp;K000000&amp;P</oddHeader>
    <oddFooter>&amp;C&amp;"ヒラギノ角ゴ ProN W3,Regular"&amp;12&amp;K000000&amp;P</oddFooter>
  </headerFooter>
  <drawing r:id="rId1"/>
  <legacyDrawing r:id="rId2"/>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