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<sst xmlns="http://schemas.openxmlformats.org/spreadsheetml/2006/main" uniqueCount="274">
  <si>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現場／統括：、現場責任者：新地工事長、主任：、担当：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</si>
  <si>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</si>
  <si>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</si>
  <si>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</si>
  <si>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</si>
  <si>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</si>
  <si>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</si>
  <si>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</si>
  <si>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</si>
  <si>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</si>
  <si>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</si>
  <si>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</si>
  <si>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</si>
  <si>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</si>
  <si>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</si>
  <si>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</si>
  <si>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</si>
  <si>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</si>
  <si>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</si>
  <si>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</si>
  <si>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</si>
  <si>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</si>
  <si>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</si>
  <si>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</si>
  <si>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</si>
  <si>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</si>
  <si>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</si>
  <si>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</si>
  <si>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</si>
  <si>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</si>
  <si>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</si>
  <si>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</si>
  <si>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</si>
  <si>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</si>
  <si>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</si>
  <si>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</si>
  <si>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</si>
  <si>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</si>
  <si>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</si>
  <si>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</si>
  <si>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</si>
  <si>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</si>
  <si>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</si>
  <si>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</si>
  <si>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</si>
  <si>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</si>
  <si>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</si>
  <si>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</si>
  <si>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</si>
  <si>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</si>
  <si>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</si>
  <si>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</si>
  <si>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</si>
  <si>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</si>
  <si>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</si>
  <si>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</si>
  <si>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</si>
  <si>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</si>
  <si>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</si>
  <si>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</si>
  <si>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</si>
  <si>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</si>
  <si>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</si>
  <si>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</si>
  <si>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</si>
  <si>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</si>
  <si>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</si>
  <si>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</si>
  <si>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</si>
  <si>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</si>
  <si>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</si>
  <si>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</si>
  <si>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</si>
  <si>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</si>
  <si>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</si>
  <si>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</si>
  <si>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</si>
  <si>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</si>
  <si>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</si>
  <si>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</si>
  <si>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</si>
  <si>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現場／統括：、現場責任者：新地工事長、主任：、担当：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</si>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</sst>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56">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cellXfs>
  <cellStyles count="1">
    <cellStyle name="Normal" xfId="0" builtinId="0"/>
  </cellStyles>
  <dxfs count="20">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310">
        <v>12</v>
      </c>
      <c r="AG3" t="s" s="311">
        <v>13</v>
      </c>
      <c r="AH3" t="s" s="312">
        <v>14</v>
      </c>
      <c r="AI3" t="s" s="47">
        <v>15</v>
      </c>
      <c r="AJ3" s="48"/>
      <c r="AK3" s="48"/>
      <c r="AL3" s="49"/>
      <c r="AM3" t="s" s="313">
        <v>16</v>
      </c>
      <c r="AN3" t="s" s="54">
        <v>17</v>
      </c>
      <c r="AO3" s="10"/>
      <c r="AP3" s="55"/>
      <c r="AQ3" t="s" s="314">
        <v>18</v>
      </c>
      <c r="AR3" t="s" s="314">
        <v>19</v>
      </c>
      <c r="AS3" t="s" s="31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315">
        <v>24</v>
      </c>
      <c r="B4" t="s" s="314">
        <v>25</v>
      </c>
      <c r="C4" t="s" s="62">
        <v>26</v>
      </c>
      <c r="D4" t="s" s="316">
        <v>27</v>
      </c>
      <c r="E4" t="s" s="317">
        <v>28</v>
      </c>
      <c r="F4" t="s" s="318">
        <v>29</v>
      </c>
      <c r="G4" t="s" s="319">
        <v>30</v>
      </c>
      <c r="H4" t="s" s="320">
        <v>28</v>
      </c>
      <c r="I4" t="s" s="318">
        <v>31</v>
      </c>
      <c r="J4" t="s" s="319">
        <v>32</v>
      </c>
      <c r="K4" t="s" s="321">
        <v>33</v>
      </c>
      <c r="L4" t="s" s="69">
        <v>34</v>
      </c>
      <c r="M4" s="70"/>
      <c r="N4" t="s" s="69">
        <v>35</v>
      </c>
      <c r="O4" s="70"/>
      <c r="P4" t="s" s="322">
        <v>36</v>
      </c>
      <c r="Q4" t="s" s="323">
        <v>37</v>
      </c>
      <c r="R4" t="s" s="323">
        <v>33</v>
      </c>
      <c r="S4" t="s" s="73">
        <v>38</v>
      </c>
      <c r="T4" s="74"/>
      <c r="U4" t="s" s="73">
        <v>39</v>
      </c>
      <c r="V4" s="74"/>
      <c r="W4" t="s" s="73">
        <v>40</v>
      </c>
      <c r="X4" s="74"/>
      <c r="Y4" t="s" s="73">
        <v>41</v>
      </c>
      <c r="Z4" s="74"/>
      <c r="AA4" t="s" s="73">
        <v>42</v>
      </c>
      <c r="AB4" s="75"/>
      <c r="AC4" t="s" s="324">
        <v>43</v>
      </c>
      <c r="AD4" t="s" s="322">
        <v>44</v>
      </c>
      <c r="AE4" t="s" s="325">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101"/>
      <c r="AE5" s="83"/>
      <c r="AF5" s="78"/>
      <c r="AG5" s="79"/>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349">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349">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35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35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349">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349">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349">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349">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349">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349">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35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35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35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35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35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35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35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35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35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35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35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35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35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35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s="349"/>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35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35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35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35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s="349"/>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35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35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35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35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s="349"/>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35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35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35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35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35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35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35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35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35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35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35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35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35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35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35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35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35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35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35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35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35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35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35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35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35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35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35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35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35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35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35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35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35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35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35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35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35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35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35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35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35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35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35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35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35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35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35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35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35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35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35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35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35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35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35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35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35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35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35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35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35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35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35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35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35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35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35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35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35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35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35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35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35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35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35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35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35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35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35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35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35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35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35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35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35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35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35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35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35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35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35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35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35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35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35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35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35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35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35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35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35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35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35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35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35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35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35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35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35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35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35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35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35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35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conditionalFormatting sqref="F11:F159">
    <cfRule type="expression" dxfId="18" priority="50" stopIfTrue="1">
      <formula>AND(ISNUMBER(F11),F11&lt;=TODAY(),G11="")</formula>
    </cfRule>
    <cfRule type="expression" dxfId="19" priority="51" stopIfTrue="1">
      <formula>AND(ISNUMBER(F11),F11&gt;TODAY(),F11&lt;=TODAY()+7,G11="")</formula>
    </cfRule>
  </conditionalFormatting>
  <conditionalFormatting sqref="I11:I159">
    <cfRule type="expression" dxfId="18" priority="52" stopIfTrue="1">
      <formula>AND(ISNUMBER(I11),I11&lt;=TODAY(),J11="")</formula>
    </cfRule>
    <cfRule type="expression" dxfId="19" priority="53" stopIfTrue="1">
      <formula>AND(ISNUMBER(I11),I11&gt;TODAY(),I11&lt;=TODAY()+7,J11="")</formula>
    </cfRule>
  </conditionalFormatting>
  <conditionalFormatting sqref="P11:P159">
    <cfRule type="expression" dxfId="18" priority="54" stopIfTrue="1">
      <formula>AND(ISNUMBER(P11),P11&lt;=TODAY(),OR(L11="",M11=""))</formula>
    </cfRule>
    <cfRule type="expression" dxfId="19" priority="55" stopIfTrue="1">
      <formula>AND(ISNUMBER(P11),P11&gt;TODAY(),P11&lt;=TODAY()+7,OR(L11="",M11=""))</formula>
    </cfRule>
  </conditionalFormatting>
  <conditionalFormatting sqref="AC11:AC159">
    <cfRule type="expression" dxfId="18" priority="56" stopIfTrue="1">
      <formula>AND(ISNUMBER(AC11),AC11&lt;=TODAY(),OR(S11="",T11=""))</formula>
    </cfRule>
    <cfRule type="expression" dxfId="19" priority="57" stopIfTrue="1">
      <formula>AND(ISNUMBER(AC11),AC11&gt;TODAY(),AC11&lt;=TODAY()+7,OR(S11="",T11=""))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s="172" cm="1" t="str">
        <f t="array" ref="A1">'①施工図リスト'!A1</f>
        <v>現場／統括：、現場責任者：新地工事長、主任：、担当：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s="16" cm="1" t="str">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0.133333333333333</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310">
        <v>12</v>
      </c>
      <c r="AG3" t="s" s="331">
        <v>13</v>
      </c>
      <c r="AH3" t="s" s="312">
        <v>14</v>
      </c>
      <c r="AI3" t="s" s="47">
        <v>15</v>
      </c>
      <c r="AJ3" s="48"/>
      <c r="AK3" s="48"/>
      <c r="AL3" s="49"/>
      <c r="AM3" t="s" s="313">
        <v>16</v>
      </c>
      <c r="AN3" t="s" s="54">
        <v>87</v>
      </c>
      <c r="AO3" s="10"/>
      <c r="AP3" s="55"/>
      <c r="AQ3" t="s" s="314">
        <v>18</v>
      </c>
      <c r="AR3" t="s" s="314">
        <v>19</v>
      </c>
      <c r="AS3" t="s" s="314">
        <v>20</v>
      </c>
      <c r="AT3" t="s" s="56">
        <v>21</v>
      </c>
      <c r="AU3" s="57"/>
      <c r="AV3" t="s" s="56">
        <v>22</v>
      </c>
      <c r="AW3" s="57"/>
      <c r="AX3" s="58"/>
      <c r="AY3" s="59"/>
      <c r="AZ3" s="59"/>
      <c r="BA3" s="59"/>
      <c r="BB3" s="59"/>
      <c r="BC3" s="59"/>
      <c r="BD3" s="59"/>
      <c r="BE3" s="179"/>
      <c r="BF3" s="179"/>
      <c r="BG3" s="12"/>
      <c r="BH3" s="60" cm="1">
        <f t="array" ref="BH3">COUNTA($AG$10:$AG$210)*6</f>
        <v>150</v>
      </c>
      <c r="BI3" s="60" cm="1">
        <f t="array" ref="BI3">COUNTA($G$10:$G$210)+COUNTA($J$10:$J$210)+COUNTA($L$10:$L$210)+COUNTA($M$10:$M$210)+COUNTA($S$10:$S$210)+COUNTA($T$10:$T$210)</f>
        <v>20</v>
      </c>
      <c r="BJ3" t="s" s="31">
        <v>23</v>
      </c>
      <c r="BK3" s="33" cm="1">
        <f t="array" ref="BK3">1-BK2</f>
        <v>0.866666666666667</v>
      </c>
      <c r="BL3" s="33"/>
    </row>
    <row r="4" ht="15" customHeight="1">
      <c r="A4" t="s" s="315">
        <v>24</v>
      </c>
      <c r="B4" t="s" s="314">
        <v>25</v>
      </c>
      <c r="C4" t="s" s="62">
        <v>26</v>
      </c>
      <c r="D4" t="s" s="332">
        <v>88</v>
      </c>
      <c r="E4" t="s" s="333">
        <v>89</v>
      </c>
      <c r="F4" t="s" s="334">
        <v>29</v>
      </c>
      <c r="G4" t="s" s="319">
        <v>90</v>
      </c>
      <c r="H4" t="s" s="320">
        <v>28</v>
      </c>
      <c r="I4" t="s" s="318">
        <v>31</v>
      </c>
      <c r="J4" t="s" s="319">
        <v>32</v>
      </c>
      <c r="K4" t="s" s="321">
        <v>33</v>
      </c>
      <c r="L4" t="s" s="69">
        <v>34</v>
      </c>
      <c r="M4" s="70"/>
      <c r="N4" t="s" s="69">
        <v>35</v>
      </c>
      <c r="O4" s="70"/>
      <c r="P4" t="s" s="322">
        <v>36</v>
      </c>
      <c r="Q4" t="s" s="323">
        <v>37</v>
      </c>
      <c r="R4" t="s" s="323">
        <v>33</v>
      </c>
      <c r="S4" t="s" s="73">
        <v>91</v>
      </c>
      <c r="T4" s="74"/>
      <c r="U4" t="s" s="73">
        <v>92</v>
      </c>
      <c r="V4" s="183"/>
      <c r="W4" t="s" s="73">
        <v>93</v>
      </c>
      <c r="X4" s="183"/>
      <c r="Y4" t="s" s="73">
        <v>94</v>
      </c>
      <c r="Z4" s="183"/>
      <c r="AA4" t="s" s="73">
        <v>95</v>
      </c>
      <c r="AB4" s="184"/>
      <c r="AC4" t="s" s="324">
        <v>43</v>
      </c>
      <c r="AD4" t="s" s="318">
        <v>44</v>
      </c>
      <c r="AE4" t="s" s="325">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96"/>
      <c r="AE5" s="83"/>
      <c r="AF5" s="78"/>
      <c r="AG5" s="185"/>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349">
        <v>99</v>
      </c>
      <c r="D11" s="165"/>
      <c r="E11" s="164"/>
      <c r="F11" s="195" cm="1" t="str">
        <f t="array" ref="F11">IF(AG11="","",I11-H11)</f>
        <v/>
      </c>
      <c r="G11" s="160"/>
      <c r="H11" s="158"/>
      <c r="I11" s="159" cm="1" t="str">
        <f t="array" ref="I11">IF(AG11="","",P11-K11)</f>
        <v/>
      </c>
      <c r="J11" s="160"/>
      <c r="K11" s="158"/>
      <c r="L11" s="161"/>
      <c r="M11" s="161"/>
      <c r="N11" s="161"/>
      <c r="O11" s="161"/>
      <c r="P11" s="159" cm="1" t="str">
        <f t="array" ref="P11">IF(AG11="","",AC11-R11-Q11)</f>
        <v/>
      </c>
      <c r="Q11" s="162"/>
      <c r="R11" s="162"/>
      <c r="S11" s="161"/>
      <c r="T11" s="161"/>
      <c r="U11" s="161"/>
      <c r="V11" s="161"/>
      <c r="W11" s="161"/>
      <c r="X11" s="161"/>
      <c r="Y11" s="161"/>
      <c r="Z11" s="161"/>
      <c r="AA11" s="161"/>
      <c r="AB11" s="160"/>
      <c r="AC11" s="163"/>
      <c r="AD11" s="159" cm="1" t="str">
        <f t="array" ref="AD11">IF(AG11="","",$AG11-$AF11)</f>
        <v/>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v>1</v>
      </c>
      <c r="B12" s="167" t="inlineStr">
        <is>
          <t>三友-4</t>
        </is>
      </c>
      <c r="C12" s="349" t="inlineStr">
        <is>
          <t>西側　1階食堂床見切り</t>
        </is>
      </c>
      <c r="D12" s="165"/>
      <c r="E12" s="164"/>
      <c r="F12" s="163">
        <f>IF(AG12="","",I12-H12)</f>
        <v>46309</v>
      </c>
      <c r="G12" s="160"/>
      <c r="H12" s="158">
        <v>7</v>
      </c>
      <c r="I12" s="161">
        <f>IF(AG12="","",P12-K12)</f>
        <v>46316</v>
      </c>
      <c r="J12" s="160"/>
      <c r="K12" s="158">
        <v>7</v>
      </c>
      <c r="L12" s="161">
        <v>46302</v>
      </c>
      <c r="M12" s="161"/>
      <c r="N12" s="161"/>
      <c r="O12" s="161"/>
      <c r="P12" s="161">
        <f>IF(AG12="","",AC12-R12-Q12)</f>
        <v>46323</v>
      </c>
      <c r="Q12" s="162">
        <v>7</v>
      </c>
      <c r="R12" s="162">
        <v>14</v>
      </c>
      <c r="S12" s="161"/>
      <c r="T12" s="161"/>
      <c r="U12" s="161"/>
      <c r="V12" s="161"/>
      <c r="W12" s="161"/>
      <c r="X12" s="161"/>
      <c r="Y12" s="161"/>
      <c r="Z12" s="161"/>
      <c r="AA12" s="161"/>
      <c r="AB12" s="160"/>
      <c r="AC12" s="163">
        <f>IF(AG12="","",WORKDAY(AG12-AF12+1,-1,{46329,46349,46384,46385,46386,46387,46388,46391,46398,46429,46441,46468}))</f>
        <v>46344</v>
      </c>
      <c r="AD12" s="161">
        <f>IF(AG12="","",$AG12-$AF12)</f>
        <v>46344</v>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v>2</v>
      </c>
      <c r="B13" s="167" t="inlineStr">
        <is>
          <t>三友-7</t>
        </is>
      </c>
      <c r="C13" s="349" t="inlineStr">
        <is>
          <t>西側　ボックス席腰壁下地鉄骨</t>
        </is>
      </c>
      <c r="D13" s="165"/>
      <c r="E13" s="164"/>
      <c r="F13" s="163">
        <f>IF(AG13="","",I13-H13)</f>
        <v>46308</v>
      </c>
      <c r="G13" s="160"/>
      <c r="H13" s="158">
        <v>7</v>
      </c>
      <c r="I13" s="161">
        <f>IF(AG13="","",P13-K13)</f>
        <v>46315</v>
      </c>
      <c r="J13" s="160"/>
      <c r="K13" s="158">
        <v>7</v>
      </c>
      <c r="L13" s="161"/>
      <c r="M13" s="161"/>
      <c r="N13" s="161"/>
      <c r="O13" s="161"/>
      <c r="P13" s="161">
        <f>IF(AG13="","",AC13-R13-Q13)</f>
        <v>46322</v>
      </c>
      <c r="Q13" s="162">
        <v>7</v>
      </c>
      <c r="R13" s="162">
        <v>14</v>
      </c>
      <c r="S13" s="161"/>
      <c r="T13" s="161"/>
      <c r="U13" s="161"/>
      <c r="V13" s="161"/>
      <c r="W13" s="161"/>
      <c r="X13" s="161"/>
      <c r="Y13" s="161"/>
      <c r="Z13" s="161"/>
      <c r="AA13" s="161"/>
      <c r="AB13" s="160"/>
      <c r="AC13" s="163">
        <f>IF(AG13="","",WORKDAY(AG13-AF13+1,-1,{46329,46349,46384,46385,46386,46387,46388,46391,46398,46429,46441,46468}))</f>
        <v>46343</v>
      </c>
      <c r="AD13" s="161">
        <f>IF(AG13="","",$AG13-$AF13)</f>
        <v>46343</v>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v>3</v>
      </c>
      <c r="B14" s="167" t="inlineStr">
        <is>
          <t>三友-8</t>
        </is>
      </c>
      <c r="C14" s="349" t="inlineStr">
        <is>
          <t>東側　吹抜け部天井下地鉄骨</t>
        </is>
      </c>
      <c r="D14" s="165"/>
      <c r="E14" s="164"/>
      <c r="F14" s="163">
        <f>IF(AG14="","",I14-H14)</f>
        <v>46343</v>
      </c>
      <c r="G14" s="160"/>
      <c r="H14" s="158">
        <v>7</v>
      </c>
      <c r="I14" s="161">
        <f>IF(AG14="","",P14-K14)</f>
        <v>46350</v>
      </c>
      <c r="J14" s="160"/>
      <c r="K14" s="158">
        <v>7</v>
      </c>
      <c r="L14" s="161"/>
      <c r="M14" s="161"/>
      <c r="N14" s="161"/>
      <c r="O14" s="161"/>
      <c r="P14" s="161">
        <f>IF(AG14="","",AC14-R14-Q14)</f>
        <v>46357</v>
      </c>
      <c r="Q14" s="162">
        <v>7</v>
      </c>
      <c r="R14" s="162">
        <v>14</v>
      </c>
      <c r="S14" s="161"/>
      <c r="T14" s="161"/>
      <c r="U14" s="161"/>
      <c r="V14" s="161"/>
      <c r="W14" s="161"/>
      <c r="X14" s="161"/>
      <c r="Y14" s="161"/>
      <c r="Z14" s="161"/>
      <c r="AA14" s="161"/>
      <c r="AB14" s="160"/>
      <c r="AC14" s="163">
        <f>IF(AG14="","",WORKDAY(AG14-AF14+1,-1,{46329,46349,46384,46385,46386,46387,46388,46391,46398,46429,46441,46468}))</f>
        <v>46378</v>
      </c>
      <c r="AD14" s="161">
        <f>IF(AG14="","",$AG14-$AF14)</f>
        <v>46378</v>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v>4</v>
      </c>
      <c r="B15" s="167" t="inlineStr">
        <is>
          <t>三友-9</t>
        </is>
      </c>
      <c r="C15" s="349" t="inlineStr">
        <is>
          <t>東側　吸音ルーバー壁下地鉄骨</t>
        </is>
      </c>
      <c r="D15" s="165"/>
      <c r="E15" s="164"/>
      <c r="F15" s="163">
        <f>IF(AG15="","",I15-H15)</f>
        <v>46346</v>
      </c>
      <c r="G15" s="160"/>
      <c r="H15" s="158">
        <v>7</v>
      </c>
      <c r="I15" s="161">
        <f>IF(AG15="","",P15-K15)</f>
        <v>46353</v>
      </c>
      <c r="J15" s="160"/>
      <c r="K15" s="158">
        <v>7</v>
      </c>
      <c r="L15" s="161">
        <v>46302</v>
      </c>
      <c r="M15" s="161"/>
      <c r="N15" s="161"/>
      <c r="O15" s="161"/>
      <c r="P15" s="161">
        <f>IF(AG15="","",AC15-R15-Q15)</f>
        <v>46360</v>
      </c>
      <c r="Q15" s="162">
        <v>7</v>
      </c>
      <c r="R15" s="162">
        <v>14</v>
      </c>
      <c r="S15" s="161"/>
      <c r="T15" s="161"/>
      <c r="U15" s="161"/>
      <c r="V15" s="161"/>
      <c r="W15" s="161"/>
      <c r="X15" s="161"/>
      <c r="Y15" s="161"/>
      <c r="Z15" s="161"/>
      <c r="AA15" s="161"/>
      <c r="AB15" s="160"/>
      <c r="AC15" s="163">
        <f>IF(AG15="","",WORKDAY(AG15-AF15+1,-1,{46329,46349,46384,46385,46386,46387,46388,46391,46398,46429,46441,46468}))</f>
        <v>46381</v>
      </c>
      <c r="AD15" s="161">
        <f>IF(AG15="","",$AG15-$AF15)</f>
        <v>46385</v>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v>5</v>
      </c>
      <c r="B16" s="167" t="inlineStr">
        <is>
          <t>三友-10</t>
        </is>
      </c>
      <c r="C16" s="349" t="inlineStr">
        <is>
          <t>東側　吸音ルーバー壁⑤通り部天端塞ぎ</t>
        </is>
      </c>
      <c r="D16" s="165"/>
      <c r="E16" s="164"/>
      <c r="F16" s="163">
        <f>IF(AG16="","",I16-H16)</f>
        <v>46301</v>
      </c>
      <c r="G16" s="160"/>
      <c r="H16" s="158">
        <v>7</v>
      </c>
      <c r="I16" s="161">
        <f>IF(AG16="","",P16-K16)</f>
        <v>46308</v>
      </c>
      <c r="J16" s="160"/>
      <c r="K16" s="158">
        <v>7</v>
      </c>
      <c r="L16" s="161"/>
      <c r="M16" s="161"/>
      <c r="N16" s="161"/>
      <c r="O16" s="161"/>
      <c r="P16" s="161">
        <f>IF(AG16="","",AC16-R16-Q16)</f>
        <v>46315</v>
      </c>
      <c r="Q16" s="162">
        <v>7</v>
      </c>
      <c r="R16" s="162">
        <v>14</v>
      </c>
      <c r="S16" s="161"/>
      <c r="T16" s="161"/>
      <c r="U16" s="161"/>
      <c r="V16" s="161"/>
      <c r="W16" s="161"/>
      <c r="X16" s="161"/>
      <c r="Y16" s="161"/>
      <c r="Z16" s="161"/>
      <c r="AA16" s="161"/>
      <c r="AB16" s="160"/>
      <c r="AC16" s="163">
        <f>IF(AG16="","",WORKDAY(AG16-AF16+1,-1,{46329,46349,46384,46385,46386,46387,46388,46391,46398,46429,46441,46468}))</f>
        <v>46336</v>
      </c>
      <c r="AD16" s="161">
        <f>IF(AG16="","",$AG16-$AF16)</f>
        <v>46336</v>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v>6</v>
      </c>
      <c r="B17" s="167" t="inlineStr">
        <is>
          <t>三友-11</t>
        </is>
      </c>
      <c r="C17" s="349" t="inlineStr">
        <is>
          <t>東側　腰壁下地鉄骨</t>
        </is>
      </c>
      <c r="D17" s="165"/>
      <c r="E17" s="164"/>
      <c r="F17" s="163">
        <f>IF(AG17="","",I17-H17)</f>
        <v>46367</v>
      </c>
      <c r="G17" s="160"/>
      <c r="H17" s="158">
        <v>7</v>
      </c>
      <c r="I17" s="161">
        <f>IF(AG17="","",P17-K17)</f>
        <v>46374</v>
      </c>
      <c r="J17" s="160"/>
      <c r="K17" s="158">
        <v>7</v>
      </c>
      <c r="L17" s="161"/>
      <c r="M17" s="161"/>
      <c r="N17" s="161"/>
      <c r="O17" s="161"/>
      <c r="P17" s="161">
        <f>IF(AG17="","",AC17-R17-Q17)</f>
        <v>46381</v>
      </c>
      <c r="Q17" s="162">
        <v>7</v>
      </c>
      <c r="R17" s="162">
        <v>14</v>
      </c>
      <c r="S17" s="161"/>
      <c r="T17" s="161"/>
      <c r="U17" s="161"/>
      <c r="V17" s="161"/>
      <c r="W17" s="161"/>
      <c r="X17" s="161"/>
      <c r="Y17" s="161"/>
      <c r="Z17" s="161"/>
      <c r="AA17" s="161"/>
      <c r="AB17" s="160"/>
      <c r="AC17" s="163">
        <f>IF(AG17="","",WORKDAY(AG17-AF17+1,-1,{46329,46349,46384,46385,46386,46387,46388,46391,46398,46429,46441,46468}))</f>
        <v>46402</v>
      </c>
      <c r="AD17" s="161">
        <f>IF(AG17="","",$AG17-$AF17)</f>
        <v>46402</v>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v>7</v>
      </c>
      <c r="B18" s="167" t="inlineStr">
        <is>
          <t>三友-12</t>
        </is>
      </c>
      <c r="C18" s="349" t="inlineStr">
        <is>
          <t>東側・西側　窓際カウンター下地</t>
        </is>
      </c>
      <c r="D18" s="165"/>
      <c r="E18" s="164"/>
      <c r="F18" s="163">
        <f>IF(AG18="","",I18-H18)</f>
        <v>46330</v>
      </c>
      <c r="G18" s="160"/>
      <c r="H18" s="158">
        <v>7</v>
      </c>
      <c r="I18" s="161">
        <f>IF(AG18="","",P18-K18)</f>
        <v>46337</v>
      </c>
      <c r="J18" s="160"/>
      <c r="K18" s="158">
        <v>7</v>
      </c>
      <c r="L18" s="161"/>
      <c r="M18" s="161"/>
      <c r="N18" s="161"/>
      <c r="O18" s="161"/>
      <c r="P18" s="161">
        <f>IF(AG18="","",AC18-R18-Q18)</f>
        <v>46344</v>
      </c>
      <c r="Q18" s="162">
        <v>7</v>
      </c>
      <c r="R18" s="162">
        <v>14</v>
      </c>
      <c r="S18" s="161"/>
      <c r="T18" s="161"/>
      <c r="U18" s="161"/>
      <c r="V18" s="161"/>
      <c r="W18" s="161"/>
      <c r="X18" s="161"/>
      <c r="Y18" s="161"/>
      <c r="Z18" s="161"/>
      <c r="AA18" s="161"/>
      <c r="AB18" s="160"/>
      <c r="AC18" s="163">
        <f>IF(AG18="","",WORKDAY(AG18-AF18+1,-1,{46329,46349,46384,46385,46386,46387,46388,46391,46398,46429,46441,46468}))</f>
        <v>46365</v>
      </c>
      <c r="AD18" s="161">
        <f>IF(AG18="","",$AG18-$AF18)</f>
        <v>46365</v>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v>8</v>
      </c>
      <c r="B19" s="167" t="inlineStr">
        <is>
          <t>三友-13</t>
        </is>
      </c>
      <c r="C19" s="349" t="inlineStr">
        <is>
          <t>東側　壁見切り</t>
        </is>
      </c>
      <c r="D19" s="165"/>
      <c r="E19" s="164"/>
      <c r="F19" s="163">
        <f>IF(AG19="","",I19-H19)</f>
        <v>46335</v>
      </c>
      <c r="G19" s="160"/>
      <c r="H19" s="158">
        <v>7</v>
      </c>
      <c r="I19" s="161">
        <f>IF(AG19="","",P19-K19)</f>
        <v>46342</v>
      </c>
      <c r="J19" s="160"/>
      <c r="K19" s="158">
        <v>7</v>
      </c>
      <c r="L19" s="161"/>
      <c r="M19" s="161"/>
      <c r="N19" s="161"/>
      <c r="O19" s="161"/>
      <c r="P19" s="161">
        <f>IF(AG19="","",AC19-R19-Q19)</f>
        <v>46349</v>
      </c>
      <c r="Q19" s="162">
        <v>7</v>
      </c>
      <c r="R19" s="162">
        <v>14</v>
      </c>
      <c r="S19" s="161"/>
      <c r="T19" s="161"/>
      <c r="U19" s="161"/>
      <c r="V19" s="161"/>
      <c r="W19" s="161"/>
      <c r="X19" s="161"/>
      <c r="Y19" s="161"/>
      <c r="Z19" s="161"/>
      <c r="AA19" s="161"/>
      <c r="AB19" s="160"/>
      <c r="AC19" s="163">
        <f>IF(AG19="","",WORKDAY(AG19-AF19+1,-1,{46329,46349,46384,46385,46386,46387,46388,46391,46398,46429,46441,46468}))</f>
        <v>46370</v>
      </c>
      <c r="AD19" s="161">
        <f>IF(AG19="","",$AG19-$AF19)</f>
        <v>46370</v>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v>9</v>
      </c>
      <c r="B20" s="167" t="inlineStr">
        <is>
          <t>三友-14</t>
        </is>
      </c>
      <c r="C20" s="349" t="inlineStr">
        <is>
          <t>東側　自動扉安全柵</t>
        </is>
      </c>
      <c r="D20" s="165"/>
      <c r="E20" s="164"/>
      <c r="F20" s="163">
        <f>IF(AG20="","",I20-H20)</f>
        <v>46346</v>
      </c>
      <c r="G20" s="160"/>
      <c r="H20" s="158">
        <v>7</v>
      </c>
      <c r="I20" s="161">
        <f>IF(AG20="","",P20-K20)</f>
        <v>46353</v>
      </c>
      <c r="J20" s="160"/>
      <c r="K20" s="158">
        <v>7</v>
      </c>
      <c r="L20" s="161"/>
      <c r="M20" s="161"/>
      <c r="N20" s="161"/>
      <c r="O20" s="161"/>
      <c r="P20" s="161">
        <f>IF(AG20="","",AC20-R20-Q20)</f>
        <v>46360</v>
      </c>
      <c r="Q20" s="162">
        <v>7</v>
      </c>
      <c r="R20" s="162">
        <v>14</v>
      </c>
      <c r="S20" s="161"/>
      <c r="T20" s="161"/>
      <c r="U20" s="161"/>
      <c r="V20" s="161"/>
      <c r="W20" s="161"/>
      <c r="X20" s="161"/>
      <c r="Y20" s="161"/>
      <c r="Z20" s="161"/>
      <c r="AA20" s="161"/>
      <c r="AB20" s="160"/>
      <c r="AC20" s="163">
        <f>IF(AG20="","",WORKDAY(AG20-AF20+1,-1,{46329,46349,46384,46385,46386,46387,46388,46391,46398,46429,46441,46468}))</f>
        <v>46381</v>
      </c>
      <c r="AD20" s="161">
        <f>IF(AG20="","",$AG20-$AF20)</f>
        <v>46386</v>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v>10</v>
      </c>
      <c r="B21" s="167" t="inlineStr">
        <is>
          <t>三友-15</t>
        </is>
      </c>
      <c r="C21" s="349" t="inlineStr">
        <is>
          <t>西側　壁アルミルーバー（天井裏下地込み）</t>
        </is>
      </c>
      <c r="D21" s="165"/>
      <c r="E21" s="164"/>
      <c r="F21" s="163">
        <f>IF(AG21="","",I21-H21)</f>
        <v>46282</v>
      </c>
      <c r="G21" s="160"/>
      <c r="H21" s="158">
        <v>7</v>
      </c>
      <c r="I21" s="161">
        <f>IF(AG21="","",P21-K21)</f>
        <v>46289</v>
      </c>
      <c r="J21" s="160"/>
      <c r="K21" s="158">
        <v>7</v>
      </c>
      <c r="L21" s="161">
        <v>46302</v>
      </c>
      <c r="M21" s="161"/>
      <c r="N21" s="161"/>
      <c r="O21" s="161"/>
      <c r="P21" s="161">
        <f>IF(AG21="","",AC21-R21-Q21)</f>
        <v>46296</v>
      </c>
      <c r="Q21" s="162">
        <v>7</v>
      </c>
      <c r="R21" s="162">
        <v>14</v>
      </c>
      <c r="S21" s="161"/>
      <c r="T21" s="161"/>
      <c r="U21" s="161"/>
      <c r="V21" s="161"/>
      <c r="W21" s="161"/>
      <c r="X21" s="161"/>
      <c r="Y21" s="161"/>
      <c r="Z21" s="161"/>
      <c r="AA21" s="161"/>
      <c r="AB21" s="160"/>
      <c r="AC21" s="163">
        <f>IF(AG21="","",WORKDAY(AG21-AF21+1,-1,{46329,46349,46384,46385,46386,46387,46388,46391,46398,46429,46441,46468}))</f>
        <v>46317</v>
      </c>
      <c r="AD21" s="161">
        <f>IF(AG21="","",$AG21-$AF21)</f>
        <v>46317</v>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v>11</v>
      </c>
      <c r="B22" s="167" t="inlineStr">
        <is>
          <t>三友-16</t>
        </is>
      </c>
      <c r="C22" s="349" t="inlineStr">
        <is>
          <t>西側　ステンレスカウンター</t>
        </is>
      </c>
      <c r="D22" s="165"/>
      <c r="E22" s="164"/>
      <c r="F22" s="163">
        <f>IF(AG22="","",I22-H22)</f>
        <v>46330</v>
      </c>
      <c r="G22" s="160"/>
      <c r="H22" s="158">
        <v>7</v>
      </c>
      <c r="I22" s="161">
        <f>IF(AG22="","",P22-K22)</f>
        <v>46337</v>
      </c>
      <c r="J22" s="160"/>
      <c r="K22" s="158">
        <v>7</v>
      </c>
      <c r="L22" s="161"/>
      <c r="M22" s="161"/>
      <c r="N22" s="161"/>
      <c r="O22" s="161"/>
      <c r="P22" s="161">
        <f>IF(AG22="","",AC22-R22-Q22)</f>
        <v>46344</v>
      </c>
      <c r="Q22" s="162">
        <v>7</v>
      </c>
      <c r="R22" s="162">
        <v>14</v>
      </c>
      <c r="S22" s="161"/>
      <c r="T22" s="161"/>
      <c r="U22" s="161"/>
      <c r="V22" s="161"/>
      <c r="W22" s="161"/>
      <c r="X22" s="161"/>
      <c r="Y22" s="161"/>
      <c r="Z22" s="161"/>
      <c r="AA22" s="161"/>
      <c r="AB22" s="160"/>
      <c r="AC22" s="163">
        <f>IF(AG22="","",WORKDAY(AG22-AF22+1,-1,{46329,46349,46384,46385,46386,46387,46388,46391,46398,46429,46441,46468}))</f>
        <v>46365</v>
      </c>
      <c r="AD22" s="161">
        <f>IF(AG22="","",$AG22-$AF22)</f>
        <v>46365</v>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v>12</v>
      </c>
      <c r="B23" s="167" t="inlineStr">
        <is>
          <t>三友-18</t>
        </is>
      </c>
      <c r="C23" s="349" t="inlineStr">
        <is>
          <t>チャンバーボックス</t>
        </is>
      </c>
      <c r="D23" s="165"/>
      <c r="E23" s="164"/>
      <c r="F23" s="163">
        <f>IF(AG23="","",I23-H23)</f>
        <v>46337</v>
      </c>
      <c r="G23" s="160"/>
      <c r="H23" s="158">
        <v>7</v>
      </c>
      <c r="I23" s="161">
        <f>IF(AG23="","",P23-K23)</f>
        <v>46344</v>
      </c>
      <c r="J23" s="160"/>
      <c r="K23" s="158">
        <v>7</v>
      </c>
      <c r="L23" s="161"/>
      <c r="M23" s="161"/>
      <c r="N23" s="161"/>
      <c r="O23" s="161"/>
      <c r="P23" s="161">
        <f>IF(AG23="","",AC23-R23-Q23)</f>
        <v>46351</v>
      </c>
      <c r="Q23" s="162">
        <v>7</v>
      </c>
      <c r="R23" s="162">
        <v>14</v>
      </c>
      <c r="S23" s="161"/>
      <c r="T23" s="161"/>
      <c r="U23" s="161"/>
      <c r="V23" s="161"/>
      <c r="W23" s="161"/>
      <c r="X23" s="161"/>
      <c r="Y23" s="161"/>
      <c r="Z23" s="161"/>
      <c r="AA23" s="161"/>
      <c r="AB23" s="160"/>
      <c r="AC23" s="163">
        <f>IF(AG23="","",WORKDAY(AG23-AF23+1,-1,{46329,46349,46384,46385,46386,46387,46388,46391,46398,46429,46441,46468}))</f>
        <v>46372</v>
      </c>
      <c r="AD23" s="161">
        <f>IF(AG23="","",$AG23-$AF23)</f>
        <v>46372</v>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v>13</v>
      </c>
      <c r="B24" s="167" t="inlineStr">
        <is>
          <t>三友-19</t>
        </is>
      </c>
      <c r="C24" s="349" t="inlineStr">
        <is>
          <t>チャンバーボックス　グレーチング蓋</t>
        </is>
      </c>
      <c r="D24" s="165"/>
      <c r="E24" s="164"/>
      <c r="F24" s="163">
        <f>IF(AG24="","",I24-H24)</f>
        <v>46344</v>
      </c>
      <c r="G24" s="160"/>
      <c r="H24" s="158">
        <v>7</v>
      </c>
      <c r="I24" s="161">
        <f>IF(AG24="","",P24-K24)</f>
        <v>46351</v>
      </c>
      <c r="J24" s="160"/>
      <c r="K24" s="158">
        <v>7</v>
      </c>
      <c r="L24" s="161"/>
      <c r="M24" s="161"/>
      <c r="N24" s="161"/>
      <c r="O24" s="161"/>
      <c r="P24" s="161">
        <f>IF(AG24="","",AC24-R24-Q24)</f>
        <v>46358</v>
      </c>
      <c r="Q24" s="162">
        <v>7</v>
      </c>
      <c r="R24" s="162">
        <v>14</v>
      </c>
      <c r="S24" s="161"/>
      <c r="T24" s="161"/>
      <c r="U24" s="161"/>
      <c r="V24" s="161"/>
      <c r="W24" s="161"/>
      <c r="X24" s="161"/>
      <c r="Y24" s="161"/>
      <c r="Z24" s="161"/>
      <c r="AA24" s="161"/>
      <c r="AB24" s="160"/>
      <c r="AC24" s="163">
        <f>IF(AG24="","",WORKDAY(AG24-AF24+1,-1,{46329,46349,46384,46385,46386,46387,46388,46391,46398,46429,46441,46468}))</f>
        <v>46379</v>
      </c>
      <c r="AD24" s="161">
        <f>IF(AG24="","",$AG24-$AF24)</f>
        <v>46379</v>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v>14</v>
      </c>
      <c r="B25" s="167" t="inlineStr">
        <is>
          <t>三友-20</t>
        </is>
      </c>
      <c r="C25" s="349" t="inlineStr">
        <is>
          <t>東側　照明ボックススチールパネル</t>
        </is>
      </c>
      <c r="D25" s="165"/>
      <c r="E25" s="164"/>
      <c r="F25" s="163">
        <f>IF(AG25="","",I25-H25)</f>
        <v>46344</v>
      </c>
      <c r="G25" s="160"/>
      <c r="H25" s="158">
        <v>7</v>
      </c>
      <c r="I25" s="161">
        <f>IF(AG25="","",P25-K25)</f>
        <v>46351</v>
      </c>
      <c r="J25" s="160"/>
      <c r="K25" s="158">
        <v>7</v>
      </c>
      <c r="L25" s="161"/>
      <c r="M25" s="161"/>
      <c r="N25" s="161"/>
      <c r="O25" s="161"/>
      <c r="P25" s="161">
        <f>IF(AG25="","",AC25-R25-Q25)</f>
        <v>46358</v>
      </c>
      <c r="Q25" s="162">
        <v>7</v>
      </c>
      <c r="R25" s="162">
        <v>14</v>
      </c>
      <c r="S25" s="161"/>
      <c r="T25" s="161"/>
      <c r="U25" s="161"/>
      <c r="V25" s="161"/>
      <c r="W25" s="161"/>
      <c r="X25" s="161"/>
      <c r="Y25" s="161"/>
      <c r="Z25" s="161"/>
      <c r="AA25" s="161"/>
      <c r="AB25" s="160"/>
      <c r="AC25" s="163">
        <f>IF(AG25="","",WORKDAY(AG25-AF25+1,-1,{46329,46349,46384,46385,46386,46387,46388,46391,46398,46429,46441,46468}))</f>
        <v>46379</v>
      </c>
      <c r="AD25" s="161">
        <f>IF(AG25="","",$AG25-$AF25)</f>
        <v>46379</v>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v>15</v>
      </c>
      <c r="B26" s="167" t="inlineStr">
        <is>
          <t>三友-21</t>
        </is>
      </c>
      <c r="C26" s="349" t="inlineStr">
        <is>
          <t>西側　照明ボックススチールパネル</t>
        </is>
      </c>
      <c r="D26" s="165"/>
      <c r="E26" s="164"/>
      <c r="F26" s="163">
        <f>IF(AG26="","",I26-H26)</f>
        <v>46344</v>
      </c>
      <c r="G26" s="160"/>
      <c r="H26" s="158">
        <v>7</v>
      </c>
      <c r="I26" s="161">
        <f>IF(AG26="","",P26-K26)</f>
        <v>46351</v>
      </c>
      <c r="J26" s="160"/>
      <c r="K26" s="158">
        <v>7</v>
      </c>
      <c r="L26" s="161"/>
      <c r="M26" s="161"/>
      <c r="N26" s="161"/>
      <c r="O26" s="161"/>
      <c r="P26" s="161">
        <f>IF(AG26="","",AC26-R26-Q26)</f>
        <v>46358</v>
      </c>
      <c r="Q26" s="162">
        <v>7</v>
      </c>
      <c r="R26" s="162">
        <v>14</v>
      </c>
      <c r="S26" s="161"/>
      <c r="T26" s="161"/>
      <c r="U26" s="161"/>
      <c r="V26" s="161"/>
      <c r="W26" s="161"/>
      <c r="X26" s="161"/>
      <c r="Y26" s="161"/>
      <c r="Z26" s="161"/>
      <c r="AA26" s="161"/>
      <c r="AB26" s="160"/>
      <c r="AC26" s="163">
        <f>IF(AG26="","",WORKDAY(AG26-AF26+1,-1,{46329,46349,46384,46385,46386,46387,46388,46391,46398,46429,46441,46468}))</f>
        <v>46379</v>
      </c>
      <c r="AD26" s="161">
        <f>IF(AG26="","",$AG26-$AF26)</f>
        <v>46379</v>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s="151"/>
      <c r="C27" s="350"/>
      <c r="D27" s="165"/>
      <c r="E27" s="164"/>
      <c r="F27" s="195" cm="1" t="str">
        <f t="array" ref="F27">IF(AG27="","",I27-H27)</f>
        <v/>
      </c>
      <c r="G27" s="160"/>
      <c r="H27" s="158"/>
      <c r="I27" s="159" cm="1" t="str">
        <f t="array" ref="I27">IF(AG27="","",P27-K27)</f>
        <v/>
      </c>
      <c r="J27" s="160"/>
      <c r="K27" s="158"/>
      <c r="L27" s="161"/>
      <c r="M27" s="161"/>
      <c r="N27" s="161"/>
      <c r="O27" s="161"/>
      <c r="P27" s="159" cm="1" t="str">
        <f t="array" ref="P27">IF(AG27="","",AC27-R27-Q27)</f>
        <v/>
      </c>
      <c r="Q27" s="162"/>
      <c r="R27" s="162"/>
      <c r="S27" s="161"/>
      <c r="T27" s="161"/>
      <c r="U27" s="161"/>
      <c r="V27" s="161"/>
      <c r="W27" s="161"/>
      <c r="X27" s="161"/>
      <c r="Y27" s="161"/>
      <c r="Z27" s="161"/>
      <c r="AA27" s="161"/>
      <c r="AB27" s="160"/>
      <c r="AC27" s="163"/>
      <c r="AD27" s="159" cm="1" t="str">
        <f t="array" ref="AD27">IF(AG27="","",$AG27-$AF27)</f>
        <v/>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s="151"/>
      <c r="C28" t="s" s="349">
        <v>115</v>
      </c>
      <c r="D28" s="165"/>
      <c r="E28" s="164"/>
      <c r="F28" s="195" cm="1" t="str">
        <f t="array" ref="F28">IF(AG28="","",I28-H28)</f>
        <v/>
      </c>
      <c r="G28" s="160"/>
      <c r="H28" s="158"/>
      <c r="I28" s="159" cm="1" t="str">
        <f t="array" ref="I28">IF(AG28="","",P28-K28)</f>
        <v/>
      </c>
      <c r="J28" s="160"/>
      <c r="K28" s="158"/>
      <c r="L28" s="161"/>
      <c r="M28" s="161"/>
      <c r="N28" s="161"/>
      <c r="O28" s="161"/>
      <c r="P28" s="159" cm="1" t="str">
        <f t="array" ref="P28">IF(AG28="","",AC28-R28-Q28)</f>
        <v/>
      </c>
      <c r="Q28" s="162"/>
      <c r="R28" s="162"/>
      <c r="S28" s="161"/>
      <c r="T28" s="161"/>
      <c r="U28" s="161"/>
      <c r="V28" s="161"/>
      <c r="W28" s="161"/>
      <c r="X28" s="161"/>
      <c r="Y28" s="161"/>
      <c r="Z28" s="161"/>
      <c r="AA28" s="161"/>
      <c r="AB28" s="160"/>
      <c r="AC28" s="163"/>
      <c r="AD28" s="159" cm="1" t="str">
        <f t="array" ref="AD28">IF(AG28="","",$AG28-$AF28)</f>
        <v/>
      </c>
      <c r="AE28" s="160"/>
      <c r="AF28" s="196"/>
      <c r="AG28" s="165"/>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116</v>
      </c>
      <c r="C29" t="s" s="349">
        <v>117</v>
      </c>
      <c r="D29" s="165"/>
      <c r="E29" s="164"/>
      <c r="F29" s="163" cm="1">
        <f t="array" ref="F29">IF(AG29="","",I29-H29)</f>
        <v>46275</v>
      </c>
      <c r="G29" s="160">
        <v>46301</v>
      </c>
      <c r="H29" s="158">
        <v>7</v>
      </c>
      <c r="I29" s="161" cm="1">
        <f t="array" ref="I29">IF(AG29="","",P29-K29)</f>
        <v>46282</v>
      </c>
      <c r="J29" s="160">
        <v>46302</v>
      </c>
      <c r="K29" s="158">
        <v>7</v>
      </c>
      <c r="L29" s="161">
        <v>46302</v>
      </c>
      <c r="M29" s="161"/>
      <c r="N29" s="161"/>
      <c r="O29" s="161"/>
      <c r="P29" s="161" cm="1">
        <f t="array" ref="P29">IF(AG29="","",AC29-R29-Q29)</f>
        <v>46289</v>
      </c>
      <c r="Q29" s="162">
        <v>7</v>
      </c>
      <c r="R29" s="162">
        <v>14</v>
      </c>
      <c r="S29" s="161"/>
      <c r="T29" s="161"/>
      <c r="U29" s="161"/>
      <c r="V29" s="161"/>
      <c r="W29" s="161"/>
      <c r="X29" s="161"/>
      <c r="Y29" s="161"/>
      <c r="Z29" s="161"/>
      <c r="AA29" s="161"/>
      <c r="AB29" s="160"/>
      <c r="AC29" s="163">
        <v>46310</v>
      </c>
      <c r="AD29" s="161" cm="1">
        <f t="array" ref="AD29">IF(AG29="","",$AG29-$AF29)</f>
        <v>46310</v>
      </c>
      <c r="AE29" s="160"/>
      <c r="AF29" s="196">
        <v>60</v>
      </c>
      <c r="AG29" s="165">
        <v>46370</v>
      </c>
      <c r="AH29" s="164"/>
      <c r="AI29" s="163"/>
      <c r="AJ29" s="161"/>
      <c r="AK29" s="161"/>
      <c r="AL29" s="160"/>
      <c r="AM29" s="165"/>
      <c r="AN29" t="s" s="198">
        <v>118</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t="s" s="167">
        <v>119</v>
      </c>
      <c r="C30" t="s" s="351">
        <v>120</v>
      </c>
      <c r="D30" s="165"/>
      <c r="E30" s="164"/>
      <c r="F30" s="195" cm="1" t="str">
        <f t="array" ref="F30">IF(AG30="","",I30-H30)</f>
        <v/>
      </c>
      <c r="G30" s="160"/>
      <c r="H30" s="158"/>
      <c r="I30" s="159" cm="1" t="str">
        <f t="array" ref="I30">IF(AG30="","",P30-K30)</f>
        <v/>
      </c>
      <c r="J30" s="160"/>
      <c r="K30" s="158"/>
      <c r="L30" s="161"/>
      <c r="M30" s="161"/>
      <c r="N30" s="161"/>
      <c r="O30" s="161"/>
      <c r="P30" s="159" cm="1" t="str">
        <f t="array" ref="P30">IF(AG30="","",AC30-R30-Q30)</f>
        <v/>
      </c>
      <c r="Q30" s="162"/>
      <c r="R30" s="162"/>
      <c r="S30" s="161"/>
      <c r="T30" s="161"/>
      <c r="U30" s="161"/>
      <c r="V30" s="161"/>
      <c r="W30" s="161"/>
      <c r="X30" s="161"/>
      <c r="Y30" s="161"/>
      <c r="Z30" s="161"/>
      <c r="AA30" s="161"/>
      <c r="AB30" s="160"/>
      <c r="AC30" s="163"/>
      <c r="AD30" s="159" cm="1" t="str">
        <f t="array" ref="AD30">IF(AG30="","",$AG30-$AF30)</f>
        <v/>
      </c>
      <c r="AE30" s="160"/>
      <c r="AF30" s="196"/>
      <c r="AG30" s="165"/>
      <c r="AH30" s="164"/>
      <c r="AI30" s="163"/>
      <c r="AJ30" s="161"/>
      <c r="AK30" s="161"/>
      <c r="AL30" s="160"/>
      <c r="AM30" s="165"/>
      <c r="AN30" t="s" s="198">
        <v>121</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122</v>
      </c>
      <c r="C31" t="s" s="351">
        <v>123</v>
      </c>
      <c r="D31" s="165"/>
      <c r="E31" s="164"/>
      <c r="F31" s="163" cm="1">
        <f t="array" ref="F31">IF(AG31="","",I31-H31)</f>
        <v>46275</v>
      </c>
      <c r="G31" s="160">
        <v>46290</v>
      </c>
      <c r="H31" s="158">
        <v>7</v>
      </c>
      <c r="I31" s="161" cm="1">
        <f t="array" ref="I31">IF(AG31="","",P31-K31)</f>
        <v>46282</v>
      </c>
      <c r="J31" s="160">
        <v>46290</v>
      </c>
      <c r="K31" s="158">
        <v>7</v>
      </c>
      <c r="L31" s="161">
        <v>46293</v>
      </c>
      <c r="M31" s="161"/>
      <c r="N31" s="161">
        <v>46302</v>
      </c>
      <c r="O31" s="161"/>
      <c r="P31" s="161" cm="1">
        <f t="array" ref="P31">IF(AG31="","",AC31-R31-Q31)</f>
        <v>46289</v>
      </c>
      <c r="Q31" s="162">
        <v>7</v>
      </c>
      <c r="R31" s="162">
        <v>14</v>
      </c>
      <c r="S31" s="161"/>
      <c r="T31" s="161"/>
      <c r="U31" s="161"/>
      <c r="V31" s="161"/>
      <c r="W31" s="161"/>
      <c r="X31" s="161"/>
      <c r="Y31" s="161"/>
      <c r="Z31" s="161"/>
      <c r="AA31" s="161"/>
      <c r="AB31" s="160"/>
      <c r="AC31" s="163">
        <v>46310</v>
      </c>
      <c r="AD31" s="161" cm="1">
        <f t="array" ref="AD31">IF(AG31="","",$AG31-$AF31)</f>
        <v>46310</v>
      </c>
      <c r="AE31" s="160"/>
      <c r="AF31" s="196">
        <v>60</v>
      </c>
      <c r="AG31" s="165">
        <v>46370</v>
      </c>
      <c r="AH31" s="164"/>
      <c r="AI31" s="163"/>
      <c r="AJ31" s="161"/>
      <c r="AK31" s="161"/>
      <c r="AL31" s="160"/>
      <c r="AM31" s="165"/>
      <c r="AN31" t="s" s="198">
        <v>124</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t="s" s="167">
        <v>125</v>
      </c>
      <c r="C32" t="s" s="352">
        <v>126</v>
      </c>
      <c r="D32" s="165"/>
      <c r="E32" s="164"/>
      <c r="F32" s="195" cm="1" t="str">
        <f t="array" ref="F32">IF(AG32="","",I32-H32)</f>
        <v/>
      </c>
      <c r="G32" s="160"/>
      <c r="H32" s="158"/>
      <c r="I32" s="159" cm="1" t="str">
        <f t="array" ref="I32">IF(AG32="","",P32-K32)</f>
        <v/>
      </c>
      <c r="J32" s="160"/>
      <c r="K32" s="158"/>
      <c r="L32" s="161"/>
      <c r="M32" s="161"/>
      <c r="N32" s="161"/>
      <c r="O32" s="161"/>
      <c r="P32" s="159" cm="1" t="str">
        <f t="array" ref="P32">IF(AG32="","",AC32-R32-Q32)</f>
        <v/>
      </c>
      <c r="Q32" s="162"/>
      <c r="R32" s="162"/>
      <c r="S32" s="161"/>
      <c r="T32" s="161"/>
      <c r="U32" s="161"/>
      <c r="V32" s="161"/>
      <c r="W32" s="161"/>
      <c r="X32" s="161"/>
      <c r="Y32" s="161"/>
      <c r="Z32" s="161"/>
      <c r="AA32" s="161"/>
      <c r="AB32" s="160"/>
      <c r="AC32" s="163"/>
      <c r="AD32" s="159" cm="1" t="str">
        <f t="array" ref="AD32">IF(AG32="","",$AG32-$AF32)</f>
        <v/>
      </c>
      <c r="AE32" s="160"/>
      <c r="AF32" s="196"/>
      <c r="AG32" s="165"/>
      <c r="AH32" s="164"/>
      <c r="AI32" s="163"/>
      <c r="AJ32" s="161"/>
      <c r="AK32" s="161"/>
      <c r="AL32" s="160"/>
      <c r="AM32" s="165"/>
      <c r="AN32" t="s" s="169">
        <v>127</v>
      </c>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s="151"/>
      <c r="C33" s="350"/>
      <c r="D33" s="165"/>
      <c r="E33" s="164"/>
      <c r="F33" s="195" cm="1" t="str">
        <f t="array" ref="F33">IF(AG33="","",I33-H33)</f>
        <v/>
      </c>
      <c r="G33" s="160"/>
      <c r="H33" s="158"/>
      <c r="I33" s="159" cm="1" t="str">
        <f t="array" ref="I33">IF(AG33="","",P33-K33)</f>
        <v/>
      </c>
      <c r="J33" s="160"/>
      <c r="K33" s="158"/>
      <c r="L33" s="161"/>
      <c r="M33" s="161"/>
      <c r="N33" s="161"/>
      <c r="O33" s="161"/>
      <c r="P33" s="159" cm="1" t="str">
        <f t="array" ref="P33">IF(AG33="","",AC33-R33-Q33)</f>
        <v/>
      </c>
      <c r="Q33" s="162"/>
      <c r="R33" s="162"/>
      <c r="S33" s="161"/>
      <c r="T33" s="161"/>
      <c r="U33" s="161"/>
      <c r="V33" s="161"/>
      <c r="W33" s="161"/>
      <c r="X33" s="161"/>
      <c r="Y33" s="161"/>
      <c r="Z33" s="161"/>
      <c r="AA33" s="161"/>
      <c r="AB33" s="160"/>
      <c r="AC33" s="163"/>
      <c r="AD33" s="159" cm="1" t="str">
        <f t="array" ref="AD33">IF(AG33="","",$AG33-$AF33)</f>
        <v/>
      </c>
      <c r="AE33" s="160"/>
      <c r="AF33" s="196"/>
      <c r="AG33" s="165"/>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349">
        <v>128</v>
      </c>
      <c r="D34" s="165"/>
      <c r="E34" s="164"/>
      <c r="F34" s="195" cm="1" t="str">
        <f t="array" ref="F34">IF(AG34="","",I34-H34)</f>
        <v/>
      </c>
      <c r="G34" s="160"/>
      <c r="H34" s="158"/>
      <c r="I34" s="159" cm="1" t="str">
        <f t="array" ref="I34">IF(AG34="","",P34-K34)</f>
        <v/>
      </c>
      <c r="J34" s="160"/>
      <c r="K34" s="158"/>
      <c r="L34" s="161"/>
      <c r="M34" s="161"/>
      <c r="N34" s="161"/>
      <c r="O34" s="161"/>
      <c r="P34" s="159" cm="1" t="str">
        <f t="array" ref="P34">IF(AG34="","",AC34-R34-Q34)</f>
        <v/>
      </c>
      <c r="Q34" s="162"/>
      <c r="R34" s="162"/>
      <c r="S34" s="161"/>
      <c r="T34" s="161"/>
      <c r="U34" s="161"/>
      <c r="V34" s="161"/>
      <c r="W34" s="161"/>
      <c r="X34" s="161"/>
      <c r="Y34" s="161"/>
      <c r="Z34" s="161"/>
      <c r="AA34" s="161"/>
      <c r="AB34" s="160"/>
      <c r="AC34" s="163"/>
      <c r="AD34" s="159" cm="1" t="str">
        <f t="array" ref="AD34">IF(AG34="","",$AG34-$AF34)</f>
        <v/>
      </c>
      <c r="AE34" s="160"/>
      <c r="AF34" s="196"/>
      <c r="AG34" s="165"/>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129</v>
      </c>
      <c r="C35" t="s" s="351">
        <v>130</v>
      </c>
      <c r="D35" s="165"/>
      <c r="E35" s="164"/>
      <c r="F35" s="163" cm="1">
        <f t="array" ref="F35">IF(AG35="","",I35-H35)</f>
        <v>46269</v>
      </c>
      <c r="G35" s="160">
        <v>46282</v>
      </c>
      <c r="H35" s="158">
        <v>7</v>
      </c>
      <c r="I35" s="161" cm="1">
        <f t="array" ref="I35">IF(AG35="","",P35-K35)</f>
        <v>46276</v>
      </c>
      <c r="J35" s="160">
        <v>46289</v>
      </c>
      <c r="K35" s="158">
        <v>7</v>
      </c>
      <c r="L35" s="161">
        <v>46293</v>
      </c>
      <c r="M35" s="161"/>
      <c r="N35" s="161">
        <v>46302</v>
      </c>
      <c r="O35" s="161"/>
      <c r="P35" s="161" cm="1">
        <f t="array" ref="P35">IF(AG35="","",AC35-R35-Q35)</f>
        <v>46283</v>
      </c>
      <c r="Q35" s="162">
        <v>7</v>
      </c>
      <c r="R35" s="162">
        <v>7</v>
      </c>
      <c r="S35" s="161"/>
      <c r="T35" s="161"/>
      <c r="U35" s="161"/>
      <c r="V35" s="161"/>
      <c r="W35" s="161"/>
      <c r="X35" s="161"/>
      <c r="Y35" s="161"/>
      <c r="Z35" s="161"/>
      <c r="AA35" s="161"/>
      <c r="AB35" s="160"/>
      <c r="AC35" s="163">
        <v>46297</v>
      </c>
      <c r="AD35" s="161" cm="1">
        <f t="array" ref="AD35">IF(AG35="","",$AG35-$AF35)</f>
        <v>46299</v>
      </c>
      <c r="AE35" s="160"/>
      <c r="AF35" s="196">
        <v>80</v>
      </c>
      <c r="AG35" s="165">
        <v>46379</v>
      </c>
      <c r="AH35" s="164"/>
      <c r="AI35" s="163"/>
      <c r="AJ35" s="161"/>
      <c r="AK35" s="161"/>
      <c r="AL35" s="160"/>
      <c r="AM35" s="165"/>
      <c r="AN35" t="s" s="198">
        <v>131</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s="151"/>
      <c r="C36" s="350"/>
      <c r="D36" s="165"/>
      <c r="E36" s="164"/>
      <c r="F36" s="195" cm="1" t="str">
        <f t="array" ref="F36">IF(AG36="","",I36-H36)</f>
        <v/>
      </c>
      <c r="G36" s="160"/>
      <c r="H36" s="158"/>
      <c r="I36" s="159" cm="1" t="str">
        <f t="array" ref="I36">IF(AG36="","",P36-K36)</f>
        <v/>
      </c>
      <c r="J36" s="160"/>
      <c r="K36" s="158"/>
      <c r="L36" s="161"/>
      <c r="M36" s="161"/>
      <c r="N36" s="161"/>
      <c r="O36" s="161"/>
      <c r="P36" s="159" cm="1" t="str">
        <f t="array" ref="P36">IF(AG36="","",AC36-R36-Q36)</f>
        <v/>
      </c>
      <c r="Q36" s="162"/>
      <c r="R36" s="162"/>
      <c r="S36" s="161"/>
      <c r="T36" s="161"/>
      <c r="U36" s="161"/>
      <c r="V36" s="161"/>
      <c r="W36" s="161"/>
      <c r="X36" s="161"/>
      <c r="Y36" s="161"/>
      <c r="Z36" s="161"/>
      <c r="AA36" s="161"/>
      <c r="AB36" s="160"/>
      <c r="AC36" s="163"/>
      <c r="AD36" s="159" cm="1" t="str">
        <f t="array" ref="AD36">IF(AG36="","",$AG36-$AF36)</f>
        <v/>
      </c>
      <c r="AE36" s="160"/>
      <c r="AF36" s="196"/>
      <c r="AG36" s="165"/>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s="151"/>
      <c r="C37" t="s" s="349">
        <v>132</v>
      </c>
      <c r="D37" s="165"/>
      <c r="E37" s="164"/>
      <c r="F37" s="195" cm="1" t="str">
        <f t="array" ref="F37">IF(AG37="","",I37-H37)</f>
        <v/>
      </c>
      <c r="G37" s="160"/>
      <c r="H37" s="158"/>
      <c r="I37" s="159" cm="1" t="str">
        <f t="array" ref="I37">IF(AG37="","",P37-K37)</f>
        <v/>
      </c>
      <c r="J37" s="160"/>
      <c r="K37" s="158"/>
      <c r="L37" s="161"/>
      <c r="M37" s="161"/>
      <c r="N37" s="161"/>
      <c r="O37" s="161"/>
      <c r="P37" s="159" cm="1" t="str">
        <f t="array" ref="P37">IF(AG37="","",AC37-R37-Q37)</f>
        <v/>
      </c>
      <c r="Q37" s="162"/>
      <c r="R37" s="162"/>
      <c r="S37" s="161"/>
      <c r="T37" s="161"/>
      <c r="U37" s="161"/>
      <c r="V37" s="161"/>
      <c r="W37" s="161"/>
      <c r="X37" s="161"/>
      <c r="Y37" s="161"/>
      <c r="Z37" s="161"/>
      <c r="AA37" s="161"/>
      <c r="AB37" s="160"/>
      <c r="AC37" s="163"/>
      <c r="AD37" s="159" cm="1" t="str">
        <f t="array" ref="AD37">IF(AG37="","",$AG37-$AF37)</f>
        <v/>
      </c>
      <c r="AE37" s="160"/>
      <c r="AF37" s="196"/>
      <c r="AG37" s="165"/>
      <c r="AH37" s="164"/>
      <c r="AI37" s="163"/>
      <c r="AJ37" s="161"/>
      <c r="AK37" s="161"/>
      <c r="AL37" s="160"/>
      <c r="AM37" s="165"/>
      <c r="AN37" s="200"/>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t="s" s="167">
        <v>133</v>
      </c>
      <c r="C38" t="s" s="351">
        <v>134</v>
      </c>
      <c r="D38" s="165"/>
      <c r="E38" s="164"/>
      <c r="F38" s="163" cm="1">
        <f t="array" ref="F38">IF(AG38="","",I38-H38)</f>
        <v>46293</v>
      </c>
      <c r="G38" s="160">
        <v>46300</v>
      </c>
      <c r="H38" s="158">
        <v>7</v>
      </c>
      <c r="I38" s="161" cm="1">
        <f t="array" ref="I38">IF(AG38="","",P38-K38)</f>
        <v>46300</v>
      </c>
      <c r="J38" s="160">
        <v>46302</v>
      </c>
      <c r="K38" s="158">
        <v>7</v>
      </c>
      <c r="L38" s="161">
        <v>46302</v>
      </c>
      <c r="M38" s="161"/>
      <c r="N38" s="161"/>
      <c r="O38" s="161"/>
      <c r="P38" s="161" cm="1">
        <f t="array" ref="P38">IF(AG38="","",AC38-R38-Q38)</f>
        <v>46307</v>
      </c>
      <c r="Q38" s="162">
        <v>7</v>
      </c>
      <c r="R38" s="162">
        <v>14</v>
      </c>
      <c r="S38" s="161"/>
      <c r="T38" s="161"/>
      <c r="U38" s="161"/>
      <c r="V38" s="161"/>
      <c r="W38" s="161"/>
      <c r="X38" s="161"/>
      <c r="Y38" s="161"/>
      <c r="Z38" s="161"/>
      <c r="AA38" s="161"/>
      <c r="AB38" s="160"/>
      <c r="AC38" s="163">
        <v>46328</v>
      </c>
      <c r="AD38" s="161" cm="1">
        <f t="array" ref="AD38">IF(AG38="","",$AG38-$AF38)</f>
        <v>46329</v>
      </c>
      <c r="AE38" s="160"/>
      <c r="AF38" s="196">
        <v>90</v>
      </c>
      <c r="AG38" s="165">
        <v>46419</v>
      </c>
      <c r="AH38" s="164"/>
      <c r="AI38" s="163"/>
      <c r="AJ38" s="161"/>
      <c r="AK38" s="161"/>
      <c r="AL38" s="160"/>
      <c r="AM38" s="165"/>
      <c r="AN38" t="s" s="198">
        <v>135</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t="s" s="167">
        <v>136</v>
      </c>
      <c r="C39" t="s" s="349">
        <v>137</v>
      </c>
      <c r="D39" s="165"/>
      <c r="E39" s="164"/>
      <c r="F39" s="163" cm="1">
        <f t="array" ref="F39">IF(AG39="","",I39-H39)</f>
        <v>46346</v>
      </c>
      <c r="G39" s="160"/>
      <c r="H39" s="158">
        <v>7</v>
      </c>
      <c r="I39" s="161" cm="1">
        <f t="array" ref="I39">IF(AG39="","",P39-K39)</f>
        <v>46353</v>
      </c>
      <c r="J39" s="160"/>
      <c r="K39" s="158">
        <v>7</v>
      </c>
      <c r="L39" s="161"/>
      <c r="M39" s="161"/>
      <c r="N39" s="161"/>
      <c r="O39" s="161"/>
      <c r="P39" s="161" cm="1">
        <f t="array" ref="P39">IF(AG39="","",AC39-R39-Q39)</f>
        <v>46360</v>
      </c>
      <c r="Q39" s="162">
        <v>7</v>
      </c>
      <c r="R39" s="162">
        <v>14</v>
      </c>
      <c r="S39" s="161"/>
      <c r="T39" s="161"/>
      <c r="U39" s="161"/>
      <c r="V39" s="161"/>
      <c r="W39" s="161"/>
      <c r="X39" s="161"/>
      <c r="Y39" s="161"/>
      <c r="Z39" s="161"/>
      <c r="AA39" s="161"/>
      <c r="AB39" s="160"/>
      <c r="AC39" s="163">
        <v>46381</v>
      </c>
      <c r="AD39" s="161" cm="1">
        <f t="array" ref="AD39">IF(AG39="","",$AG39-$AF39)</f>
        <v>46389</v>
      </c>
      <c r="AE39" s="160"/>
      <c r="AF39" s="196">
        <v>30</v>
      </c>
      <c r="AG39" s="165">
        <v>46419</v>
      </c>
      <c r="AH39" s="164"/>
      <c r="AI39" s="163"/>
      <c r="AJ39" s="161"/>
      <c r="AK39" s="161"/>
      <c r="AL39" s="160"/>
      <c r="AM39" s="165"/>
      <c r="AN39" t="s" s="169">
        <v>138</v>
      </c>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t="s" s="167">
        <v>139</v>
      </c>
      <c r="C40" t="s" s="349">
        <v>140</v>
      </c>
      <c r="D40" s="165"/>
      <c r="E40" s="164"/>
      <c r="F40" s="163" cm="1">
        <f t="array" ref="F40">IF(AG40="","",I40-H40)</f>
        <v>46346</v>
      </c>
      <c r="G40" s="160"/>
      <c r="H40" s="158">
        <v>7</v>
      </c>
      <c r="I40" s="161" cm="1">
        <f t="array" ref="I40">IF(AG40="","",P40-K40)</f>
        <v>46353</v>
      </c>
      <c r="J40" s="160"/>
      <c r="K40" s="158">
        <v>7</v>
      </c>
      <c r="L40" s="161"/>
      <c r="M40" s="161"/>
      <c r="N40" s="161"/>
      <c r="O40" s="161"/>
      <c r="P40" s="161" cm="1">
        <f t="array" ref="P40">IF(AG40="","",AC40-R40-Q40)</f>
        <v>46360</v>
      </c>
      <c r="Q40" s="162">
        <v>7</v>
      </c>
      <c r="R40" s="162">
        <v>14</v>
      </c>
      <c r="S40" s="161"/>
      <c r="T40" s="161"/>
      <c r="U40" s="161"/>
      <c r="V40" s="161"/>
      <c r="W40" s="161"/>
      <c r="X40" s="161"/>
      <c r="Y40" s="161"/>
      <c r="Z40" s="161"/>
      <c r="AA40" s="161"/>
      <c r="AB40" s="160"/>
      <c r="AC40" s="163">
        <v>46381</v>
      </c>
      <c r="AD40" s="161" cm="1">
        <f t="array" ref="AD40">IF(AG40="","",$AG40-$AF40)</f>
        <v>46389</v>
      </c>
      <c r="AE40" s="160"/>
      <c r="AF40" s="196">
        <v>30</v>
      </c>
      <c r="AG40" s="165">
        <v>46419</v>
      </c>
      <c r="AH40" s="164"/>
      <c r="AI40" s="163"/>
      <c r="AJ40" s="161"/>
      <c r="AK40" s="161"/>
      <c r="AL40" s="160"/>
      <c r="AM40" s="165"/>
      <c r="AN40" t="s" s="169">
        <v>138</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t="s" s="167">
        <v>141</v>
      </c>
      <c r="C41" t="s" s="349">
        <v>142</v>
      </c>
      <c r="D41" s="165"/>
      <c r="E41" s="164"/>
      <c r="F41" s="163" cm="1">
        <f t="array" ref="F41">IF(AG41="","",I41-H41)</f>
        <v>46346</v>
      </c>
      <c r="G41" s="160"/>
      <c r="H41" s="158">
        <v>7</v>
      </c>
      <c r="I41" s="161" cm="1">
        <f t="array" ref="I41">IF(AG41="","",P41-K41)</f>
        <v>46353</v>
      </c>
      <c r="J41" s="160"/>
      <c r="K41" s="158">
        <v>7</v>
      </c>
      <c r="L41" s="161"/>
      <c r="M41" s="161"/>
      <c r="N41" s="161"/>
      <c r="O41" s="161"/>
      <c r="P41" s="161" cm="1">
        <f t="array" ref="P41">IF(AG41="","",AC41-R41-Q41)</f>
        <v>46360</v>
      </c>
      <c r="Q41" s="162">
        <v>7</v>
      </c>
      <c r="R41" s="162">
        <v>14</v>
      </c>
      <c r="S41" s="161"/>
      <c r="T41" s="161"/>
      <c r="U41" s="161"/>
      <c r="V41" s="161"/>
      <c r="W41" s="161"/>
      <c r="X41" s="161"/>
      <c r="Y41" s="161"/>
      <c r="Z41" s="161"/>
      <c r="AA41" s="161"/>
      <c r="AB41" s="160"/>
      <c r="AC41" s="163">
        <v>46381</v>
      </c>
      <c r="AD41" s="161" cm="1">
        <f t="array" ref="AD41">IF(AG41="","",$AG41-$AF41)</f>
        <v>46389</v>
      </c>
      <c r="AE41" s="160"/>
      <c r="AF41" s="196">
        <v>30</v>
      </c>
      <c r="AG41" s="165">
        <v>46419</v>
      </c>
      <c r="AH41" s="164"/>
      <c r="AI41" s="163"/>
      <c r="AJ41" s="161"/>
      <c r="AK41" s="161"/>
      <c r="AL41" s="160"/>
      <c r="AM41" s="165"/>
      <c r="AN41" t="s" s="169">
        <v>138</v>
      </c>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s="151"/>
      <c r="C42" s="350"/>
      <c r="D42" s="165"/>
      <c r="E42" s="164"/>
      <c r="F42" s="195" cm="1" t="str">
        <f t="array" ref="F42">IF(AG42="","",I42-H42)</f>
        <v/>
      </c>
      <c r="G42" s="160"/>
      <c r="H42" s="158"/>
      <c r="I42" s="159" cm="1" t="str">
        <f t="array" ref="I42">IF(AG42="","",P42-K42)</f>
        <v/>
      </c>
      <c r="J42" s="160"/>
      <c r="K42" s="158"/>
      <c r="L42" s="161"/>
      <c r="M42" s="161"/>
      <c r="N42" s="161"/>
      <c r="O42" s="161"/>
      <c r="P42" s="159" cm="1" t="str">
        <f t="array" ref="P42">IF(AG42="","",AC42-R42-Q42)</f>
        <v/>
      </c>
      <c r="Q42" s="162"/>
      <c r="R42" s="162"/>
      <c r="S42" s="161"/>
      <c r="T42" s="161"/>
      <c r="U42" s="161"/>
      <c r="V42" s="161"/>
      <c r="W42" s="161"/>
      <c r="X42" s="161"/>
      <c r="Y42" s="161"/>
      <c r="Z42" s="161"/>
      <c r="AA42" s="161"/>
      <c r="AB42" s="160"/>
      <c r="AC42" s="163"/>
      <c r="AD42" s="159" cm="1" t="str">
        <f t="array" ref="AD42">IF(AG42="","",$AG42-$AF42)</f>
        <v/>
      </c>
      <c r="AE42" s="160"/>
      <c r="AF42" s="196"/>
      <c r="AG42" s="165"/>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t="s" s="349">
        <v>143</v>
      </c>
      <c r="D43" s="165"/>
      <c r="E43" s="164"/>
      <c r="F43" s="195" cm="1" t="str">
        <f t="array" ref="F43">IF(AG43="","",I43-H43)</f>
        <v/>
      </c>
      <c r="G43" s="160"/>
      <c r="H43" s="158"/>
      <c r="I43" s="159" cm="1" t="str">
        <f t="array" ref="I43">IF(AG43="","",P43-K43)</f>
        <v/>
      </c>
      <c r="J43" s="160"/>
      <c r="K43" s="158"/>
      <c r="L43" s="161"/>
      <c r="M43" s="161"/>
      <c r="N43" s="161"/>
      <c r="O43" s="161"/>
      <c r="P43" s="159" cm="1" t="str">
        <f t="array" ref="P43">IF(AG43="","",AC43-R43-Q43)</f>
        <v/>
      </c>
      <c r="Q43" s="162"/>
      <c r="R43" s="162"/>
      <c r="S43" s="161"/>
      <c r="T43" s="161"/>
      <c r="U43" s="161"/>
      <c r="V43" s="161"/>
      <c r="W43" s="161"/>
      <c r="X43" s="161"/>
      <c r="Y43" s="161"/>
      <c r="Z43" s="161"/>
      <c r="AA43" s="161"/>
      <c r="AB43" s="160"/>
      <c r="AC43" s="163"/>
      <c r="AD43" s="159" cm="1" t="str">
        <f t="array" ref="AD43">IF(AG43="","",$AG43-$AF43)</f>
        <v/>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t="s" s="167">
        <v>144</v>
      </c>
      <c r="C44" t="s" s="349">
        <v>145</v>
      </c>
      <c r="D44" s="165"/>
      <c r="E44" s="164"/>
      <c r="F44" s="163" cm="1">
        <f t="array" ref="F44">IF(AG44="","",I44-H44)</f>
        <v>46345</v>
      </c>
      <c r="G44" s="160">
        <v>46276</v>
      </c>
      <c r="H44" s="158">
        <v>7</v>
      </c>
      <c r="I44" s="161" cm="1">
        <f t="array" ref="I44">IF(AG44="","",P44-K44)</f>
        <v>46352</v>
      </c>
      <c r="J44" s="160">
        <v>46291</v>
      </c>
      <c r="K44" s="158">
        <v>7</v>
      </c>
      <c r="L44" s="161"/>
      <c r="M44" s="161"/>
      <c r="N44" s="161"/>
      <c r="O44" s="161"/>
      <c r="P44" s="161" cm="1">
        <f t="array" ref="P44">IF(AG44="","",AC44-R44-Q44)</f>
        <v>46359</v>
      </c>
      <c r="Q44" s="162">
        <v>7</v>
      </c>
      <c r="R44" s="162">
        <v>14</v>
      </c>
      <c r="S44" s="161"/>
      <c r="T44" s="161"/>
      <c r="U44" s="161"/>
      <c r="V44" s="161"/>
      <c r="W44" s="161"/>
      <c r="X44" s="161"/>
      <c r="Y44" s="161"/>
      <c r="Z44" s="161"/>
      <c r="AA44" s="161"/>
      <c r="AB44" s="160"/>
      <c r="AC44" s="163">
        <v>46380</v>
      </c>
      <c r="AD44" s="161" cm="1">
        <f t="array" ref="AD44">IF(AG44="","",$AG44-$AF44)</f>
        <v>46380</v>
      </c>
      <c r="AE44" s="160"/>
      <c r="AF44" s="196">
        <v>60</v>
      </c>
      <c r="AG44" s="165">
        <v>46440</v>
      </c>
      <c r="AH44" s="164"/>
      <c r="AI44" s="163"/>
      <c r="AJ44" s="161"/>
      <c r="AK44" s="161"/>
      <c r="AL44" s="160"/>
      <c r="AM44" s="165"/>
      <c r="AN44" t="s" s="169">
        <v>146</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350"/>
      <c r="D45" s="165"/>
      <c r="E45" s="164"/>
      <c r="F45" s="195" cm="1" t="str">
        <f t="array" ref="F45">IF(AG45="","",I45-H45)</f>
        <v/>
      </c>
      <c r="G45" s="160"/>
      <c r="H45" s="158"/>
      <c r="I45" s="159" cm="1" t="str">
        <f t="array" ref="I45">IF(AG45="","",P45-K45)</f>
        <v/>
      </c>
      <c r="J45" s="160"/>
      <c r="K45" s="158"/>
      <c r="L45" s="161"/>
      <c r="M45" s="161"/>
      <c r="N45" s="161"/>
      <c r="O45" s="161"/>
      <c r="P45" s="159" cm="1" t="str">
        <f t="array" ref="P45">IF(AG45="","",AC45-R45-Q45)</f>
        <v/>
      </c>
      <c r="Q45" s="162"/>
      <c r="R45" s="162"/>
      <c r="S45" s="161"/>
      <c r="T45" s="161"/>
      <c r="U45" s="161"/>
      <c r="V45" s="161"/>
      <c r="W45" s="161"/>
      <c r="X45" s="161"/>
      <c r="Y45" s="161"/>
      <c r="Z45" s="161"/>
      <c r="AA45" s="161"/>
      <c r="AB45" s="160"/>
      <c r="AC45" s="163"/>
      <c r="AD45" s="159" cm="1" t="str">
        <f t="array" ref="AD45">IF(AG45="","",$AG45-$AF45)</f>
        <v/>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349">
        <v>147</v>
      </c>
      <c r="D46" s="165"/>
      <c r="E46" s="164"/>
      <c r="F46" s="195" cm="1" t="str">
        <f t="array" ref="F46">IF(AG46="","",I46-H46)</f>
        <v/>
      </c>
      <c r="G46" s="160"/>
      <c r="H46" s="158"/>
      <c r="I46" s="159" cm="1" t="str">
        <f t="array" ref="I46">IF(AG46="","",P46-K46)</f>
        <v/>
      </c>
      <c r="J46" s="160"/>
      <c r="K46" s="158"/>
      <c r="L46" s="161"/>
      <c r="M46" s="161"/>
      <c r="N46" s="161"/>
      <c r="O46" s="161"/>
      <c r="P46" s="159" cm="1" t="str">
        <f t="array" ref="P46">IF(AG46="","",AC46-R46-Q46)</f>
        <v/>
      </c>
      <c r="Q46" s="162"/>
      <c r="R46" s="162"/>
      <c r="S46" s="161"/>
      <c r="T46" s="161"/>
      <c r="U46" s="161"/>
      <c r="V46" s="161"/>
      <c r="W46" s="161"/>
      <c r="X46" s="161"/>
      <c r="Y46" s="161"/>
      <c r="Z46" s="161"/>
      <c r="AA46" s="161"/>
      <c r="AB46" s="160"/>
      <c r="AC46" s="163"/>
      <c r="AD46" s="159" cm="1" t="str">
        <f t="array" ref="AD46">IF(AG46="","",$AG46-$AF46)</f>
        <v/>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t="s" s="167">
        <v>148</v>
      </c>
      <c r="C47" t="s" s="349">
        <v>149</v>
      </c>
      <c r="D47" s="165"/>
      <c r="E47" s="164"/>
      <c r="F47" s="163" cm="1">
        <f t="array" ref="F47">IF(AG47="","",I47-H47)</f>
        <v>46381</v>
      </c>
      <c r="G47" s="160">
        <v>46297</v>
      </c>
      <c r="H47" s="158">
        <v>7</v>
      </c>
      <c r="I47" s="161" cm="1">
        <f t="array" ref="I47">IF(AG47="","",P47-K47)</f>
        <v>46388</v>
      </c>
      <c r="J47" s="160">
        <v>46302</v>
      </c>
      <c r="K47" s="158">
        <v>7</v>
      </c>
      <c r="L47" s="161">
        <v>46302</v>
      </c>
      <c r="M47" s="161"/>
      <c r="N47" s="161"/>
      <c r="O47" s="161"/>
      <c r="P47" s="161" cm="1">
        <f t="array" ref="P47">IF(AG47="","",AC47-R47-Q47)</f>
        <v>46395</v>
      </c>
      <c r="Q47" s="162">
        <v>7</v>
      </c>
      <c r="R47" s="162">
        <v>14</v>
      </c>
      <c r="S47" s="161"/>
      <c r="T47" s="161"/>
      <c r="U47" s="161"/>
      <c r="V47" s="161"/>
      <c r="W47" s="161"/>
      <c r="X47" s="161"/>
      <c r="Y47" s="161"/>
      <c r="Z47" s="161"/>
      <c r="AA47" s="161"/>
      <c r="AB47" s="160"/>
      <c r="AC47" s="163">
        <v>46416</v>
      </c>
      <c r="AD47" s="161" cm="1">
        <f t="array" ref="AD47">IF(AG47="","",$AG47-$AF47)</f>
        <v>46417</v>
      </c>
      <c r="AE47" s="160"/>
      <c r="AF47" s="196">
        <v>30</v>
      </c>
      <c r="AG47" s="165">
        <v>46447</v>
      </c>
      <c r="AH47" s="164"/>
      <c r="AI47" s="163"/>
      <c r="AJ47" s="161"/>
      <c r="AK47" s="161"/>
      <c r="AL47" s="160"/>
      <c r="AM47" s="165"/>
      <c r="AN47" t="s" s="169">
        <v>138</v>
      </c>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350"/>
      <c r="D48" s="165"/>
      <c r="E48" s="164"/>
      <c r="F48" s="195" cm="1" t="str">
        <f t="array" ref="F48">IF(AG48="","",I48-H48)</f>
        <v/>
      </c>
      <c r="G48" s="160"/>
      <c r="H48" s="158"/>
      <c r="I48" s="159" cm="1" t="str">
        <f t="array" ref="I48">IF(AG48="","",P48-K48)</f>
        <v/>
      </c>
      <c r="J48" s="160"/>
      <c r="K48" s="158"/>
      <c r="L48" s="161"/>
      <c r="M48" s="161"/>
      <c r="N48" s="161"/>
      <c r="O48" s="161"/>
      <c r="P48" s="159" cm="1" t="str">
        <f t="array" ref="P48">IF(AG48="","",AC48-R48-Q48)</f>
        <v/>
      </c>
      <c r="Q48" s="162"/>
      <c r="R48" s="162"/>
      <c r="S48" s="161"/>
      <c r="T48" s="161"/>
      <c r="U48" s="161"/>
      <c r="V48" s="161"/>
      <c r="W48" s="161"/>
      <c r="X48" s="161"/>
      <c r="Y48" s="161"/>
      <c r="Z48" s="161"/>
      <c r="AA48" s="161"/>
      <c r="AB48" s="160"/>
      <c r="AC48" s="163"/>
      <c r="AD48" s="159" cm="1" t="str">
        <f t="array" ref="AD48">IF(AG48="","",$AG48-$AF48)</f>
        <v/>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t="s" s="349">
        <v>150</v>
      </c>
      <c r="D49" s="165"/>
      <c r="E49" s="164"/>
      <c r="F49" s="195" cm="1" t="str">
        <f t="array" ref="F49">IF(AG49="","",I49-H49)</f>
        <v/>
      </c>
      <c r="G49" s="160"/>
      <c r="H49" s="158"/>
      <c r="I49" s="159" cm="1" t="str">
        <f t="array" ref="I49">IF(AG49="","",P49-K49)</f>
        <v/>
      </c>
      <c r="J49" s="160"/>
      <c r="K49" s="158"/>
      <c r="L49" s="161"/>
      <c r="M49" s="161"/>
      <c r="N49" s="161"/>
      <c r="O49" s="161"/>
      <c r="P49" s="159" cm="1" t="str">
        <f t="array" ref="P49">IF(AG49="","",AC49-R49-Q49)</f>
        <v/>
      </c>
      <c r="Q49" s="162"/>
      <c r="R49" s="162"/>
      <c r="S49" s="161"/>
      <c r="T49" s="161"/>
      <c r="U49" s="161"/>
      <c r="V49" s="161"/>
      <c r="W49" s="161"/>
      <c r="X49" s="161"/>
      <c r="Y49" s="161"/>
      <c r="Z49" s="161"/>
      <c r="AA49" s="161"/>
      <c r="AB49" s="160"/>
      <c r="AC49" s="163"/>
      <c r="AD49" s="159" cm="1" t="str">
        <f t="array" ref="AD49">IF(AG49="","",$AG49-$AF49)</f>
        <v/>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t="s" s="167">
        <v>151</v>
      </c>
      <c r="C50" t="s" s="349">
        <v>152</v>
      </c>
      <c r="D50" s="165"/>
      <c r="E50" s="164"/>
      <c r="F50" s="163" cm="1">
        <f t="array" ref="F50">IF(AG50="","",I50-H50)</f>
        <v>46395</v>
      </c>
      <c r="G50" s="160"/>
      <c r="H50" s="158">
        <v>7</v>
      </c>
      <c r="I50" s="161" cm="1">
        <f t="array" ref="I50">IF(AG50="","",P50-K50)</f>
        <v>46402</v>
      </c>
      <c r="J50" s="160"/>
      <c r="K50" s="158">
        <v>7</v>
      </c>
      <c r="L50" s="161"/>
      <c r="M50" s="161"/>
      <c r="N50" s="161"/>
      <c r="O50" s="161"/>
      <c r="P50" s="161" cm="1">
        <f t="array" ref="P50">IF(AG50="","",AC50-R50-Q50)</f>
        <v>46409</v>
      </c>
      <c r="Q50" s="162">
        <v>7</v>
      </c>
      <c r="R50" s="162">
        <v>14</v>
      </c>
      <c r="S50" s="161"/>
      <c r="T50" s="161"/>
      <c r="U50" s="161"/>
      <c r="V50" s="161"/>
      <c r="W50" s="161"/>
      <c r="X50" s="161"/>
      <c r="Y50" s="161"/>
      <c r="Z50" s="161"/>
      <c r="AA50" s="161"/>
      <c r="AB50" s="160"/>
      <c r="AC50" s="163">
        <v>46430</v>
      </c>
      <c r="AD50" s="161" cm="1">
        <f t="array" ref="AD50">IF(AG50="","",$AG50-$AF50)</f>
        <v>46432</v>
      </c>
      <c r="AE50" s="160"/>
      <c r="AF50" s="196">
        <v>30</v>
      </c>
      <c r="AG50" s="165">
        <v>46462</v>
      </c>
      <c r="AH50" s="164"/>
      <c r="AI50" s="163"/>
      <c r="AJ50" s="161"/>
      <c r="AK50" s="161"/>
      <c r="AL50" s="160"/>
      <c r="AM50" s="165"/>
      <c r="AN50" t="s" s="169">
        <v>153</v>
      </c>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350"/>
      <c r="D51" s="165"/>
      <c r="E51" s="164"/>
      <c r="F51" s="195" cm="1" t="str">
        <f t="array" ref="F51">IF(AG51="","",I51-H51)</f>
        <v/>
      </c>
      <c r="G51" s="160"/>
      <c r="H51" s="158"/>
      <c r="I51" s="159" cm="1" t="str">
        <f t="array" ref="I51">IF(AG51="","",P51-K51)</f>
        <v/>
      </c>
      <c r="J51" s="160"/>
      <c r="K51" s="158"/>
      <c r="L51" s="161"/>
      <c r="M51" s="161"/>
      <c r="N51" s="161"/>
      <c r="O51" s="161"/>
      <c r="P51" s="159" cm="1" t="str">
        <f t="array" ref="P51">IF(AG51="","",AC51-R51-Q51)</f>
        <v/>
      </c>
      <c r="Q51" s="162"/>
      <c r="R51" s="162"/>
      <c r="S51" s="161"/>
      <c r="T51" s="161"/>
      <c r="U51" s="161"/>
      <c r="V51" s="161"/>
      <c r="W51" s="161"/>
      <c r="X51" s="161"/>
      <c r="Y51" s="161"/>
      <c r="Z51" s="161"/>
      <c r="AA51" s="161"/>
      <c r="AB51" s="160"/>
      <c r="AC51" s="163"/>
      <c r="AD51" s="159" cm="1" t="str">
        <f t="array" ref="AD51">IF(AG51="","",$AG51-$AF51)</f>
        <v/>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s="349"/>
      <c r="D52" s="165"/>
      <c r="E52" s="164"/>
      <c r="F52" s="195" cm="1" t="str">
        <f t="array" ref="F52">IF(AG52="","",I52-H52)</f>
        <v/>
      </c>
      <c r="G52" s="160"/>
      <c r="H52" s="158"/>
      <c r="I52" s="159" cm="1" t="str">
        <f t="array" ref="I52">IF(AG52="","",P52-K52)</f>
        <v/>
      </c>
      <c r="J52" s="160"/>
      <c r="K52" s="158"/>
      <c r="L52" s="161"/>
      <c r="M52" s="161"/>
      <c r="N52" s="161"/>
      <c r="O52" s="161"/>
      <c r="P52" s="159" cm="1" t="str">
        <f t="array" ref="P52">IF(AG52="","",AC52-R52-Q52)</f>
        <v/>
      </c>
      <c r="Q52" s="162"/>
      <c r="R52" s="162"/>
      <c r="S52" s="161"/>
      <c r="T52" s="161"/>
      <c r="U52" s="161"/>
      <c r="V52" s="161"/>
      <c r="W52" s="161"/>
      <c r="X52" s="161"/>
      <c r="Y52" s="161"/>
      <c r="Z52" s="161"/>
      <c r="AA52" s="161"/>
      <c r="AB52" s="160"/>
      <c r="AC52" s="163"/>
      <c r="AD52" s="159" cm="1" t="str">
        <f t="array" ref="AD52">IF(AG52="","",$AG52-$AF52)</f>
        <v/>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350"/>
      <c r="D53" s="165"/>
      <c r="E53" s="164"/>
      <c r="F53" s="195" cm="1" t="str">
        <f t="array" ref="F53">IF(AG53="","",I53-H53)</f>
        <v/>
      </c>
      <c r="G53" s="160"/>
      <c r="H53" s="158"/>
      <c r="I53" s="159" cm="1" t="str">
        <f t="array" ref="I53">IF(AG53="","",P53-K53)</f>
        <v/>
      </c>
      <c r="J53" s="160"/>
      <c r="K53" s="158"/>
      <c r="L53" s="161"/>
      <c r="M53" s="161"/>
      <c r="N53" s="161"/>
      <c r="O53" s="161"/>
      <c r="P53" s="159" cm="1" t="str">
        <f t="array" ref="P53">IF(AG53="","",AC53-R53-Q53)</f>
        <v/>
      </c>
      <c r="Q53" s="162"/>
      <c r="R53" s="162"/>
      <c r="S53" s="161"/>
      <c r="T53" s="161"/>
      <c r="U53" s="161"/>
      <c r="V53" s="161"/>
      <c r="W53" s="161"/>
      <c r="X53" s="161"/>
      <c r="Y53" s="161"/>
      <c r="Z53" s="161"/>
      <c r="AA53" s="161"/>
      <c r="AB53" s="160"/>
      <c r="AC53" s="163"/>
      <c r="AD53" s="159" cm="1" t="str">
        <f t="array" ref="AD53">IF(AG53="","",$AG53-$AF53)</f>
        <v/>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s="350"/>
      <c r="D54" s="165"/>
      <c r="E54" s="164"/>
      <c r="F54" s="195" cm="1" t="str">
        <f t="array" ref="F54">IF(AG54="","",I54-H54)</f>
        <v/>
      </c>
      <c r="G54" s="160"/>
      <c r="H54" s="158"/>
      <c r="I54" s="159" cm="1" t="str">
        <f t="array" ref="I54">IF(AG54="","",P54-K54)</f>
        <v/>
      </c>
      <c r="J54" s="160"/>
      <c r="K54" s="158"/>
      <c r="L54" s="161"/>
      <c r="M54" s="161"/>
      <c r="N54" s="161"/>
      <c r="O54" s="161"/>
      <c r="P54" s="159" cm="1" t="str">
        <f t="array" ref="P54">IF(AG54="","",AC54-R54-Q54)</f>
        <v/>
      </c>
      <c r="Q54" s="162"/>
      <c r="R54" s="162"/>
      <c r="S54" s="161"/>
      <c r="T54" s="161"/>
      <c r="U54" s="161"/>
      <c r="V54" s="161"/>
      <c r="W54" s="161"/>
      <c r="X54" s="161"/>
      <c r="Y54" s="161"/>
      <c r="Z54" s="161"/>
      <c r="AA54" s="161"/>
      <c r="AB54" s="160"/>
      <c r="AC54" s="163"/>
      <c r="AD54" s="159" cm="1" t="str">
        <f t="array" ref="AD54">IF(AG54="","",$AG54-$AF54)</f>
        <v/>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s="350"/>
      <c r="D55" s="165"/>
      <c r="E55" s="164"/>
      <c r="F55" s="195" cm="1" t="str">
        <f t="array" ref="F55">IF(AG55="","",I55-H55)</f>
        <v/>
      </c>
      <c r="G55" s="160"/>
      <c r="H55" s="158"/>
      <c r="I55" s="159" cm="1" t="str">
        <f t="array" ref="I55">IF(AG55="","",P55-K55)</f>
        <v/>
      </c>
      <c r="J55" s="160"/>
      <c r="K55" s="158"/>
      <c r="L55" s="161"/>
      <c r="M55" s="161"/>
      <c r="N55" s="161"/>
      <c r="O55" s="161"/>
      <c r="P55" s="159" cm="1" t="str">
        <f t="array" ref="P55">IF(AG55="","",AC55-R55-Q55)</f>
        <v/>
      </c>
      <c r="Q55" s="162"/>
      <c r="R55" s="162"/>
      <c r="S55" s="161"/>
      <c r="T55" s="161"/>
      <c r="U55" s="161"/>
      <c r="V55" s="161"/>
      <c r="W55" s="161"/>
      <c r="X55" s="161"/>
      <c r="Y55" s="161"/>
      <c r="Z55" s="161"/>
      <c r="AA55" s="161"/>
      <c r="AB55" s="160"/>
      <c r="AC55" s="163"/>
      <c r="AD55" s="159" cm="1" t="str">
        <f t="array" ref="AD55">IF(AG55="","",$AG55-$AF55)</f>
        <v/>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350"/>
      <c r="D56" s="165"/>
      <c r="E56" s="164"/>
      <c r="F56" s="195" cm="1" t="str">
        <f t="array" ref="F56">IF(AG56="","",I56-H56)</f>
        <v/>
      </c>
      <c r="G56" s="160"/>
      <c r="H56" s="158"/>
      <c r="I56" s="159" cm="1" t="str">
        <f t="array" ref="I56">IF(AG56="","",P56-K56)</f>
        <v/>
      </c>
      <c r="J56" s="160"/>
      <c r="K56" s="158"/>
      <c r="L56" s="161"/>
      <c r="M56" s="161"/>
      <c r="N56" s="161"/>
      <c r="O56" s="161"/>
      <c r="P56" s="159" cm="1" t="str">
        <f t="array" ref="P56">IF(AG56="","",AC56-R56-Q56)</f>
        <v/>
      </c>
      <c r="Q56" s="162"/>
      <c r="R56" s="162"/>
      <c r="S56" s="161"/>
      <c r="T56" s="161"/>
      <c r="U56" s="161"/>
      <c r="V56" s="161"/>
      <c r="W56" s="161"/>
      <c r="X56" s="161"/>
      <c r="Y56" s="161"/>
      <c r="Z56" s="161"/>
      <c r="AA56" s="161"/>
      <c r="AB56" s="160"/>
      <c r="AC56" s="163"/>
      <c r="AD56" s="159" cm="1" t="str">
        <f t="array" ref="AD56">IF(AG56="","",$AG56-$AF56)</f>
        <v/>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350"/>
      <c r="D57" s="165"/>
      <c r="E57" s="164"/>
      <c r="F57" s="195" cm="1" t="str">
        <f t="array" ref="F57">IF(AG57="","",I57-H57)</f>
        <v/>
      </c>
      <c r="G57" s="160"/>
      <c r="H57" s="158"/>
      <c r="I57" s="159" cm="1" t="str">
        <f t="array" ref="I57">IF(AG57="","",P57-K57)</f>
        <v/>
      </c>
      <c r="J57" s="160"/>
      <c r="K57" s="158"/>
      <c r="L57" s="161"/>
      <c r="M57" s="161"/>
      <c r="N57" s="161"/>
      <c r="O57" s="161"/>
      <c r="P57" s="159" cm="1" t="str">
        <f t="array" ref="P57">IF(AG57="","",AC57-R57-Q57)</f>
        <v/>
      </c>
      <c r="Q57" s="162"/>
      <c r="R57" s="162"/>
      <c r="S57" s="161"/>
      <c r="T57" s="161"/>
      <c r="U57" s="161"/>
      <c r="V57" s="161"/>
      <c r="W57" s="161"/>
      <c r="X57" s="161"/>
      <c r="Y57" s="161"/>
      <c r="Z57" s="161"/>
      <c r="AA57" s="161"/>
      <c r="AB57" s="160"/>
      <c r="AC57" s="163"/>
      <c r="AD57" s="159" cm="1" t="str">
        <f t="array" ref="AD57">IF(AG57="","",$AG57-$AF57)</f>
        <v/>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350"/>
      <c r="D58" s="165"/>
      <c r="E58" s="164"/>
      <c r="F58" s="195" cm="1" t="str">
        <f t="array" ref="F58">IF(AG58="","",I58-H58)</f>
        <v/>
      </c>
      <c r="G58" s="160"/>
      <c r="H58" s="158"/>
      <c r="I58" s="159" cm="1" t="str">
        <f t="array" ref="I58">IF(AG58="","",P58-K58)</f>
        <v/>
      </c>
      <c r="J58" s="160"/>
      <c r="K58" s="158"/>
      <c r="L58" s="161"/>
      <c r="M58" s="161"/>
      <c r="N58" s="161"/>
      <c r="O58" s="161"/>
      <c r="P58" s="159" cm="1" t="str">
        <f t="array" ref="P58">IF(AG58="","",AC58-R58-Q58)</f>
        <v/>
      </c>
      <c r="Q58" s="162"/>
      <c r="R58" s="162"/>
      <c r="S58" s="161"/>
      <c r="T58" s="161"/>
      <c r="U58" s="161"/>
      <c r="V58" s="161"/>
      <c r="W58" s="161"/>
      <c r="X58" s="161"/>
      <c r="Y58" s="161"/>
      <c r="Z58" s="161"/>
      <c r="AA58" s="161"/>
      <c r="AB58" s="160"/>
      <c r="AC58" s="163"/>
      <c r="AD58" s="159" cm="1" t="str">
        <f t="array" ref="AD58">IF(AG58="","",$AG58-$AF58)</f>
        <v/>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350"/>
      <c r="D59" s="165"/>
      <c r="E59" s="164"/>
      <c r="F59" s="195" cm="1" t="str">
        <f t="array" ref="F59">IF(AG59="","",I59-H59)</f>
        <v/>
      </c>
      <c r="G59" s="160"/>
      <c r="H59" s="158"/>
      <c r="I59" s="159" cm="1" t="str">
        <f t="array" ref="I59">IF(AG59="","",P59-K59)</f>
        <v/>
      </c>
      <c r="J59" s="160"/>
      <c r="K59" s="158"/>
      <c r="L59" s="161"/>
      <c r="M59" s="161"/>
      <c r="N59" s="161"/>
      <c r="O59" s="161"/>
      <c r="P59" s="159" cm="1" t="str">
        <f t="array" ref="P59">IF(AG59="","",AC59-R59-Q59)</f>
        <v/>
      </c>
      <c r="Q59" s="162"/>
      <c r="R59" s="162"/>
      <c r="S59" s="161"/>
      <c r="T59" s="161"/>
      <c r="U59" s="161"/>
      <c r="V59" s="161"/>
      <c r="W59" s="161"/>
      <c r="X59" s="161"/>
      <c r="Y59" s="161"/>
      <c r="Z59" s="161"/>
      <c r="AA59" s="161"/>
      <c r="AB59" s="160"/>
      <c r="AC59" s="163"/>
      <c r="AD59" s="159" cm="1" t="str">
        <f t="array" ref="AD59">IF(AG59="","",$AG59-$AF59)</f>
        <v/>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350"/>
      <c r="D60" s="165"/>
      <c r="E60" s="164"/>
      <c r="F60" s="195" cm="1" t="str">
        <f t="array" ref="F60">IF(AG60="","",I60-H60)</f>
        <v/>
      </c>
      <c r="G60" s="160"/>
      <c r="H60" s="158"/>
      <c r="I60" s="159" cm="1" t="str">
        <f t="array" ref="I60">IF(AG60="","",P60-K60)</f>
        <v/>
      </c>
      <c r="J60" s="160"/>
      <c r="K60" s="158"/>
      <c r="L60" s="161"/>
      <c r="M60" s="161"/>
      <c r="N60" s="161"/>
      <c r="O60" s="161"/>
      <c r="P60" s="159" cm="1" t="str">
        <f t="array" ref="P60">IF(AG60="","",AC60-R60-Q60)</f>
        <v/>
      </c>
      <c r="Q60" s="162"/>
      <c r="R60" s="162"/>
      <c r="S60" s="161"/>
      <c r="T60" s="161"/>
      <c r="U60" s="161"/>
      <c r="V60" s="161"/>
      <c r="W60" s="161"/>
      <c r="X60" s="161"/>
      <c r="Y60" s="161"/>
      <c r="Z60" s="161"/>
      <c r="AA60" s="161"/>
      <c r="AB60" s="160"/>
      <c r="AC60" s="163"/>
      <c r="AD60" s="159" cm="1" t="str">
        <f t="array" ref="AD60">IF(AG60="","",$AG60-$AF60)</f>
        <v/>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s="349"/>
      <c r="D61" s="165"/>
      <c r="E61" s="164"/>
      <c r="F61" s="195" cm="1" t="str">
        <f t="array" ref="F61">IF(AG61="","",I61-H61)</f>
        <v/>
      </c>
      <c r="G61" s="160"/>
      <c r="H61" s="158"/>
      <c r="I61" s="159" cm="1" t="str">
        <f t="array" ref="I61">IF(AG61="","",P61-K61)</f>
        <v/>
      </c>
      <c r="J61" s="160"/>
      <c r="K61" s="158"/>
      <c r="L61" s="161"/>
      <c r="M61" s="161"/>
      <c r="N61" s="161"/>
      <c r="O61" s="161"/>
      <c r="P61" s="159" cm="1" t="str">
        <f t="array" ref="P61">IF(AG61="","",AC61-R61-Q61)</f>
        <v/>
      </c>
      <c r="Q61" s="162"/>
      <c r="R61" s="162"/>
      <c r="S61" s="161"/>
      <c r="T61" s="161"/>
      <c r="U61" s="161"/>
      <c r="V61" s="161"/>
      <c r="W61" s="161"/>
      <c r="X61" s="161"/>
      <c r="Y61" s="161"/>
      <c r="Z61" s="161"/>
      <c r="AA61" s="161"/>
      <c r="AB61" s="160"/>
      <c r="AC61" s="163"/>
      <c r="AD61" s="159" cm="1" t="str">
        <f t="array" ref="AD61">IF(AG61="","",$AG61-$AF61)</f>
        <v/>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350"/>
      <c r="D62" s="165"/>
      <c r="E62" s="164"/>
      <c r="F62" s="195" cm="1" t="str">
        <f t="array" ref="F62">IF(AG62="","",I62-H62)</f>
        <v/>
      </c>
      <c r="G62" s="160"/>
      <c r="H62" s="158"/>
      <c r="I62" s="159" cm="1" t="str">
        <f t="array" ref="I62">IF(AG62="","",P62-K62)</f>
        <v/>
      </c>
      <c r="J62" s="160"/>
      <c r="K62" s="158"/>
      <c r="L62" s="161"/>
      <c r="M62" s="161"/>
      <c r="N62" s="161"/>
      <c r="O62" s="161"/>
      <c r="P62" s="159" cm="1" t="str">
        <f t="array" ref="P62">IF(AG62="","",AC62-R62-Q62)</f>
        <v/>
      </c>
      <c r="Q62" s="162"/>
      <c r="R62" s="162"/>
      <c r="S62" s="161"/>
      <c r="T62" s="161"/>
      <c r="U62" s="161"/>
      <c r="V62" s="161"/>
      <c r="W62" s="161"/>
      <c r="X62" s="161"/>
      <c r="Y62" s="161"/>
      <c r="Z62" s="161"/>
      <c r="AA62" s="161"/>
      <c r="AB62" s="160"/>
      <c r="AC62" s="163"/>
      <c r="AD62" s="159" cm="1" t="str">
        <f t="array" ref="AD62">IF(AG62="","",$AG62-$AF62)</f>
        <v/>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s="350"/>
      <c r="D63" s="165"/>
      <c r="E63" s="164"/>
      <c r="F63" s="195" cm="1" t="str">
        <f t="array" ref="F63">IF(AG63="","",I63-H63)</f>
        <v/>
      </c>
      <c r="G63" s="160"/>
      <c r="H63" s="158"/>
      <c r="I63" s="159" cm="1" t="str">
        <f t="array" ref="I63">IF(AG63="","",P63-K63)</f>
        <v/>
      </c>
      <c r="J63" s="160"/>
      <c r="K63" s="158"/>
      <c r="L63" s="161"/>
      <c r="M63" s="161"/>
      <c r="N63" s="161"/>
      <c r="O63" s="161"/>
      <c r="P63" s="159" cm="1" t="str">
        <f t="array" ref="P63">IF(AG63="","",AC63-R63-Q63)</f>
        <v/>
      </c>
      <c r="Q63" s="162"/>
      <c r="R63" s="162"/>
      <c r="S63" s="161"/>
      <c r="T63" s="161"/>
      <c r="U63" s="161"/>
      <c r="V63" s="161"/>
      <c r="W63" s="161"/>
      <c r="X63" s="161"/>
      <c r="Y63" s="161"/>
      <c r="Z63" s="161"/>
      <c r="AA63" s="161"/>
      <c r="AB63" s="160"/>
      <c r="AC63" s="163"/>
      <c r="AD63" s="159" cm="1" t="str">
        <f t="array" ref="AD63">IF(AG63="","",$AG63-$AF63)</f>
        <v/>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350"/>
      <c r="D64" s="165"/>
      <c r="E64" s="164"/>
      <c r="F64" s="195" cm="1" t="str">
        <f t="array" ref="F64">IF(AG64="","",I64-H64)</f>
        <v/>
      </c>
      <c r="G64" s="160"/>
      <c r="H64" s="158"/>
      <c r="I64" s="159" cm="1" t="str">
        <f t="array" ref="I64">IF(AG64="","",P64-K64)</f>
        <v/>
      </c>
      <c r="J64" s="160"/>
      <c r="K64" s="158"/>
      <c r="L64" s="161"/>
      <c r="M64" s="161"/>
      <c r="N64" s="161"/>
      <c r="O64" s="161"/>
      <c r="P64" s="159" cm="1" t="str">
        <f t="array" ref="P64">IF(AG64="","",AC64-R64-Q64)</f>
        <v/>
      </c>
      <c r="Q64" s="162"/>
      <c r="R64" s="162"/>
      <c r="S64" s="161"/>
      <c r="T64" s="161"/>
      <c r="U64" s="161"/>
      <c r="V64" s="161"/>
      <c r="W64" s="161"/>
      <c r="X64" s="161"/>
      <c r="Y64" s="161"/>
      <c r="Z64" s="161"/>
      <c r="AA64" s="161"/>
      <c r="AB64" s="160"/>
      <c r="AC64" s="163"/>
      <c r="AD64" s="159" cm="1" t="str">
        <f t="array" ref="AD64">IF(AG64="","",$AG64-$AF64)</f>
        <v/>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350"/>
      <c r="D65" s="165"/>
      <c r="E65" s="164"/>
      <c r="F65" s="195" cm="1" t="str">
        <f t="array" ref="F65">IF(AG65="","",I65-H65)</f>
        <v/>
      </c>
      <c r="G65" s="160"/>
      <c r="H65" s="158"/>
      <c r="I65" s="159" cm="1" t="str">
        <f t="array" ref="I65">IF(AG65="","",P65-K65)</f>
        <v/>
      </c>
      <c r="J65" s="160"/>
      <c r="K65" s="158"/>
      <c r="L65" s="161"/>
      <c r="M65" s="161"/>
      <c r="N65" s="161"/>
      <c r="O65" s="161"/>
      <c r="P65" s="159" cm="1" t="str">
        <f t="array" ref="P65">IF(AG65="","",AC65-R65-Q65)</f>
        <v/>
      </c>
      <c r="Q65" s="162"/>
      <c r="R65" s="162"/>
      <c r="S65" s="161"/>
      <c r="T65" s="161"/>
      <c r="U65" s="161"/>
      <c r="V65" s="161"/>
      <c r="W65" s="161"/>
      <c r="X65" s="161"/>
      <c r="Y65" s="161"/>
      <c r="Z65" s="161"/>
      <c r="AA65" s="161"/>
      <c r="AB65" s="160"/>
      <c r="AC65" s="163"/>
      <c r="AD65" s="159" cm="1" t="str">
        <f t="array" ref="AD65">IF(AG65="","",$AG65-$AF65)</f>
        <v/>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350"/>
      <c r="D66" s="165"/>
      <c r="E66" s="164"/>
      <c r="F66" s="195" cm="1" t="str">
        <f t="array" ref="F66">IF(AG66="","",I66-H66)</f>
        <v/>
      </c>
      <c r="G66" s="160"/>
      <c r="H66" s="158"/>
      <c r="I66" s="159" cm="1" t="str">
        <f t="array" ref="I66">IF(AG66="","",P66-K66)</f>
        <v/>
      </c>
      <c r="J66" s="160"/>
      <c r="K66" s="158"/>
      <c r="L66" s="161"/>
      <c r="M66" s="161"/>
      <c r="N66" s="161"/>
      <c r="O66" s="161"/>
      <c r="P66" s="159" cm="1" t="str">
        <f t="array" ref="P66">IF(AG66="","",AC66-R66-Q66)</f>
        <v/>
      </c>
      <c r="Q66" s="162"/>
      <c r="R66" s="162"/>
      <c r="S66" s="161"/>
      <c r="T66" s="161"/>
      <c r="U66" s="161"/>
      <c r="V66" s="161"/>
      <c r="W66" s="161"/>
      <c r="X66" s="161"/>
      <c r="Y66" s="161"/>
      <c r="Z66" s="161"/>
      <c r="AA66" s="161"/>
      <c r="AB66" s="160"/>
      <c r="AC66" s="163"/>
      <c r="AD66" s="159" cm="1" t="str">
        <f t="array" ref="AD66">IF(AG66="","",$AG66-$AF66)</f>
        <v/>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350"/>
      <c r="D67" s="165"/>
      <c r="E67" s="164"/>
      <c r="F67" s="195" cm="1" t="str">
        <f t="array" ref="F67">IF(AG67="","",I67-H67)</f>
        <v/>
      </c>
      <c r="G67" s="160"/>
      <c r="H67" s="158"/>
      <c r="I67" s="159" cm="1" t="str">
        <f t="array" ref="I67">IF(AG67="","",P67-K67)</f>
        <v/>
      </c>
      <c r="J67" s="160"/>
      <c r="K67" s="158"/>
      <c r="L67" s="161"/>
      <c r="M67" s="161"/>
      <c r="N67" s="161"/>
      <c r="O67" s="161"/>
      <c r="P67" s="159" cm="1" t="str">
        <f t="array" ref="P67">IF(AG67="","",AC67-R67-Q67)</f>
        <v/>
      </c>
      <c r="Q67" s="162"/>
      <c r="R67" s="162"/>
      <c r="S67" s="161"/>
      <c r="T67" s="161"/>
      <c r="U67" s="161"/>
      <c r="V67" s="161"/>
      <c r="W67" s="161"/>
      <c r="X67" s="161"/>
      <c r="Y67" s="161"/>
      <c r="Z67" s="161"/>
      <c r="AA67" s="161"/>
      <c r="AB67" s="160"/>
      <c r="AC67" s="163"/>
      <c r="AD67" s="159" cm="1" t="str">
        <f t="array" ref="AD67">IF(AG67="","",$AG67-$AF67)</f>
        <v/>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350"/>
      <c r="D68" s="165"/>
      <c r="E68" s="164"/>
      <c r="F68" s="195" cm="1" t="str">
        <f t="array" ref="F68">IF(AG68="","",I68-H68)</f>
        <v/>
      </c>
      <c r="G68" s="160"/>
      <c r="H68" s="158"/>
      <c r="I68" s="159" cm="1" t="str">
        <f t="array" ref="I68">IF(AG68="","",P68-K68)</f>
        <v/>
      </c>
      <c r="J68" s="160"/>
      <c r="K68" s="158"/>
      <c r="L68" s="161"/>
      <c r="M68" s="161"/>
      <c r="N68" s="161"/>
      <c r="O68" s="161"/>
      <c r="P68" s="159" cm="1" t="str">
        <f t="array" ref="P68">IF(AG68="","",AC68-R68-Q68)</f>
        <v/>
      </c>
      <c r="Q68" s="162"/>
      <c r="R68" s="162"/>
      <c r="S68" s="161"/>
      <c r="T68" s="161"/>
      <c r="U68" s="161"/>
      <c r="V68" s="161"/>
      <c r="W68" s="161"/>
      <c r="X68" s="161"/>
      <c r="Y68" s="161"/>
      <c r="Z68" s="161"/>
      <c r="AA68" s="161"/>
      <c r="AB68" s="160"/>
      <c r="AC68" s="163"/>
      <c r="AD68" s="159" cm="1" t="str">
        <f t="array" ref="AD68">IF(AG68="","",$AG68-$AF68)</f>
        <v/>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349"/>
      <c r="D69" s="165"/>
      <c r="E69" s="164"/>
      <c r="F69" s="195" cm="1" t="str">
        <f t="array" ref="F69">IF(AG69="","",I69-H69)</f>
        <v/>
      </c>
      <c r="G69" s="160"/>
      <c r="H69" s="158"/>
      <c r="I69" s="159" cm="1" t="str">
        <f t="array" ref="I69">IF(AG69="","",P69-K69)</f>
        <v/>
      </c>
      <c r="J69" s="160"/>
      <c r="K69" s="158"/>
      <c r="L69" s="161"/>
      <c r="M69" s="161"/>
      <c r="N69" s="161"/>
      <c r="O69" s="161"/>
      <c r="P69" s="159" cm="1" t="str">
        <f t="array" ref="P69">IF(AG69="","",AC69-R69-Q69)</f>
        <v/>
      </c>
      <c r="Q69" s="162"/>
      <c r="R69" s="162"/>
      <c r="S69" s="161"/>
      <c r="T69" s="161"/>
      <c r="U69" s="161"/>
      <c r="V69" s="161"/>
      <c r="W69" s="161"/>
      <c r="X69" s="161"/>
      <c r="Y69" s="161"/>
      <c r="Z69" s="161"/>
      <c r="AA69" s="161"/>
      <c r="AB69" s="160"/>
      <c r="AC69" s="163"/>
      <c r="AD69" s="159" cm="1" t="str">
        <f t="array" ref="AD69">IF(AG69="","",$AG69-$AF69)</f>
        <v/>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350"/>
      <c r="D70" s="165"/>
      <c r="E70" s="164"/>
      <c r="F70" s="195" cm="1" t="str">
        <f t="array" ref="F70">IF(AG70="","",I70-H70)</f>
        <v/>
      </c>
      <c r="G70" s="160"/>
      <c r="H70" s="158"/>
      <c r="I70" s="159" cm="1" t="str">
        <f t="array" ref="I70">IF(AG70="","",P70-K70)</f>
        <v/>
      </c>
      <c r="J70" s="160"/>
      <c r="K70" s="158"/>
      <c r="L70" s="161"/>
      <c r="M70" s="161"/>
      <c r="N70" s="161"/>
      <c r="O70" s="161"/>
      <c r="P70" s="159" cm="1" t="str">
        <f t="array" ref="P70">IF(AG70="","",AC70-R70-Q70)</f>
        <v/>
      </c>
      <c r="Q70" s="162"/>
      <c r="R70" s="162"/>
      <c r="S70" s="161"/>
      <c r="T70" s="161"/>
      <c r="U70" s="161"/>
      <c r="V70" s="161"/>
      <c r="W70" s="161"/>
      <c r="X70" s="161"/>
      <c r="Y70" s="161"/>
      <c r="Z70" s="161"/>
      <c r="AA70" s="161"/>
      <c r="AB70" s="160"/>
      <c r="AC70" s="163"/>
      <c r="AD70" s="159" cm="1" t="str">
        <f t="array" ref="AD70">IF(AG70="","",$AG70-$AF70)</f>
        <v/>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350"/>
      <c r="D71" s="165"/>
      <c r="E71" s="164"/>
      <c r="F71" s="195" cm="1" t="str">
        <f t="array" ref="F71">IF(AG71="","",I71-H71)</f>
        <v/>
      </c>
      <c r="G71" s="160"/>
      <c r="H71" s="158"/>
      <c r="I71" s="159" cm="1" t="str">
        <f t="array" ref="I71">IF(AG71="","",P71-K71)</f>
        <v/>
      </c>
      <c r="J71" s="160"/>
      <c r="K71" s="158"/>
      <c r="L71" s="161"/>
      <c r="M71" s="161"/>
      <c r="N71" s="161"/>
      <c r="O71" s="161"/>
      <c r="P71" s="159" cm="1" t="str">
        <f t="array" ref="P71">IF(AG71="","",AC71-R71-Q71)</f>
        <v/>
      </c>
      <c r="Q71" s="162"/>
      <c r="R71" s="162"/>
      <c r="S71" s="161"/>
      <c r="T71" s="161"/>
      <c r="U71" s="161"/>
      <c r="V71" s="161"/>
      <c r="W71" s="161"/>
      <c r="X71" s="161"/>
      <c r="Y71" s="161"/>
      <c r="Z71" s="161"/>
      <c r="AA71" s="161"/>
      <c r="AB71" s="160"/>
      <c r="AC71" s="163"/>
      <c r="AD71" s="159" cm="1" t="str">
        <f t="array" ref="AD71">IF(AG71="","",$AG71-$AF71)</f>
        <v/>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350"/>
      <c r="D72" s="165"/>
      <c r="E72" s="164"/>
      <c r="F72" s="195" cm="1" t="str">
        <f t="array" ref="F72">IF(AG72="","",I72-H72)</f>
        <v/>
      </c>
      <c r="G72" s="160"/>
      <c r="H72" s="158"/>
      <c r="I72" s="159" cm="1" t="str">
        <f t="array" ref="I72">IF(AG72="","",P72-K72)</f>
        <v/>
      </c>
      <c r="J72" s="160"/>
      <c r="K72" s="158"/>
      <c r="L72" s="161"/>
      <c r="M72" s="161"/>
      <c r="N72" s="161"/>
      <c r="O72" s="161"/>
      <c r="P72" s="159" cm="1" t="str">
        <f t="array" ref="P72">IF(AG72="","",AC72-R72-Q72)</f>
        <v/>
      </c>
      <c r="Q72" s="162"/>
      <c r="R72" s="162"/>
      <c r="S72" s="161"/>
      <c r="T72" s="161"/>
      <c r="U72" s="161"/>
      <c r="V72" s="161"/>
      <c r="W72" s="161"/>
      <c r="X72" s="161"/>
      <c r="Y72" s="161"/>
      <c r="Z72" s="161"/>
      <c r="AA72" s="161"/>
      <c r="AB72" s="160"/>
      <c r="AC72" s="163"/>
      <c r="AD72" s="159" cm="1" t="str">
        <f t="array" ref="AD72">IF(AG72="","",$AG72-$AF72)</f>
        <v/>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350"/>
      <c r="D73" s="165"/>
      <c r="E73" s="164"/>
      <c r="F73" s="195" cm="1" t="str">
        <f t="array" ref="F73">IF(AG73="","",I73-H73)</f>
        <v/>
      </c>
      <c r="G73" s="160"/>
      <c r="H73" s="158"/>
      <c r="I73" s="159" cm="1" t="str">
        <f t="array" ref="I73">IF(AG73="","",P73-K73)</f>
        <v/>
      </c>
      <c r="J73" s="160"/>
      <c r="K73" s="158"/>
      <c r="L73" s="161"/>
      <c r="M73" s="161"/>
      <c r="N73" s="161"/>
      <c r="O73" s="161"/>
      <c r="P73" s="159" cm="1" t="str">
        <f t="array" ref="P73">IF(AG73="","",AC73-R73-Q73)</f>
        <v/>
      </c>
      <c r="Q73" s="162"/>
      <c r="R73" s="162"/>
      <c r="S73" s="161"/>
      <c r="T73" s="161"/>
      <c r="U73" s="161"/>
      <c r="V73" s="161"/>
      <c r="W73" s="161"/>
      <c r="X73" s="161"/>
      <c r="Y73" s="161"/>
      <c r="Z73" s="161"/>
      <c r="AA73" s="161"/>
      <c r="AB73" s="160"/>
      <c r="AC73" s="163"/>
      <c r="AD73" s="159" cm="1" t="str">
        <f t="array" ref="AD73">IF(AG73="","",$AG73-$AF73)</f>
        <v/>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350"/>
      <c r="D74" s="165"/>
      <c r="E74" s="164"/>
      <c r="F74" s="195" cm="1" t="str">
        <f t="array" ref="F74">IF(AG74="","",I74-H74)</f>
        <v/>
      </c>
      <c r="G74" s="160"/>
      <c r="H74" s="158"/>
      <c r="I74" s="159" cm="1" t="str">
        <f t="array" ref="I74">IF(AG74="","",P74-K74)</f>
        <v/>
      </c>
      <c r="J74" s="160"/>
      <c r="K74" s="158"/>
      <c r="L74" s="161"/>
      <c r="M74" s="161"/>
      <c r="N74" s="161"/>
      <c r="O74" s="161"/>
      <c r="P74" s="159" cm="1" t="str">
        <f t="array" ref="P74">IF(AG74="","",AC74-R74-Q74)</f>
        <v/>
      </c>
      <c r="Q74" s="162"/>
      <c r="R74" s="162"/>
      <c r="S74" s="161"/>
      <c r="T74" s="161"/>
      <c r="U74" s="161"/>
      <c r="V74" s="161"/>
      <c r="W74" s="161"/>
      <c r="X74" s="161"/>
      <c r="Y74" s="161"/>
      <c r="Z74" s="161"/>
      <c r="AA74" s="161"/>
      <c r="AB74" s="160"/>
      <c r="AC74" s="163"/>
      <c r="AD74" s="159" cm="1" t="str">
        <f t="array" ref="AD74">IF(AG74="","",$AG74-$AF74)</f>
        <v/>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350"/>
      <c r="D75" s="165"/>
      <c r="E75" s="164"/>
      <c r="F75" s="195" cm="1" t="str">
        <f t="array" ref="F75">IF(AG75="","",I75-H75)</f>
        <v/>
      </c>
      <c r="G75" s="160"/>
      <c r="H75" s="158"/>
      <c r="I75" s="159" cm="1" t="str">
        <f t="array" ref="I75">IF(AG75="","",P75-K75)</f>
        <v/>
      </c>
      <c r="J75" s="160"/>
      <c r="K75" s="158"/>
      <c r="L75" s="161"/>
      <c r="M75" s="161"/>
      <c r="N75" s="161"/>
      <c r="O75" s="161"/>
      <c r="P75" s="159" cm="1" t="str">
        <f t="array" ref="P75">IF(AG75="","",AC75-R75-Q75)</f>
        <v/>
      </c>
      <c r="Q75" s="162"/>
      <c r="R75" s="162"/>
      <c r="S75" s="161"/>
      <c r="T75" s="161"/>
      <c r="U75" s="161"/>
      <c r="V75" s="161"/>
      <c r="W75" s="161"/>
      <c r="X75" s="161"/>
      <c r="Y75" s="161"/>
      <c r="Z75" s="161"/>
      <c r="AA75" s="161"/>
      <c r="AB75" s="160"/>
      <c r="AC75" s="163"/>
      <c r="AD75" s="159" cm="1" t="str">
        <f t="array" ref="AD75">IF(AG75="","",$AG75-$AF75)</f>
        <v/>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350"/>
      <c r="D76" s="165"/>
      <c r="E76" s="164"/>
      <c r="F76" s="195" cm="1" t="str">
        <f t="array" ref="F76">IF(AG76="","",I76-H76)</f>
        <v/>
      </c>
      <c r="G76" s="160"/>
      <c r="H76" s="158"/>
      <c r="I76" s="159" cm="1" t="str">
        <f t="array" ref="I76">IF(AG76="","",P76-K76)</f>
        <v/>
      </c>
      <c r="J76" s="160"/>
      <c r="K76" s="158"/>
      <c r="L76" s="161"/>
      <c r="M76" s="161"/>
      <c r="N76" s="161"/>
      <c r="O76" s="161"/>
      <c r="P76" s="159" cm="1" t="str">
        <f t="array" ref="P76">IF(AG76="","",AC76-R76-Q76)</f>
        <v/>
      </c>
      <c r="Q76" s="162"/>
      <c r="R76" s="162"/>
      <c r="S76" s="161"/>
      <c r="T76" s="161"/>
      <c r="U76" s="161"/>
      <c r="V76" s="161"/>
      <c r="W76" s="161"/>
      <c r="X76" s="161"/>
      <c r="Y76" s="161"/>
      <c r="Z76" s="161"/>
      <c r="AA76" s="161"/>
      <c r="AB76" s="160"/>
      <c r="AC76" s="163"/>
      <c r="AD76" s="159" cm="1" t="str">
        <f t="array" ref="AD76">IF(AG76="","",$AG76-$AF76)</f>
        <v/>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350"/>
      <c r="D77" s="165"/>
      <c r="E77" s="164"/>
      <c r="F77" s="195" cm="1" t="str">
        <f t="array" ref="F77">IF(AG77="","",I77-H77)</f>
        <v/>
      </c>
      <c r="G77" s="160"/>
      <c r="H77" s="158"/>
      <c r="I77" s="159" cm="1" t="str">
        <f t="array" ref="I77">IF(AG77="","",P77-K77)</f>
        <v/>
      </c>
      <c r="J77" s="160"/>
      <c r="K77" s="158"/>
      <c r="L77" s="161"/>
      <c r="M77" s="161"/>
      <c r="N77" s="161"/>
      <c r="O77" s="161"/>
      <c r="P77" s="159" cm="1" t="str">
        <f t="array" ref="P77">IF(AG77="","",AC77-R77-Q77)</f>
        <v/>
      </c>
      <c r="Q77" s="162"/>
      <c r="R77" s="162"/>
      <c r="S77" s="161"/>
      <c r="T77" s="161"/>
      <c r="U77" s="161"/>
      <c r="V77" s="161"/>
      <c r="W77" s="161"/>
      <c r="X77" s="161"/>
      <c r="Y77" s="161"/>
      <c r="Z77" s="161"/>
      <c r="AA77" s="161"/>
      <c r="AB77" s="160"/>
      <c r="AC77" s="163"/>
      <c r="AD77" s="159" cm="1" t="str">
        <f t="array" ref="AD77">IF(AG77="","",$AG77-$AF77)</f>
        <v/>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350"/>
      <c r="D78" s="165"/>
      <c r="E78" s="164"/>
      <c r="F78" s="195" cm="1" t="str">
        <f t="array" ref="F78">IF(AG78="","",I78-H78)</f>
        <v/>
      </c>
      <c r="G78" s="160"/>
      <c r="H78" s="158"/>
      <c r="I78" s="159" cm="1" t="str">
        <f t="array" ref="I78">IF(AG78="","",P78-K78)</f>
        <v/>
      </c>
      <c r="J78" s="160"/>
      <c r="K78" s="158"/>
      <c r="L78" s="161"/>
      <c r="M78" s="161"/>
      <c r="N78" s="161"/>
      <c r="O78" s="161"/>
      <c r="P78" s="159" cm="1" t="str">
        <f t="array" ref="P78">IF(AG78="","",AC78-R78-Q78)</f>
        <v/>
      </c>
      <c r="Q78" s="162"/>
      <c r="R78" s="162"/>
      <c r="S78" s="161"/>
      <c r="T78" s="161"/>
      <c r="U78" s="161"/>
      <c r="V78" s="161"/>
      <c r="W78" s="161"/>
      <c r="X78" s="161"/>
      <c r="Y78" s="161"/>
      <c r="Z78" s="161"/>
      <c r="AA78" s="161"/>
      <c r="AB78" s="160"/>
      <c r="AC78" s="163"/>
      <c r="AD78" s="159" cm="1" t="str">
        <f t="array" ref="AD78">IF(AG78="","",$AG78-$AF78)</f>
        <v/>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350"/>
      <c r="D79" s="165"/>
      <c r="E79" s="164"/>
      <c r="F79" s="195" cm="1" t="str">
        <f t="array" ref="F79">IF(AG79="","",I79-H79)</f>
        <v/>
      </c>
      <c r="G79" s="160"/>
      <c r="H79" s="158"/>
      <c r="I79" s="159" cm="1" t="str">
        <f t="array" ref="I79">IF(AG79="","",P79-K79)</f>
        <v/>
      </c>
      <c r="J79" s="160"/>
      <c r="K79" s="158"/>
      <c r="L79" s="161"/>
      <c r="M79" s="161"/>
      <c r="N79" s="161"/>
      <c r="O79" s="161"/>
      <c r="P79" s="159" cm="1" t="str">
        <f t="array" ref="P79">IF(AG79="","",AC79-R79-Q79)</f>
        <v/>
      </c>
      <c r="Q79" s="162"/>
      <c r="R79" s="162"/>
      <c r="S79" s="161"/>
      <c r="T79" s="161"/>
      <c r="U79" s="161"/>
      <c r="V79" s="161"/>
      <c r="W79" s="161"/>
      <c r="X79" s="161"/>
      <c r="Y79" s="161"/>
      <c r="Z79" s="161"/>
      <c r="AA79" s="161"/>
      <c r="AB79" s="160"/>
      <c r="AC79" s="163"/>
      <c r="AD79" s="159" cm="1" t="str">
        <f t="array" ref="AD79">IF(AG79="","",$AG79-$AF79)</f>
        <v/>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350"/>
      <c r="D80" s="165"/>
      <c r="E80" s="164"/>
      <c r="F80" s="195" cm="1" t="str">
        <f t="array" ref="F80">IF(AG80="","",I80-H80)</f>
        <v/>
      </c>
      <c r="G80" s="160"/>
      <c r="H80" s="158"/>
      <c r="I80" s="159" cm="1" t="str">
        <f t="array" ref="I80">IF(AG80="","",P80-K80)</f>
        <v/>
      </c>
      <c r="J80" s="160"/>
      <c r="K80" s="158"/>
      <c r="L80" s="161"/>
      <c r="M80" s="161"/>
      <c r="N80" s="161"/>
      <c r="O80" s="161"/>
      <c r="P80" s="159" cm="1" t="str">
        <f t="array" ref="P80">IF(AG80="","",AC80-R80-Q80)</f>
        <v/>
      </c>
      <c r="Q80" s="162"/>
      <c r="R80" s="162"/>
      <c r="S80" s="161"/>
      <c r="T80" s="161"/>
      <c r="U80" s="161"/>
      <c r="V80" s="161"/>
      <c r="W80" s="161"/>
      <c r="X80" s="161"/>
      <c r="Y80" s="161"/>
      <c r="Z80" s="161"/>
      <c r="AA80" s="161"/>
      <c r="AB80" s="160"/>
      <c r="AC80" s="163"/>
      <c r="AD80" s="159" cm="1" t="str">
        <f t="array" ref="AD80">IF(AG80="","",$AG80-$AF80)</f>
        <v/>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350"/>
      <c r="D81" s="165"/>
      <c r="E81" s="164"/>
      <c r="F81" s="195" cm="1" t="str">
        <f t="array" ref="F81">IF(AG81="","",I81-H81)</f>
        <v/>
      </c>
      <c r="G81" s="160"/>
      <c r="H81" s="158"/>
      <c r="I81" s="159" cm="1" t="str">
        <f t="array" ref="I81">IF(AG81="","",P81-K81)</f>
        <v/>
      </c>
      <c r="J81" s="160"/>
      <c r="K81" s="158"/>
      <c r="L81" s="161"/>
      <c r="M81" s="161"/>
      <c r="N81" s="161"/>
      <c r="O81" s="161"/>
      <c r="P81" s="159" cm="1" t="str">
        <f t="array" ref="P81">IF(AG81="","",AC81-R81-Q81)</f>
        <v/>
      </c>
      <c r="Q81" s="162"/>
      <c r="R81" s="162"/>
      <c r="S81" s="161"/>
      <c r="T81" s="161"/>
      <c r="U81" s="161"/>
      <c r="V81" s="161"/>
      <c r="W81" s="161"/>
      <c r="X81" s="161"/>
      <c r="Y81" s="161"/>
      <c r="Z81" s="161"/>
      <c r="AA81" s="161"/>
      <c r="AB81" s="160"/>
      <c r="AC81" s="163"/>
      <c r="AD81" s="159" cm="1" t="str">
        <f t="array" ref="AD81">IF(AG81="","",$AG81-$AF81)</f>
        <v/>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350"/>
      <c r="D82" s="165"/>
      <c r="E82" s="164"/>
      <c r="F82" s="195" cm="1" t="str">
        <f t="array" ref="F82">IF(AG82="","",I82-H82)</f>
        <v/>
      </c>
      <c r="G82" s="160"/>
      <c r="H82" s="158"/>
      <c r="I82" s="159" cm="1" t="str">
        <f t="array" ref="I82">IF(AG82="","",P82-K82)</f>
        <v/>
      </c>
      <c r="J82" s="160"/>
      <c r="K82" s="158"/>
      <c r="L82" s="161"/>
      <c r="M82" s="161"/>
      <c r="N82" s="161"/>
      <c r="O82" s="161"/>
      <c r="P82" s="159" cm="1" t="str">
        <f t="array" ref="P82">IF(AG82="","",AC82-R82-Q82)</f>
        <v/>
      </c>
      <c r="Q82" s="162"/>
      <c r="R82" s="162"/>
      <c r="S82" s="161"/>
      <c r="T82" s="161"/>
      <c r="U82" s="161"/>
      <c r="V82" s="161"/>
      <c r="W82" s="161"/>
      <c r="X82" s="161"/>
      <c r="Y82" s="161"/>
      <c r="Z82" s="161"/>
      <c r="AA82" s="161"/>
      <c r="AB82" s="160"/>
      <c r="AC82" s="163"/>
      <c r="AD82" s="159" cm="1" t="str">
        <f t="array" ref="AD82">IF(AG82="","",$AG82-$AF82)</f>
        <v/>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350"/>
      <c r="D83" s="165"/>
      <c r="E83" s="164"/>
      <c r="F83" s="195" cm="1" t="str">
        <f t="array" ref="F83">IF(AG83="","",I83-H83)</f>
        <v/>
      </c>
      <c r="G83" s="160"/>
      <c r="H83" s="158"/>
      <c r="I83" s="159" cm="1" t="str">
        <f t="array" ref="I83">IF(AG83="","",P83-K83)</f>
        <v/>
      </c>
      <c r="J83" s="160"/>
      <c r="K83" s="158"/>
      <c r="L83" s="161"/>
      <c r="M83" s="161"/>
      <c r="N83" s="161"/>
      <c r="O83" s="161"/>
      <c r="P83" s="159" cm="1" t="str">
        <f t="array" ref="P83">IF(AG83="","",AC83-R83-Q83)</f>
        <v/>
      </c>
      <c r="Q83" s="162"/>
      <c r="R83" s="162"/>
      <c r="S83" s="161"/>
      <c r="T83" s="161"/>
      <c r="U83" s="161"/>
      <c r="V83" s="161"/>
      <c r="W83" s="161"/>
      <c r="X83" s="161"/>
      <c r="Y83" s="161"/>
      <c r="Z83" s="161"/>
      <c r="AA83" s="161"/>
      <c r="AB83" s="160"/>
      <c r="AC83" s="163"/>
      <c r="AD83" s="159" cm="1" t="str">
        <f t="array" ref="AD83">IF(AG83="","",$AG83-$AF83)</f>
        <v/>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350"/>
      <c r="D84" s="165"/>
      <c r="E84" s="164"/>
      <c r="F84" s="195" cm="1" t="str">
        <f t="array" ref="F84">IF(AG84="","",I84-H84)</f>
        <v/>
      </c>
      <c r="G84" s="160"/>
      <c r="H84" s="158"/>
      <c r="I84" s="159" cm="1" t="str">
        <f t="array" ref="I84">IF(AG84="","",P84-K84)</f>
        <v/>
      </c>
      <c r="J84" s="160"/>
      <c r="K84" s="158"/>
      <c r="L84" s="161"/>
      <c r="M84" s="161"/>
      <c r="N84" s="161"/>
      <c r="O84" s="161"/>
      <c r="P84" s="159" cm="1" t="str">
        <f t="array" ref="P84">IF(AG84="","",AC84-R84-Q84)</f>
        <v/>
      </c>
      <c r="Q84" s="162"/>
      <c r="R84" s="162"/>
      <c r="S84" s="161"/>
      <c r="T84" s="161"/>
      <c r="U84" s="161"/>
      <c r="V84" s="161"/>
      <c r="W84" s="161"/>
      <c r="X84" s="161"/>
      <c r="Y84" s="161"/>
      <c r="Z84" s="161"/>
      <c r="AA84" s="161"/>
      <c r="AB84" s="160"/>
      <c r="AC84" s="163"/>
      <c r="AD84" s="159" cm="1" t="str">
        <f t="array" ref="AD84">IF(AG84="","",$AG84-$AF84)</f>
        <v/>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350"/>
      <c r="D85" s="165"/>
      <c r="E85" s="164"/>
      <c r="F85" s="195" cm="1" t="str">
        <f t="array" ref="F85">IF(AG85="","",I85-H85)</f>
        <v/>
      </c>
      <c r="G85" s="160"/>
      <c r="H85" s="158"/>
      <c r="I85" s="159" cm="1" t="str">
        <f t="array" ref="I85">IF(AG85="","",P85-K85)</f>
        <v/>
      </c>
      <c r="J85" s="160"/>
      <c r="K85" s="158"/>
      <c r="L85" s="161"/>
      <c r="M85" s="161"/>
      <c r="N85" s="161"/>
      <c r="O85" s="161"/>
      <c r="P85" s="159" cm="1" t="str">
        <f t="array" ref="P85">IF(AG85="","",AC85-R85-Q85)</f>
        <v/>
      </c>
      <c r="Q85" s="162"/>
      <c r="R85" s="162"/>
      <c r="S85" s="161"/>
      <c r="T85" s="161"/>
      <c r="U85" s="161"/>
      <c r="V85" s="161"/>
      <c r="W85" s="161"/>
      <c r="X85" s="161"/>
      <c r="Y85" s="161"/>
      <c r="Z85" s="161"/>
      <c r="AA85" s="161"/>
      <c r="AB85" s="160"/>
      <c r="AC85" s="163"/>
      <c r="AD85" s="159" cm="1" t="str">
        <f t="array" ref="AD85">IF(AG85="","",$AG85-$AF85)</f>
        <v/>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350"/>
      <c r="D86" s="165"/>
      <c r="E86" s="164"/>
      <c r="F86" s="195" cm="1" t="str">
        <f t="array" ref="F86">IF(AG86="","",I86-H86)</f>
        <v/>
      </c>
      <c r="G86" s="160"/>
      <c r="H86" s="158"/>
      <c r="I86" s="159" cm="1" t="str">
        <f t="array" ref="I86">IF(AG86="","",P86-K86)</f>
        <v/>
      </c>
      <c r="J86" s="160"/>
      <c r="K86" s="158"/>
      <c r="L86" s="161"/>
      <c r="M86" s="161"/>
      <c r="N86" s="161"/>
      <c r="O86" s="161"/>
      <c r="P86" s="159" cm="1" t="str">
        <f t="array" ref="P86">IF(AG86="","",AC86-R86-Q86)</f>
        <v/>
      </c>
      <c r="Q86" s="162"/>
      <c r="R86" s="162"/>
      <c r="S86" s="161"/>
      <c r="T86" s="161"/>
      <c r="U86" s="161"/>
      <c r="V86" s="161"/>
      <c r="W86" s="161"/>
      <c r="X86" s="161"/>
      <c r="Y86" s="161"/>
      <c r="Z86" s="161"/>
      <c r="AA86" s="161"/>
      <c r="AB86" s="160"/>
      <c r="AC86" s="163"/>
      <c r="AD86" s="159" cm="1" t="str">
        <f t="array" ref="AD86">IF(AG86="","",$AG86-$AF86)</f>
        <v/>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350"/>
      <c r="D87" s="165"/>
      <c r="E87" s="164"/>
      <c r="F87" s="195" cm="1" t="str">
        <f t="array" ref="F87">IF(AG87="","",I87-H87)</f>
        <v/>
      </c>
      <c r="G87" s="160"/>
      <c r="H87" s="158"/>
      <c r="I87" s="159" cm="1" t="str">
        <f t="array" ref="I87">IF(AG87="","",P87-K87)</f>
        <v/>
      </c>
      <c r="J87" s="160"/>
      <c r="K87" s="158"/>
      <c r="L87" s="161"/>
      <c r="M87" s="161"/>
      <c r="N87" s="161"/>
      <c r="O87" s="161"/>
      <c r="P87" s="159" cm="1" t="str">
        <f t="array" ref="P87">IF(AG87="","",AC87-R87-Q87)</f>
        <v/>
      </c>
      <c r="Q87" s="162"/>
      <c r="R87" s="162"/>
      <c r="S87" s="161"/>
      <c r="T87" s="161"/>
      <c r="U87" s="161"/>
      <c r="V87" s="161"/>
      <c r="W87" s="161"/>
      <c r="X87" s="161"/>
      <c r="Y87" s="161"/>
      <c r="Z87" s="161"/>
      <c r="AA87" s="161"/>
      <c r="AB87" s="160"/>
      <c r="AC87" s="163"/>
      <c r="AD87" s="159" cm="1" t="str">
        <f t="array" ref="AD87">IF(AG87="","",$AG87-$AF87)</f>
        <v/>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350"/>
      <c r="D88" s="165"/>
      <c r="E88" s="164"/>
      <c r="F88" s="195" cm="1" t="str">
        <f t="array" ref="F88">IF(AG88="","",I88-H88)</f>
        <v/>
      </c>
      <c r="G88" s="160"/>
      <c r="H88" s="158"/>
      <c r="I88" s="159" cm="1" t="str">
        <f t="array" ref="I88">IF(AG88="","",P88-K88)</f>
        <v/>
      </c>
      <c r="J88" s="160"/>
      <c r="K88" s="158"/>
      <c r="L88" s="161"/>
      <c r="M88" s="161"/>
      <c r="N88" s="161"/>
      <c r="O88" s="161"/>
      <c r="P88" s="159" cm="1" t="str">
        <f t="array" ref="P88">IF(AG88="","",AC88-R88-Q88)</f>
        <v/>
      </c>
      <c r="Q88" s="162"/>
      <c r="R88" s="162"/>
      <c r="S88" s="161"/>
      <c r="T88" s="161"/>
      <c r="U88" s="161"/>
      <c r="V88" s="161"/>
      <c r="W88" s="161"/>
      <c r="X88" s="161"/>
      <c r="Y88" s="161"/>
      <c r="Z88" s="161"/>
      <c r="AA88" s="161"/>
      <c r="AB88" s="160"/>
      <c r="AC88" s="163"/>
      <c r="AD88" s="159" cm="1" t="str">
        <f t="array" ref="AD88">IF(AG88="","",$AG88-$AF88)</f>
        <v/>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350"/>
      <c r="D89" s="165"/>
      <c r="E89" s="164"/>
      <c r="F89" s="195" cm="1" t="str">
        <f t="array" ref="F89">IF(AG89="","",I89-H89)</f>
        <v/>
      </c>
      <c r="G89" s="160"/>
      <c r="H89" s="158"/>
      <c r="I89" s="159" cm="1" t="str">
        <f t="array" ref="I89">IF(AG89="","",P89-K89)</f>
        <v/>
      </c>
      <c r="J89" s="160"/>
      <c r="K89" s="158"/>
      <c r="L89" s="161"/>
      <c r="M89" s="161"/>
      <c r="N89" s="161"/>
      <c r="O89" s="161"/>
      <c r="P89" s="159" cm="1" t="str">
        <f t="array" ref="P89">IF(AG89="","",AC89-R89-Q89)</f>
        <v/>
      </c>
      <c r="Q89" s="162"/>
      <c r="R89" s="162"/>
      <c r="S89" s="161"/>
      <c r="T89" s="161"/>
      <c r="U89" s="161"/>
      <c r="V89" s="161"/>
      <c r="W89" s="161"/>
      <c r="X89" s="161"/>
      <c r="Y89" s="161"/>
      <c r="Z89" s="161"/>
      <c r="AA89" s="161"/>
      <c r="AB89" s="160"/>
      <c r="AC89" s="163"/>
      <c r="AD89" s="159" cm="1" t="str">
        <f t="array" ref="AD89">IF(AG89="","",$AG89-$AF89)</f>
        <v/>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350"/>
      <c r="D90" s="165"/>
      <c r="E90" s="164"/>
      <c r="F90" s="195" cm="1" t="str">
        <f t="array" ref="F90">IF(AG90="","",I90-H90)</f>
        <v/>
      </c>
      <c r="G90" s="160"/>
      <c r="H90" s="158"/>
      <c r="I90" s="159" cm="1" t="str">
        <f t="array" ref="I90">IF(AG90="","",P90-K90)</f>
        <v/>
      </c>
      <c r="J90" s="160"/>
      <c r="K90" s="158"/>
      <c r="L90" s="161"/>
      <c r="M90" s="161"/>
      <c r="N90" s="161"/>
      <c r="O90" s="161"/>
      <c r="P90" s="159" cm="1" t="str">
        <f t="array" ref="P90">IF(AG90="","",AC90-R90-Q90)</f>
        <v/>
      </c>
      <c r="Q90" s="162"/>
      <c r="R90" s="162"/>
      <c r="S90" s="161"/>
      <c r="T90" s="161"/>
      <c r="U90" s="161"/>
      <c r="V90" s="161"/>
      <c r="W90" s="161"/>
      <c r="X90" s="161"/>
      <c r="Y90" s="161"/>
      <c r="Z90" s="161"/>
      <c r="AA90" s="161"/>
      <c r="AB90" s="160"/>
      <c r="AC90" s="163"/>
      <c r="AD90" s="159" cm="1" t="str">
        <f t="array" ref="AD90">IF(AG90="","",$AG90-$AF90)</f>
        <v/>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350"/>
      <c r="D91" s="165"/>
      <c r="E91" s="164"/>
      <c r="F91" s="195" cm="1" t="str">
        <f t="array" ref="F91">IF(AG91="","",I91-H91)</f>
        <v/>
      </c>
      <c r="G91" s="160"/>
      <c r="H91" s="158"/>
      <c r="I91" s="159" cm="1" t="str">
        <f t="array" ref="I91">IF(AG91="","",P91-K91)</f>
        <v/>
      </c>
      <c r="J91" s="160"/>
      <c r="K91" s="158"/>
      <c r="L91" s="161"/>
      <c r="M91" s="161"/>
      <c r="N91" s="161"/>
      <c r="O91" s="161"/>
      <c r="P91" s="159" cm="1" t="str">
        <f t="array" ref="P91">IF(AG91="","",AC91-R91-Q91)</f>
        <v/>
      </c>
      <c r="Q91" s="162"/>
      <c r="R91" s="162"/>
      <c r="S91" s="161"/>
      <c r="T91" s="161"/>
      <c r="U91" s="161"/>
      <c r="V91" s="161"/>
      <c r="W91" s="161"/>
      <c r="X91" s="161"/>
      <c r="Y91" s="161"/>
      <c r="Z91" s="161"/>
      <c r="AA91" s="161"/>
      <c r="AB91" s="160"/>
      <c r="AC91" s="163"/>
      <c r="AD91" s="159" cm="1" t="str">
        <f t="array" ref="AD91">IF(AG91="","",$AG91-$AF91)</f>
        <v/>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350"/>
      <c r="D92" s="165"/>
      <c r="E92" s="164"/>
      <c r="F92" s="195" cm="1" t="str">
        <f t="array" ref="F92">IF(AG92="","",I92-H92)</f>
        <v/>
      </c>
      <c r="G92" s="160"/>
      <c r="H92" s="158"/>
      <c r="I92" s="159" cm="1" t="str">
        <f t="array" ref="I92">IF(AG92="","",P92-K92)</f>
        <v/>
      </c>
      <c r="J92" s="160"/>
      <c r="K92" s="158"/>
      <c r="L92" s="161"/>
      <c r="M92" s="161"/>
      <c r="N92" s="161"/>
      <c r="O92" s="161"/>
      <c r="P92" s="159" cm="1" t="str">
        <f t="array" ref="P92">IF(AG92="","",AC92-R92-Q92)</f>
        <v/>
      </c>
      <c r="Q92" s="162"/>
      <c r="R92" s="162"/>
      <c r="S92" s="161"/>
      <c r="T92" s="161"/>
      <c r="U92" s="161"/>
      <c r="V92" s="161"/>
      <c r="W92" s="161"/>
      <c r="X92" s="161"/>
      <c r="Y92" s="161"/>
      <c r="Z92" s="161"/>
      <c r="AA92" s="161"/>
      <c r="AB92" s="160"/>
      <c r="AC92" s="163"/>
      <c r="AD92" s="159" cm="1" t="str">
        <f t="array" ref="AD92">IF(AG92="","",$AG92-$AF92)</f>
        <v/>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350"/>
      <c r="D93" s="165"/>
      <c r="E93" s="164"/>
      <c r="F93" s="195" cm="1" t="str">
        <f t="array" ref="F93">IF(AG93="","",I93-H93)</f>
        <v/>
      </c>
      <c r="G93" s="160"/>
      <c r="H93" s="158"/>
      <c r="I93" s="159" cm="1" t="str">
        <f t="array" ref="I93">IF(AG93="","",P93-K93)</f>
        <v/>
      </c>
      <c r="J93" s="160"/>
      <c r="K93" s="158"/>
      <c r="L93" s="161"/>
      <c r="M93" s="161"/>
      <c r="N93" s="161"/>
      <c r="O93" s="161"/>
      <c r="P93" s="159" cm="1" t="str">
        <f t="array" ref="P93">IF(AG93="","",AC93-R93-Q93)</f>
        <v/>
      </c>
      <c r="Q93" s="162"/>
      <c r="R93" s="162"/>
      <c r="S93" s="161"/>
      <c r="T93" s="161"/>
      <c r="U93" s="161"/>
      <c r="V93" s="161"/>
      <c r="W93" s="161"/>
      <c r="X93" s="161"/>
      <c r="Y93" s="161"/>
      <c r="Z93" s="161"/>
      <c r="AA93" s="161"/>
      <c r="AB93" s="160"/>
      <c r="AC93" s="163"/>
      <c r="AD93" s="159" cm="1" t="str">
        <f t="array" ref="AD93">IF(AG93="","",$AG93-$AF93)</f>
        <v/>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350"/>
      <c r="D94" s="165"/>
      <c r="E94" s="164"/>
      <c r="F94" s="195" cm="1" t="str">
        <f t="array" ref="F94">IF(AG94="","",I94-H94)</f>
        <v/>
      </c>
      <c r="G94" s="160"/>
      <c r="H94" s="158"/>
      <c r="I94" s="159" cm="1" t="str">
        <f t="array" ref="I94">IF(AG94="","",P94-K94)</f>
        <v/>
      </c>
      <c r="J94" s="160"/>
      <c r="K94" s="158"/>
      <c r="L94" s="161"/>
      <c r="M94" s="161"/>
      <c r="N94" s="161"/>
      <c r="O94" s="161"/>
      <c r="P94" s="159" cm="1" t="str">
        <f t="array" ref="P94">IF(AG94="","",AC94-R94-Q94)</f>
        <v/>
      </c>
      <c r="Q94" s="162"/>
      <c r="R94" s="162"/>
      <c r="S94" s="161"/>
      <c r="T94" s="161"/>
      <c r="U94" s="161"/>
      <c r="V94" s="161"/>
      <c r="W94" s="161"/>
      <c r="X94" s="161"/>
      <c r="Y94" s="161"/>
      <c r="Z94" s="161"/>
      <c r="AA94" s="161"/>
      <c r="AB94" s="160"/>
      <c r="AC94" s="163"/>
      <c r="AD94" s="159" cm="1" t="str">
        <f t="array" ref="AD94">IF(AG94="","",$AG94-$AF94)</f>
        <v/>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350"/>
      <c r="D95" s="165"/>
      <c r="E95" s="164"/>
      <c r="F95" s="195" cm="1" t="str">
        <f t="array" ref="F95">IF(AG95="","",I95-H95)</f>
        <v/>
      </c>
      <c r="G95" s="160"/>
      <c r="H95" s="158"/>
      <c r="I95" s="159" cm="1" t="str">
        <f t="array" ref="I95">IF(AG95="","",P95-K95)</f>
        <v/>
      </c>
      <c r="J95" s="160"/>
      <c r="K95" s="158"/>
      <c r="L95" s="161"/>
      <c r="M95" s="161"/>
      <c r="N95" s="161"/>
      <c r="O95" s="161"/>
      <c r="P95" s="159" cm="1" t="str">
        <f t="array" ref="P95">IF(AG95="","",AC95-R95-Q95)</f>
        <v/>
      </c>
      <c r="Q95" s="162"/>
      <c r="R95" s="162"/>
      <c r="S95" s="161"/>
      <c r="T95" s="161"/>
      <c r="U95" s="161"/>
      <c r="V95" s="161"/>
      <c r="W95" s="161"/>
      <c r="X95" s="161"/>
      <c r="Y95" s="161"/>
      <c r="Z95" s="161"/>
      <c r="AA95" s="161"/>
      <c r="AB95" s="160"/>
      <c r="AC95" s="163"/>
      <c r="AD95" s="159" cm="1" t="str">
        <f t="array" ref="AD95">IF(AG95="","",$AG95-$AF95)</f>
        <v/>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350"/>
      <c r="D96" s="165"/>
      <c r="E96" s="164"/>
      <c r="F96" s="195" cm="1" t="str">
        <f t="array" ref="F96">IF(AG96="","",I96-H96)</f>
        <v/>
      </c>
      <c r="G96" s="160"/>
      <c r="H96" s="158"/>
      <c r="I96" s="159" cm="1" t="str">
        <f t="array" ref="I96">IF(AG96="","",P96-K96)</f>
        <v/>
      </c>
      <c r="J96" s="160"/>
      <c r="K96" s="158"/>
      <c r="L96" s="161"/>
      <c r="M96" s="161"/>
      <c r="N96" s="161"/>
      <c r="O96" s="161"/>
      <c r="P96" s="159" cm="1" t="str">
        <f t="array" ref="P96">IF(AG96="","",AC96-R96-Q96)</f>
        <v/>
      </c>
      <c r="Q96" s="162"/>
      <c r="R96" s="162"/>
      <c r="S96" s="161"/>
      <c r="T96" s="161"/>
      <c r="U96" s="161"/>
      <c r="V96" s="161"/>
      <c r="W96" s="161"/>
      <c r="X96" s="161"/>
      <c r="Y96" s="161"/>
      <c r="Z96" s="161"/>
      <c r="AA96" s="161"/>
      <c r="AB96" s="160"/>
      <c r="AC96" s="163"/>
      <c r="AD96" s="159" cm="1" t="str">
        <f t="array" ref="AD96">IF(AG96="","",$AG96-$AF96)</f>
        <v/>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350"/>
      <c r="D97" s="165"/>
      <c r="E97" s="164"/>
      <c r="F97" s="195" cm="1" t="str">
        <f t="array" ref="F97">IF(AG97="","",I97-H97)</f>
        <v/>
      </c>
      <c r="G97" s="160"/>
      <c r="H97" s="158"/>
      <c r="I97" s="159" cm="1" t="str">
        <f t="array" ref="I97">IF(AG97="","",P97-K97)</f>
        <v/>
      </c>
      <c r="J97" s="160"/>
      <c r="K97" s="158"/>
      <c r="L97" s="161"/>
      <c r="M97" s="161"/>
      <c r="N97" s="161"/>
      <c r="O97" s="161"/>
      <c r="P97" s="159" cm="1" t="str">
        <f t="array" ref="P97">IF(AG97="","",AC97-R97-Q97)</f>
        <v/>
      </c>
      <c r="Q97" s="162"/>
      <c r="R97" s="162"/>
      <c r="S97" s="161"/>
      <c r="T97" s="161"/>
      <c r="U97" s="161"/>
      <c r="V97" s="161"/>
      <c r="W97" s="161"/>
      <c r="X97" s="161"/>
      <c r="Y97" s="161"/>
      <c r="Z97" s="161"/>
      <c r="AA97" s="161"/>
      <c r="AB97" s="160"/>
      <c r="AC97" s="163"/>
      <c r="AD97" s="159" cm="1" t="str">
        <f t="array" ref="AD97">IF(AG97="","",$AG97-$AF97)</f>
        <v/>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350"/>
      <c r="D98" s="165"/>
      <c r="E98" s="164"/>
      <c r="F98" s="195" cm="1" t="str">
        <f t="array" ref="F98">IF(AG98="","",I98-H98)</f>
        <v/>
      </c>
      <c r="G98" s="160"/>
      <c r="H98" s="158"/>
      <c r="I98" s="159" cm="1" t="str">
        <f t="array" ref="I98">IF(AG98="","",P98-K98)</f>
        <v/>
      </c>
      <c r="J98" s="160"/>
      <c r="K98" s="158"/>
      <c r="L98" s="161"/>
      <c r="M98" s="161"/>
      <c r="N98" s="161"/>
      <c r="O98" s="161"/>
      <c r="P98" s="159" cm="1" t="str">
        <f t="array" ref="P98">IF(AG98="","",AC98-R98-Q98)</f>
        <v/>
      </c>
      <c r="Q98" s="162"/>
      <c r="R98" s="162"/>
      <c r="S98" s="161"/>
      <c r="T98" s="161"/>
      <c r="U98" s="161"/>
      <c r="V98" s="161"/>
      <c r="W98" s="161"/>
      <c r="X98" s="161"/>
      <c r="Y98" s="161"/>
      <c r="Z98" s="161"/>
      <c r="AA98" s="161"/>
      <c r="AB98" s="160"/>
      <c r="AC98" s="163"/>
      <c r="AD98" s="159" cm="1" t="str">
        <f t="array" ref="AD98">IF(AG98="","",$AG98-$AF98)</f>
        <v/>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350"/>
      <c r="D99" s="165"/>
      <c r="E99" s="164"/>
      <c r="F99" s="195" cm="1" t="str">
        <f t="array" ref="F99">IF(AG99="","",I99-H99)</f>
        <v/>
      </c>
      <c r="G99" s="160"/>
      <c r="H99" s="158"/>
      <c r="I99" s="159" cm="1" t="str">
        <f t="array" ref="I99">IF(AG99="","",P99-K99)</f>
        <v/>
      </c>
      <c r="J99" s="160"/>
      <c r="K99" s="158"/>
      <c r="L99" s="161"/>
      <c r="M99" s="161"/>
      <c r="N99" s="161"/>
      <c r="O99" s="161"/>
      <c r="P99" s="159" cm="1" t="str">
        <f t="array" ref="P99">IF(AG99="","",AC99-R99-Q99)</f>
        <v/>
      </c>
      <c r="Q99" s="162"/>
      <c r="R99" s="162"/>
      <c r="S99" s="161"/>
      <c r="T99" s="161"/>
      <c r="U99" s="161"/>
      <c r="V99" s="161"/>
      <c r="W99" s="161"/>
      <c r="X99" s="161"/>
      <c r="Y99" s="161"/>
      <c r="Z99" s="161"/>
      <c r="AA99" s="161"/>
      <c r="AB99" s="160"/>
      <c r="AC99" s="163"/>
      <c r="AD99" s="159" cm="1" t="str">
        <f t="array" ref="AD99">IF(AG99="","",$AG99-$AF99)</f>
        <v/>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350"/>
      <c r="D100" s="165"/>
      <c r="E100" s="164"/>
      <c r="F100" s="195" cm="1" t="str">
        <f t="array" ref="F100">IF(AG100="","",I100-H100)</f>
        <v/>
      </c>
      <c r="G100" s="160"/>
      <c r="H100" s="158"/>
      <c r="I100" s="159" cm="1" t="str">
        <f t="array" ref="I100">IF(AG100="","",P100-K100)</f>
        <v/>
      </c>
      <c r="J100" s="160"/>
      <c r="K100" s="158"/>
      <c r="L100" s="161"/>
      <c r="M100" s="161"/>
      <c r="N100" s="161"/>
      <c r="O100" s="161"/>
      <c r="P100" s="159" cm="1" t="str">
        <f t="array" ref="P100">IF(AG100="","",AC100-R100-Q100)</f>
        <v/>
      </c>
      <c r="Q100" s="162"/>
      <c r="R100" s="162"/>
      <c r="S100" s="161"/>
      <c r="T100" s="161"/>
      <c r="U100" s="161"/>
      <c r="V100" s="161"/>
      <c r="W100" s="161"/>
      <c r="X100" s="161"/>
      <c r="Y100" s="161"/>
      <c r="Z100" s="161"/>
      <c r="AA100" s="161"/>
      <c r="AB100" s="160"/>
      <c r="AC100" s="163"/>
      <c r="AD100" s="159" cm="1" t="str">
        <f t="array" ref="AD100">IF(AG100="","",$AG100-$AF100)</f>
        <v/>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350"/>
      <c r="D101" s="165"/>
      <c r="E101" s="164"/>
      <c r="F101" s="195" cm="1" t="str">
        <f t="array" ref="F101">IF(AG101="","",I101-H101)</f>
        <v/>
      </c>
      <c r="G101" s="160"/>
      <c r="H101" s="158"/>
      <c r="I101" s="159" cm="1" t="str">
        <f t="array" ref="I101">IF(AG101="","",P101-K101)</f>
        <v/>
      </c>
      <c r="J101" s="160"/>
      <c r="K101" s="158"/>
      <c r="L101" s="161"/>
      <c r="M101" s="161"/>
      <c r="N101" s="161"/>
      <c r="O101" s="161"/>
      <c r="P101" s="159" cm="1" t="str">
        <f t="array" ref="P101">IF(AG101="","",AC101-R101-Q101)</f>
        <v/>
      </c>
      <c r="Q101" s="162"/>
      <c r="R101" s="162"/>
      <c r="S101" s="161"/>
      <c r="T101" s="161"/>
      <c r="U101" s="161"/>
      <c r="V101" s="161"/>
      <c r="W101" s="161"/>
      <c r="X101" s="161"/>
      <c r="Y101" s="161"/>
      <c r="Z101" s="161"/>
      <c r="AA101" s="161"/>
      <c r="AB101" s="160"/>
      <c r="AC101" s="163"/>
      <c r="AD101" s="159" cm="1" t="str">
        <f t="array" ref="AD101">IF(AG101="","",$AG101-$AF101)</f>
        <v/>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350"/>
      <c r="D102" s="165"/>
      <c r="E102" s="164"/>
      <c r="F102" s="195" cm="1" t="str">
        <f t="array" ref="F102">IF(AG102="","",I102-H102)</f>
        <v/>
      </c>
      <c r="G102" s="160"/>
      <c r="H102" s="158"/>
      <c r="I102" s="159" cm="1" t="str">
        <f t="array" ref="I102">IF(AG102="","",P102-K102)</f>
        <v/>
      </c>
      <c r="J102" s="160"/>
      <c r="K102" s="158"/>
      <c r="L102" s="161"/>
      <c r="M102" s="161"/>
      <c r="N102" s="161"/>
      <c r="O102" s="161"/>
      <c r="P102" s="159" cm="1" t="str">
        <f t="array" ref="P102">IF(AG102="","",AC102-R102-Q102)</f>
        <v/>
      </c>
      <c r="Q102" s="162"/>
      <c r="R102" s="162"/>
      <c r="S102" s="161"/>
      <c r="T102" s="161"/>
      <c r="U102" s="161"/>
      <c r="V102" s="161"/>
      <c r="W102" s="161"/>
      <c r="X102" s="161"/>
      <c r="Y102" s="161"/>
      <c r="Z102" s="161"/>
      <c r="AA102" s="161"/>
      <c r="AB102" s="160"/>
      <c r="AC102" s="163"/>
      <c r="AD102" s="159" cm="1" t="str">
        <f t="array" ref="AD102">IF(AG102="","",$AG102-$AF102)</f>
        <v/>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350"/>
      <c r="D103" s="165"/>
      <c r="E103" s="164"/>
      <c r="F103" s="195" cm="1" t="str">
        <f t="array" ref="F103">IF(AG103="","",I103-H103)</f>
        <v/>
      </c>
      <c r="G103" s="160"/>
      <c r="H103" s="158"/>
      <c r="I103" s="159" cm="1" t="str">
        <f t="array" ref="I103">IF(AG103="","",P103-K103)</f>
        <v/>
      </c>
      <c r="J103" s="160"/>
      <c r="K103" s="158"/>
      <c r="L103" s="161"/>
      <c r="M103" s="161"/>
      <c r="N103" s="161"/>
      <c r="O103" s="161"/>
      <c r="P103" s="159" cm="1" t="str">
        <f t="array" ref="P103">IF(AG103="","",AC103-R103-Q103)</f>
        <v/>
      </c>
      <c r="Q103" s="162"/>
      <c r="R103" s="162"/>
      <c r="S103" s="161"/>
      <c r="T103" s="161"/>
      <c r="U103" s="161"/>
      <c r="V103" s="161"/>
      <c r="W103" s="161"/>
      <c r="X103" s="161"/>
      <c r="Y103" s="161"/>
      <c r="Z103" s="161"/>
      <c r="AA103" s="161"/>
      <c r="AB103" s="160"/>
      <c r="AC103" s="163"/>
      <c r="AD103" s="159" cm="1" t="str">
        <f t="array" ref="AD103">IF(AG103="","",$AG103-$AF103)</f>
        <v/>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350"/>
      <c r="D104" s="165"/>
      <c r="E104" s="164"/>
      <c r="F104" s="195" cm="1" t="str">
        <f t="array" ref="F104">IF(AG104="","",I104-H104)</f>
        <v/>
      </c>
      <c r="G104" s="160"/>
      <c r="H104" s="158"/>
      <c r="I104" s="159" cm="1" t="str">
        <f t="array" ref="I104">IF(AG104="","",P104-K104)</f>
        <v/>
      </c>
      <c r="J104" s="160"/>
      <c r="K104" s="158"/>
      <c r="L104" s="161"/>
      <c r="M104" s="161"/>
      <c r="N104" s="161"/>
      <c r="O104" s="161"/>
      <c r="P104" s="159" cm="1" t="str">
        <f t="array" ref="P104">IF(AG104="","",AC104-R104-Q104)</f>
        <v/>
      </c>
      <c r="Q104" s="162"/>
      <c r="R104" s="162"/>
      <c r="S104" s="161"/>
      <c r="T104" s="161"/>
      <c r="U104" s="161"/>
      <c r="V104" s="161"/>
      <c r="W104" s="161"/>
      <c r="X104" s="161"/>
      <c r="Y104" s="161"/>
      <c r="Z104" s="161"/>
      <c r="AA104" s="161"/>
      <c r="AB104" s="160"/>
      <c r="AC104" s="163"/>
      <c r="AD104" s="159" cm="1" t="str">
        <f t="array" ref="AD104">IF(AG104="","",$AG104-$AF104)</f>
        <v/>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350"/>
      <c r="D105" s="165"/>
      <c r="E105" s="164"/>
      <c r="F105" s="195" cm="1" t="str">
        <f t="array" ref="F105">IF(AG105="","",I105-H105)</f>
        <v/>
      </c>
      <c r="G105" s="160"/>
      <c r="H105" s="158"/>
      <c r="I105" s="159" cm="1" t="str">
        <f t="array" ref="I105">IF(AG105="","",P105-K105)</f>
        <v/>
      </c>
      <c r="J105" s="160"/>
      <c r="K105" s="158"/>
      <c r="L105" s="161"/>
      <c r="M105" s="161"/>
      <c r="N105" s="161"/>
      <c r="O105" s="161"/>
      <c r="P105" s="159" cm="1" t="str">
        <f t="array" ref="P105">IF(AG105="","",AC105-R105-Q105)</f>
        <v/>
      </c>
      <c r="Q105" s="162"/>
      <c r="R105" s="162"/>
      <c r="S105" s="161"/>
      <c r="T105" s="161"/>
      <c r="U105" s="161"/>
      <c r="V105" s="161"/>
      <c r="W105" s="161"/>
      <c r="X105" s="161"/>
      <c r="Y105" s="161"/>
      <c r="Z105" s="161"/>
      <c r="AA105" s="161"/>
      <c r="AB105" s="160"/>
      <c r="AC105" s="163"/>
      <c r="AD105" s="159" cm="1" t="str">
        <f t="array" ref="AD105">IF(AG105="","",$AG105-$AF105)</f>
        <v/>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350"/>
      <c r="D106" s="165"/>
      <c r="E106" s="164"/>
      <c r="F106" s="195" cm="1" t="str">
        <f t="array" ref="F106">IF(AG106="","",I106-H106)</f>
        <v/>
      </c>
      <c r="G106" s="160"/>
      <c r="H106" s="158"/>
      <c r="I106" s="159" cm="1" t="str">
        <f t="array" ref="I106">IF(AG106="","",P106-K106)</f>
        <v/>
      </c>
      <c r="J106" s="160"/>
      <c r="K106" s="158"/>
      <c r="L106" s="161"/>
      <c r="M106" s="161"/>
      <c r="N106" s="161"/>
      <c r="O106" s="161"/>
      <c r="P106" s="159" cm="1" t="str">
        <f t="array" ref="P106">IF(AG106="","",AC106-R106-Q106)</f>
        <v/>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350"/>
      <c r="D107" s="165"/>
      <c r="E107" s="164"/>
      <c r="F107" s="195" cm="1" t="str">
        <f t="array" ref="F107">IF(AG107="","",I107-H107)</f>
        <v/>
      </c>
      <c r="G107" s="160"/>
      <c r="H107" s="158"/>
      <c r="I107" s="159" cm="1" t="str">
        <f t="array" ref="I107">IF(AG107="","",P107-K107)</f>
        <v/>
      </c>
      <c r="J107" s="160"/>
      <c r="K107" s="158"/>
      <c r="L107" s="161"/>
      <c r="M107" s="161"/>
      <c r="N107" s="161"/>
      <c r="O107" s="161"/>
      <c r="P107" s="159" cm="1" t="str">
        <f t="array" ref="P107">IF(AG107="","",AC107-R107-Q107)</f>
        <v/>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350"/>
      <c r="D108" s="165"/>
      <c r="E108" s="164"/>
      <c r="F108" s="195" cm="1" t="str">
        <f t="array" ref="F108">IF(AG108="","",I108-H108)</f>
        <v/>
      </c>
      <c r="G108" s="160"/>
      <c r="H108" s="158"/>
      <c r="I108" s="159" cm="1" t="str">
        <f t="array" ref="I108">IF(AG108="","",P108-K108)</f>
        <v/>
      </c>
      <c r="J108" s="160"/>
      <c r="K108" s="158"/>
      <c r="L108" s="161"/>
      <c r="M108" s="161"/>
      <c r="N108" s="161"/>
      <c r="O108" s="161"/>
      <c r="P108" s="159" cm="1" t="str">
        <f t="array" ref="P108">IF(AG108="","",AC108-R108-Q108)</f>
        <v/>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350"/>
      <c r="D109" s="165"/>
      <c r="E109" s="164"/>
      <c r="F109" s="195" cm="1" t="str">
        <f t="array" ref="F109">IF(AG109="","",I109-H109)</f>
        <v/>
      </c>
      <c r="G109" s="160"/>
      <c r="H109" s="158"/>
      <c r="I109" s="159" cm="1" t="str">
        <f t="array" ref="I109">IF(AG109="","",P109-K109)</f>
        <v/>
      </c>
      <c r="J109" s="160"/>
      <c r="K109" s="158"/>
      <c r="L109" s="161"/>
      <c r="M109" s="161"/>
      <c r="N109" s="161"/>
      <c r="O109" s="161"/>
      <c r="P109" s="159" cm="1" t="str">
        <f t="array" ref="P109">IF(AG109="","",AC109-R109-Q109)</f>
        <v/>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350"/>
      <c r="D110" s="165"/>
      <c r="E110" s="164"/>
      <c r="F110" s="195" cm="1" t="str">
        <f t="array" ref="F110">IF(AG110="","",I110-H110)</f>
        <v/>
      </c>
      <c r="G110" s="160"/>
      <c r="H110" s="158"/>
      <c r="I110" s="159" cm="1" t="str">
        <f t="array" ref="I110">IF(AG110="","",P110-K110)</f>
        <v/>
      </c>
      <c r="J110" s="160"/>
      <c r="K110" s="158"/>
      <c r="L110" s="161"/>
      <c r="M110" s="161"/>
      <c r="N110" s="161"/>
      <c r="O110" s="161"/>
      <c r="P110" s="159" cm="1" t="str">
        <f t="array" ref="P110">IF(AG110="","",AC110-R110-Q110)</f>
        <v/>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350"/>
      <c r="D111" s="165"/>
      <c r="E111" s="164"/>
      <c r="F111" s="195" cm="1" t="str">
        <f t="array" ref="F111">IF(AG111="","",I111-H111)</f>
        <v/>
      </c>
      <c r="G111" s="160"/>
      <c r="H111" s="158"/>
      <c r="I111" s="159" cm="1" t="str">
        <f t="array" ref="I111">IF(AG111="","",P111-K111)</f>
        <v/>
      </c>
      <c r="J111" s="160"/>
      <c r="K111" s="158"/>
      <c r="L111" s="161"/>
      <c r="M111" s="161"/>
      <c r="N111" s="161"/>
      <c r="O111" s="161"/>
      <c r="P111" s="159" cm="1" t="str">
        <f t="array" ref="P111">IF(AG111="","",AC111-R111-Q111)</f>
        <v/>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350"/>
      <c r="D112" s="165"/>
      <c r="E112" s="164"/>
      <c r="F112" s="195" cm="1" t="str">
        <f t="array" ref="F112">IF(AG112="","",I112-H112)</f>
        <v/>
      </c>
      <c r="G112" s="160"/>
      <c r="H112" s="158"/>
      <c r="I112" s="159" cm="1" t="str">
        <f t="array" ref="I112">IF(AG112="","",P112-K112)</f>
        <v/>
      </c>
      <c r="J112" s="160"/>
      <c r="K112" s="158"/>
      <c r="L112" s="161"/>
      <c r="M112" s="161"/>
      <c r="N112" s="161"/>
      <c r="O112" s="161"/>
      <c r="P112" s="159" cm="1" t="str">
        <f t="array" ref="P112">IF(AG112="","",AC112-R112-Q112)</f>
        <v/>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350"/>
      <c r="D113" s="165"/>
      <c r="E113" s="164"/>
      <c r="F113" s="195" cm="1" t="str">
        <f t="array" ref="F113">IF(AG113="","",I113-H113)</f>
        <v/>
      </c>
      <c r="G113" s="160"/>
      <c r="H113" s="158"/>
      <c r="I113" s="159" cm="1" t="str">
        <f t="array" ref="I113">IF(AG113="","",P113-K113)</f>
        <v/>
      </c>
      <c r="J113" s="160"/>
      <c r="K113" s="158"/>
      <c r="L113" s="161"/>
      <c r="M113" s="161"/>
      <c r="N113" s="161"/>
      <c r="O113" s="161"/>
      <c r="P113" s="159" cm="1" t="str">
        <f t="array" ref="P113">IF(AG113="","",AC113-R113-Q113)</f>
        <v/>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350"/>
      <c r="D114" s="165"/>
      <c r="E114" s="164"/>
      <c r="F114" s="195" cm="1" t="str">
        <f t="array" ref="F114">IF(AG114="","",I114-H114)</f>
        <v/>
      </c>
      <c r="G114" s="160"/>
      <c r="H114" s="158"/>
      <c r="I114" s="159" cm="1" t="str">
        <f t="array" ref="I114">IF(AG114="","",P114-K114)</f>
        <v/>
      </c>
      <c r="J114" s="160"/>
      <c r="K114" s="158"/>
      <c r="L114" s="161"/>
      <c r="M114" s="161"/>
      <c r="N114" s="161"/>
      <c r="O114" s="161"/>
      <c r="P114" s="159" cm="1" t="str">
        <f t="array" ref="P114">IF(AG114="","",AC114-R114-Q114)</f>
        <v/>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350"/>
      <c r="D115" s="165"/>
      <c r="E115" s="164"/>
      <c r="F115" s="195" cm="1" t="str">
        <f t="array" ref="F115">IF(AG115="","",I115-H115)</f>
        <v/>
      </c>
      <c r="G115" s="160"/>
      <c r="H115" s="158"/>
      <c r="I115" s="159" cm="1" t="str">
        <f t="array" ref="I115">IF(AG115="","",P115-K115)</f>
        <v/>
      </c>
      <c r="J115" s="160"/>
      <c r="K115" s="158"/>
      <c r="L115" s="161"/>
      <c r="M115" s="161"/>
      <c r="N115" s="161"/>
      <c r="O115" s="161"/>
      <c r="P115" s="159" cm="1" t="str">
        <f t="array" ref="P115">IF(AG115="","",AC115-R115-Q115)</f>
        <v/>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350"/>
      <c r="D116" s="165"/>
      <c r="E116" s="164"/>
      <c r="F116" s="195" cm="1" t="str">
        <f t="array" ref="F116">IF(AG116="","",I116-H116)</f>
        <v/>
      </c>
      <c r="G116" s="160"/>
      <c r="H116" s="158"/>
      <c r="I116" s="159" cm="1" t="str">
        <f t="array" ref="I116">IF(AG116="","",P116-K116)</f>
        <v/>
      </c>
      <c r="J116" s="160"/>
      <c r="K116" s="158"/>
      <c r="L116" s="161"/>
      <c r="M116" s="161"/>
      <c r="N116" s="161"/>
      <c r="O116" s="161"/>
      <c r="P116" s="159" cm="1" t="str">
        <f t="array" ref="P116">IF(AG116="","",AC116-R116-Q116)</f>
        <v/>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350"/>
      <c r="D117" s="165"/>
      <c r="E117" s="164"/>
      <c r="F117" s="195" cm="1" t="str">
        <f t="array" ref="F117">IF(AG117="","",I117-H117)</f>
        <v/>
      </c>
      <c r="G117" s="160"/>
      <c r="H117" s="158"/>
      <c r="I117" s="159" cm="1" t="str">
        <f t="array" ref="I117">IF(AG117="","",P117-K117)</f>
        <v/>
      </c>
      <c r="J117" s="160"/>
      <c r="K117" s="158"/>
      <c r="L117" s="161"/>
      <c r="M117" s="161"/>
      <c r="N117" s="161"/>
      <c r="O117" s="161"/>
      <c r="P117" s="159" cm="1" t="str">
        <f t="array" ref="P117">IF(AG117="","",AC117-R117-Q117)</f>
        <v/>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350"/>
      <c r="D118" s="165"/>
      <c r="E118" s="164"/>
      <c r="F118" s="195" cm="1" t="str">
        <f t="array" ref="F118">IF(AG118="","",I118-H118)</f>
        <v/>
      </c>
      <c r="G118" s="160"/>
      <c r="H118" s="158"/>
      <c r="I118" s="159" cm="1" t="str">
        <f t="array" ref="I118">IF(AG118="","",P118-K118)</f>
        <v/>
      </c>
      <c r="J118" s="160"/>
      <c r="K118" s="158"/>
      <c r="L118" s="161"/>
      <c r="M118" s="161"/>
      <c r="N118" s="161"/>
      <c r="O118" s="161"/>
      <c r="P118" s="159" cm="1" t="str">
        <f t="array" ref="P118">IF(AG118="","",AC118-R118-Q118)</f>
        <v/>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350"/>
      <c r="D119" s="165"/>
      <c r="E119" s="164"/>
      <c r="F119" s="195" cm="1" t="str">
        <f t="array" ref="F119">IF(AG119="","",I119-H119)</f>
        <v/>
      </c>
      <c r="G119" s="160"/>
      <c r="H119" s="158"/>
      <c r="I119" s="159" cm="1" t="str">
        <f t="array" ref="I119">IF(AG119="","",P119-K119)</f>
        <v/>
      </c>
      <c r="J119" s="160"/>
      <c r="K119" s="158"/>
      <c r="L119" s="161"/>
      <c r="M119" s="161"/>
      <c r="N119" s="161"/>
      <c r="O119" s="161"/>
      <c r="P119" s="159" cm="1" t="str">
        <f t="array" ref="P119">IF(AG119="","",AC119-R119-Q119)</f>
        <v/>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350"/>
      <c r="D120" s="165"/>
      <c r="E120" s="164"/>
      <c r="F120" s="195" cm="1" t="str">
        <f t="array" ref="F120">IF(AG120="","",I120-H120)</f>
        <v/>
      </c>
      <c r="G120" s="160"/>
      <c r="H120" s="158"/>
      <c r="I120" s="159" cm="1" t="str">
        <f t="array" ref="I120">IF(AG120="","",P120-K120)</f>
        <v/>
      </c>
      <c r="J120" s="160"/>
      <c r="K120" s="158"/>
      <c r="L120" s="161"/>
      <c r="M120" s="161"/>
      <c r="N120" s="161"/>
      <c r="O120" s="161"/>
      <c r="P120" s="159" cm="1" t="str">
        <f t="array" ref="P120">IF(AG120="","",AC120-R120-Q120)</f>
        <v/>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350"/>
      <c r="D121" s="165"/>
      <c r="E121" s="164"/>
      <c r="F121" s="195" cm="1" t="str">
        <f t="array" ref="F121">IF(AG121="","",I121-H121)</f>
        <v/>
      </c>
      <c r="G121" s="160"/>
      <c r="H121" s="158"/>
      <c r="I121" s="159" cm="1" t="str">
        <f t="array" ref="I121">IF(AG121="","",P121-K121)</f>
        <v/>
      </c>
      <c r="J121" s="160"/>
      <c r="K121" s="158"/>
      <c r="L121" s="161"/>
      <c r="M121" s="161"/>
      <c r="N121" s="161"/>
      <c r="O121" s="161"/>
      <c r="P121" s="159" cm="1" t="str">
        <f t="array" ref="P121">IF(AG121="","",AC121-R121-Q121)</f>
        <v/>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350"/>
      <c r="D122" s="165"/>
      <c r="E122" s="164"/>
      <c r="F122" s="195" cm="1" t="str">
        <f t="array" ref="F122">IF(AG122="","",I122-H122)</f>
        <v/>
      </c>
      <c r="G122" s="160"/>
      <c r="H122" s="158"/>
      <c r="I122" s="159" cm="1" t="str">
        <f t="array" ref="I122">IF(AG122="","",P122-K122)</f>
        <v/>
      </c>
      <c r="J122" s="160"/>
      <c r="K122" s="158"/>
      <c r="L122" s="161"/>
      <c r="M122" s="161"/>
      <c r="N122" s="161"/>
      <c r="O122" s="161"/>
      <c r="P122" s="159" cm="1" t="str">
        <f t="array" ref="P122">IF(AG122="","",AC122-R122-Q122)</f>
        <v/>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350"/>
      <c r="D123" s="165"/>
      <c r="E123" s="164"/>
      <c r="F123" s="195" cm="1" t="str">
        <f t="array" ref="F123">IF(AG123="","",I123-H123)</f>
        <v/>
      </c>
      <c r="G123" s="160"/>
      <c r="H123" s="158"/>
      <c r="I123" s="159" cm="1" t="str">
        <f t="array" ref="I123">IF(AG123="","",P123-K123)</f>
        <v/>
      </c>
      <c r="J123" s="160"/>
      <c r="K123" s="158"/>
      <c r="L123" s="161"/>
      <c r="M123" s="161"/>
      <c r="N123" s="161"/>
      <c r="O123" s="161"/>
      <c r="P123" s="159" cm="1" t="str">
        <f t="array" ref="P123">IF(AG123="","",AC123-R123-Q123)</f>
        <v/>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350"/>
      <c r="D124" s="165"/>
      <c r="E124" s="164"/>
      <c r="F124" s="195" cm="1" t="str">
        <f t="array" ref="F124">IF(AG124="","",I124-H124)</f>
        <v/>
      </c>
      <c r="G124" s="160"/>
      <c r="H124" s="158"/>
      <c r="I124" s="159" cm="1" t="str">
        <f t="array" ref="I124">IF(AG124="","",P124-K124)</f>
        <v/>
      </c>
      <c r="J124" s="160"/>
      <c r="K124" s="158"/>
      <c r="L124" s="161"/>
      <c r="M124" s="161"/>
      <c r="N124" s="161"/>
      <c r="O124" s="161"/>
      <c r="P124" s="159" cm="1" t="str">
        <f t="array" ref="P124">IF(AG124="","",AC124-R124-Q124)</f>
        <v/>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350"/>
      <c r="D125" s="165"/>
      <c r="E125" s="164"/>
      <c r="F125" s="195" cm="1" t="str">
        <f t="array" ref="F125">IF(AG125="","",I125-H125)</f>
        <v/>
      </c>
      <c r="G125" s="160"/>
      <c r="H125" s="158"/>
      <c r="I125" s="159" cm="1" t="str">
        <f t="array" ref="I125">IF(AG125="","",P125-K125)</f>
        <v/>
      </c>
      <c r="J125" s="160"/>
      <c r="K125" s="158"/>
      <c r="L125" s="161"/>
      <c r="M125" s="161"/>
      <c r="N125" s="161"/>
      <c r="O125" s="161"/>
      <c r="P125" s="159" cm="1" t="str">
        <f t="array" ref="P125">IF(AG125="","",AC125-R125-Q125)</f>
        <v/>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350"/>
      <c r="D126" s="165"/>
      <c r="E126" s="164"/>
      <c r="F126" s="195" cm="1" t="str">
        <f t="array" ref="F126">IF(AG126="","",I126-H126)</f>
        <v/>
      </c>
      <c r="G126" s="160"/>
      <c r="H126" s="158"/>
      <c r="I126" s="159" cm="1" t="str">
        <f t="array" ref="I126">IF(AG126="","",P126-K126)</f>
        <v/>
      </c>
      <c r="J126" s="160"/>
      <c r="K126" s="158"/>
      <c r="L126" s="161"/>
      <c r="M126" s="161"/>
      <c r="N126" s="161"/>
      <c r="O126" s="161"/>
      <c r="P126" s="159" cm="1" t="str">
        <f t="array" ref="P126">IF(AG126="","",AC126-R126-Q126)</f>
        <v/>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350"/>
      <c r="D127" s="165"/>
      <c r="E127" s="164"/>
      <c r="F127" s="195" cm="1" t="str">
        <f t="array" ref="F127">IF(AG127="","",I127-H127)</f>
        <v/>
      </c>
      <c r="G127" s="160"/>
      <c r="H127" s="158"/>
      <c r="I127" s="159" cm="1" t="str">
        <f t="array" ref="I127">IF(AG127="","",P127-K127)</f>
        <v/>
      </c>
      <c r="J127" s="160"/>
      <c r="K127" s="158"/>
      <c r="L127" s="161"/>
      <c r="M127" s="161"/>
      <c r="N127" s="161"/>
      <c r="O127" s="161"/>
      <c r="P127" s="159" cm="1" t="str">
        <f t="array" ref="P127">IF(AG127="","",AC127-R127-Q127)</f>
        <v/>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350"/>
      <c r="D128" s="165"/>
      <c r="E128" s="164"/>
      <c r="F128" s="195" cm="1" t="str">
        <f t="array" ref="F128">IF(AG128="","",I128-H128)</f>
        <v/>
      </c>
      <c r="G128" s="160"/>
      <c r="H128" s="158"/>
      <c r="I128" s="159" cm="1" t="str">
        <f t="array" ref="I128">IF(AG128="","",P128-K128)</f>
        <v/>
      </c>
      <c r="J128" s="160"/>
      <c r="K128" s="158"/>
      <c r="L128" s="161"/>
      <c r="M128" s="161"/>
      <c r="N128" s="161"/>
      <c r="O128" s="161"/>
      <c r="P128" s="159" cm="1" t="str">
        <f t="array" ref="P128">IF(AG128="","",AC128-R128-Q128)</f>
        <v/>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350"/>
      <c r="D129" s="165"/>
      <c r="E129" s="164"/>
      <c r="F129" s="195" cm="1" t="str">
        <f t="array" ref="F129">IF(AG129="","",I129-H129)</f>
        <v/>
      </c>
      <c r="G129" s="160"/>
      <c r="H129" s="158"/>
      <c r="I129" s="159" cm="1" t="str">
        <f t="array" ref="I129">IF(AG129="","",P129-K129)</f>
        <v/>
      </c>
      <c r="J129" s="160"/>
      <c r="K129" s="158"/>
      <c r="L129" s="161"/>
      <c r="M129" s="161"/>
      <c r="N129" s="161"/>
      <c r="O129" s="161"/>
      <c r="P129" s="159" cm="1" t="str">
        <f t="array" ref="P129">IF(AG129="","",AC129-R129-Q129)</f>
        <v/>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350"/>
      <c r="D130" s="165"/>
      <c r="E130" s="164"/>
      <c r="F130" s="195" cm="1" t="str">
        <f t="array" ref="F130">IF(AG130="","",I130-H130)</f>
        <v/>
      </c>
      <c r="G130" s="160"/>
      <c r="H130" s="158"/>
      <c r="I130" s="159" cm="1" t="str">
        <f t="array" ref="I130">IF(AG130="","",P130-K130)</f>
        <v/>
      </c>
      <c r="J130" s="160"/>
      <c r="K130" s="158"/>
      <c r="L130" s="161"/>
      <c r="M130" s="161"/>
      <c r="N130" s="161"/>
      <c r="O130" s="161"/>
      <c r="P130" s="159" cm="1" t="str">
        <f t="array" ref="P130">IF(AG130="","",AC130-R130-Q130)</f>
        <v/>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350"/>
      <c r="D131" s="165"/>
      <c r="E131" s="164"/>
      <c r="F131" s="195" cm="1" t="str">
        <f t="array" ref="F131">IF(AG131="","",I131-H131)</f>
        <v/>
      </c>
      <c r="G131" s="160"/>
      <c r="H131" s="158"/>
      <c r="I131" s="159" cm="1" t="str">
        <f t="array" ref="I131">IF(AG131="","",P131-K131)</f>
        <v/>
      </c>
      <c r="J131" s="160"/>
      <c r="K131" s="158"/>
      <c r="L131" s="161"/>
      <c r="M131" s="161"/>
      <c r="N131" s="161"/>
      <c r="O131" s="161"/>
      <c r="P131" s="159" cm="1" t="str">
        <f t="array" ref="P131">IF(AG131="","",AC131-R131-Q131)</f>
        <v/>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350"/>
      <c r="D132" s="165"/>
      <c r="E132" s="164"/>
      <c r="F132" s="195" cm="1" t="str">
        <f t="array" ref="F132">IF(AG132="","",I132-H132)</f>
        <v/>
      </c>
      <c r="G132" s="160"/>
      <c r="H132" s="158"/>
      <c r="I132" s="159" cm="1" t="str">
        <f t="array" ref="I132">IF(AG132="","",P132-K132)</f>
        <v/>
      </c>
      <c r="J132" s="160"/>
      <c r="K132" s="158"/>
      <c r="L132" s="161"/>
      <c r="M132" s="161"/>
      <c r="N132" s="161"/>
      <c r="O132" s="161"/>
      <c r="P132" s="159" cm="1" t="str">
        <f t="array" ref="P132">IF(AG132="","",AC132-R132-Q132)</f>
        <v/>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350"/>
      <c r="D133" s="165"/>
      <c r="E133" s="164"/>
      <c r="F133" s="195" cm="1" t="str">
        <f t="array" ref="F133">IF(AG133="","",I133-H133)</f>
        <v/>
      </c>
      <c r="G133" s="160"/>
      <c r="H133" s="158"/>
      <c r="I133" s="159" cm="1" t="str">
        <f t="array" ref="I133">IF(AG133="","",P133-K133)</f>
        <v/>
      </c>
      <c r="J133" s="160"/>
      <c r="K133" s="158"/>
      <c r="L133" s="161"/>
      <c r="M133" s="161"/>
      <c r="N133" s="161"/>
      <c r="O133" s="161"/>
      <c r="P133" s="159" cm="1" t="str">
        <f t="array" ref="P133">IF(AG133="","",AC133-R133-Q133)</f>
        <v/>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350"/>
      <c r="D134" s="165"/>
      <c r="E134" s="164"/>
      <c r="F134" s="195" cm="1" t="str">
        <f t="array" ref="F134">IF(AG134="","",I134-H134)</f>
        <v/>
      </c>
      <c r="G134" s="160"/>
      <c r="H134" s="158"/>
      <c r="I134" s="159" cm="1" t="str">
        <f t="array" ref="I134">IF(AG134="","",P134-K134)</f>
        <v/>
      </c>
      <c r="J134" s="160"/>
      <c r="K134" s="158"/>
      <c r="L134" s="161"/>
      <c r="M134" s="161"/>
      <c r="N134" s="161"/>
      <c r="O134" s="161"/>
      <c r="P134" s="159" cm="1" t="str">
        <f t="array" ref="P134">IF(AG134="","",AC134-R134-Q134)</f>
        <v/>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350"/>
      <c r="D135" s="165"/>
      <c r="E135" s="164"/>
      <c r="F135" s="195" cm="1" t="str">
        <f t="array" ref="F135">IF(AG135="","",I135-H135)</f>
        <v/>
      </c>
      <c r="G135" s="160"/>
      <c r="H135" s="158"/>
      <c r="I135" s="159" cm="1" t="str">
        <f t="array" ref="I135">IF(AG135="","",P135-K135)</f>
        <v/>
      </c>
      <c r="J135" s="160"/>
      <c r="K135" s="158"/>
      <c r="L135" s="161"/>
      <c r="M135" s="161"/>
      <c r="N135" s="161"/>
      <c r="O135" s="161"/>
      <c r="P135" s="159" cm="1" t="str">
        <f t="array" ref="P135">IF(AG135="","",AC135-R135-Q135)</f>
        <v/>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350"/>
      <c r="D136" s="165"/>
      <c r="E136" s="164"/>
      <c r="F136" s="195" cm="1" t="str">
        <f t="array" ref="F136">IF(AG136="","",I136-H136)</f>
        <v/>
      </c>
      <c r="G136" s="160"/>
      <c r="H136" s="158"/>
      <c r="I136" s="159" cm="1" t="str">
        <f t="array" ref="I136">IF(AG136="","",P136-K136)</f>
        <v/>
      </c>
      <c r="J136" s="160"/>
      <c r="K136" s="158"/>
      <c r="L136" s="161"/>
      <c r="M136" s="161"/>
      <c r="N136" s="161"/>
      <c r="O136" s="161"/>
      <c r="P136" s="159" cm="1" t="str">
        <f t="array" ref="P136">IF(AG136="","",AC136-R136-Q136)</f>
        <v/>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350"/>
      <c r="D137" s="165"/>
      <c r="E137" s="164"/>
      <c r="F137" s="195" cm="1" t="str">
        <f t="array" ref="F137">IF(AG137="","",I137-H137)</f>
        <v/>
      </c>
      <c r="G137" s="160"/>
      <c r="H137" s="158"/>
      <c r="I137" s="159" cm="1" t="str">
        <f t="array" ref="I137">IF(AG137="","",P137-K137)</f>
        <v/>
      </c>
      <c r="J137" s="160"/>
      <c r="K137" s="158"/>
      <c r="L137" s="161"/>
      <c r="M137" s="161"/>
      <c r="N137" s="161"/>
      <c r="O137" s="161"/>
      <c r="P137" s="159" cm="1" t="str">
        <f t="array" ref="P137">IF(AG137="","",AC137-R137-Q137)</f>
        <v/>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350"/>
      <c r="D138" s="165"/>
      <c r="E138" s="164"/>
      <c r="F138" s="195" cm="1" t="str">
        <f t="array" ref="F138">IF(AG138="","",I138-H138)</f>
        <v/>
      </c>
      <c r="G138" s="160"/>
      <c r="H138" s="158"/>
      <c r="I138" s="159" cm="1" t="str">
        <f t="array" ref="I138">IF(AG138="","",P138-K138)</f>
        <v/>
      </c>
      <c r="J138" s="160"/>
      <c r="K138" s="158"/>
      <c r="L138" s="161"/>
      <c r="M138" s="161"/>
      <c r="N138" s="161"/>
      <c r="O138" s="161"/>
      <c r="P138" s="159" cm="1" t="str">
        <f t="array" ref="P138">IF(AG138="","",AC138-R138-Q138)</f>
        <v/>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350"/>
      <c r="D139" s="165"/>
      <c r="E139" s="164"/>
      <c r="F139" s="195" cm="1" t="str">
        <f t="array" ref="F139">IF(AG139="","",I139-H139)</f>
        <v/>
      </c>
      <c r="G139" s="160"/>
      <c r="H139" s="158"/>
      <c r="I139" s="159" cm="1" t="str">
        <f t="array" ref="I139">IF(AG139="","",P139-K139)</f>
        <v/>
      </c>
      <c r="J139" s="160"/>
      <c r="K139" s="158"/>
      <c r="L139" s="161"/>
      <c r="M139" s="161"/>
      <c r="N139" s="161"/>
      <c r="O139" s="161"/>
      <c r="P139" s="159" cm="1" t="str">
        <f t="array" ref="P139">IF(AG139="","",AC139-R139-Q139)</f>
        <v/>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350"/>
      <c r="D140" s="165"/>
      <c r="E140" s="164"/>
      <c r="F140" s="195" cm="1" t="str">
        <f t="array" ref="F140">IF(AG140="","",I140-H140)</f>
        <v/>
      </c>
      <c r="G140" s="160"/>
      <c r="H140" s="158"/>
      <c r="I140" s="159" cm="1" t="str">
        <f t="array" ref="I140">IF(AG140="","",P140-K140)</f>
        <v/>
      </c>
      <c r="J140" s="160"/>
      <c r="K140" s="158"/>
      <c r="L140" s="161"/>
      <c r="M140" s="161"/>
      <c r="N140" s="161"/>
      <c r="O140" s="161"/>
      <c r="P140" s="159" cm="1" t="str">
        <f t="array" ref="P140">IF(AG140="","",AC140-R140-Q140)</f>
        <v/>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350"/>
      <c r="D141" s="165"/>
      <c r="E141" s="164"/>
      <c r="F141" s="195" cm="1" t="str">
        <f t="array" ref="F141">IF(AG141="","",I141-H141)</f>
        <v/>
      </c>
      <c r="G141" s="160"/>
      <c r="H141" s="158"/>
      <c r="I141" s="159" cm="1" t="str">
        <f t="array" ref="I141">IF(AG141="","",P141-K141)</f>
        <v/>
      </c>
      <c r="J141" s="160"/>
      <c r="K141" s="158"/>
      <c r="L141" s="161"/>
      <c r="M141" s="161"/>
      <c r="N141" s="161"/>
      <c r="O141" s="161"/>
      <c r="P141" s="159" cm="1" t="str">
        <f t="array" ref="P141">IF(AG141="","",AC141-R141-Q141)</f>
        <v/>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350"/>
      <c r="D142" s="165"/>
      <c r="E142" s="164"/>
      <c r="F142" s="195" cm="1" t="str">
        <f t="array" ref="F142">IF(AG142="","",I142-H142)</f>
        <v/>
      </c>
      <c r="G142" s="160"/>
      <c r="H142" s="158"/>
      <c r="I142" s="159" cm="1" t="str">
        <f t="array" ref="I142">IF(AG142="","",P142-K142)</f>
        <v/>
      </c>
      <c r="J142" s="160"/>
      <c r="K142" s="158"/>
      <c r="L142" s="161"/>
      <c r="M142" s="161"/>
      <c r="N142" s="161"/>
      <c r="O142" s="161"/>
      <c r="P142" s="159" cm="1" t="str">
        <f t="array" ref="P142">IF(AG142="","",AC142-R142-Q142)</f>
        <v/>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350"/>
      <c r="D143" s="165"/>
      <c r="E143" s="164"/>
      <c r="F143" s="195" cm="1" t="str">
        <f t="array" ref="F143">IF(AG143="","",I143-H143)</f>
        <v/>
      </c>
      <c r="G143" s="160"/>
      <c r="H143" s="158"/>
      <c r="I143" s="159" cm="1" t="str">
        <f t="array" ref="I143">IF(AG143="","",P143-K143)</f>
        <v/>
      </c>
      <c r="J143" s="160"/>
      <c r="K143" s="158"/>
      <c r="L143" s="161"/>
      <c r="M143" s="161"/>
      <c r="N143" s="161"/>
      <c r="O143" s="161"/>
      <c r="P143" s="159" cm="1" t="str">
        <f t="array" ref="P143">IF(AG143="","",AC143-R143-Q143)</f>
        <v/>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350"/>
      <c r="D144" s="165"/>
      <c r="E144" s="164"/>
      <c r="F144" s="195" cm="1" t="str">
        <f t="array" ref="F144">IF(AG144="","",I144-H144)</f>
        <v/>
      </c>
      <c r="G144" s="160"/>
      <c r="H144" s="158"/>
      <c r="I144" s="159" cm="1" t="str">
        <f t="array" ref="I144">IF(AG144="","",P144-K144)</f>
        <v/>
      </c>
      <c r="J144" s="160"/>
      <c r="K144" s="158"/>
      <c r="L144" s="161"/>
      <c r="M144" s="161"/>
      <c r="N144" s="161"/>
      <c r="O144" s="161"/>
      <c r="P144" s="159" cm="1" t="str">
        <f t="array" ref="P144">IF(AG144="","",AC144-R144-Q144)</f>
        <v/>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350"/>
      <c r="D145" s="165"/>
      <c r="E145" s="164"/>
      <c r="F145" s="195" cm="1" t="str">
        <f t="array" ref="F145">IF(AG145="","",I145-H145)</f>
        <v/>
      </c>
      <c r="G145" s="160"/>
      <c r="H145" s="158"/>
      <c r="I145" s="159" cm="1" t="str">
        <f t="array" ref="I145">IF(AG145="","",P145-K145)</f>
        <v/>
      </c>
      <c r="J145" s="160"/>
      <c r="K145" s="158"/>
      <c r="L145" s="161"/>
      <c r="M145" s="161"/>
      <c r="N145" s="161"/>
      <c r="O145" s="161"/>
      <c r="P145" s="159" cm="1" t="str">
        <f t="array" ref="P145">IF(AG145="","",AC145-R145-Q145)</f>
        <v/>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350"/>
      <c r="D146" s="165"/>
      <c r="E146" s="164"/>
      <c r="F146" s="195" cm="1" t="str">
        <f t="array" ref="F146">IF(AG146="","",I146-H146)</f>
        <v/>
      </c>
      <c r="G146" s="160"/>
      <c r="H146" s="158"/>
      <c r="I146" s="159" cm="1" t="str">
        <f t="array" ref="I146">IF(AG146="","",P146-K146)</f>
        <v/>
      </c>
      <c r="J146" s="160"/>
      <c r="K146" s="158"/>
      <c r="L146" s="161"/>
      <c r="M146" s="161"/>
      <c r="N146" s="161"/>
      <c r="O146" s="161"/>
      <c r="P146" s="159" cm="1" t="str">
        <f t="array" ref="P146">IF(AG146="","",AC146-R146-Q146)</f>
        <v/>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350"/>
      <c r="D147" s="165"/>
      <c r="E147" s="164"/>
      <c r="F147" s="195" cm="1" t="str">
        <f t="array" ref="F147">IF(AG147="","",I147-H147)</f>
        <v/>
      </c>
      <c r="G147" s="160"/>
      <c r="H147" s="158"/>
      <c r="I147" s="159" cm="1" t="str">
        <f t="array" ref="I147">IF(AG147="","",P147-K147)</f>
        <v/>
      </c>
      <c r="J147" s="160"/>
      <c r="K147" s="158"/>
      <c r="L147" s="161"/>
      <c r="M147" s="161"/>
      <c r="N147" s="161"/>
      <c r="O147" s="161"/>
      <c r="P147" s="159" cm="1" t="str">
        <f t="array" ref="P147">IF(AG147="","",AC147-R147-Q147)</f>
        <v/>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350"/>
      <c r="D148" s="165"/>
      <c r="E148" s="164"/>
      <c r="F148" s="195" cm="1" t="str">
        <f t="array" ref="F148">IF(AG148="","",I148-H148)</f>
        <v/>
      </c>
      <c r="G148" s="160"/>
      <c r="H148" s="158"/>
      <c r="I148" s="159" cm="1" t="str">
        <f t="array" ref="I148">IF(AG148="","",P148-K148)</f>
        <v/>
      </c>
      <c r="J148" s="160"/>
      <c r="K148" s="158"/>
      <c r="L148" s="161"/>
      <c r="M148" s="161"/>
      <c r="N148" s="161"/>
      <c r="O148" s="161"/>
      <c r="P148" s="159" cm="1" t="str">
        <f t="array" ref="P148">IF(AG148="","",AC148-R148-Q148)</f>
        <v/>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350"/>
      <c r="D149" s="165"/>
      <c r="E149" s="164"/>
      <c r="F149" s="195" cm="1" t="str">
        <f t="array" ref="F149">IF(AG149="","",I149-H149)</f>
        <v/>
      </c>
      <c r="G149" s="160"/>
      <c r="H149" s="158"/>
      <c r="I149" s="159" cm="1" t="str">
        <f t="array" ref="I149">IF(AG149="","",P149-K149)</f>
        <v/>
      </c>
      <c r="J149" s="160"/>
      <c r="K149" s="158"/>
      <c r="L149" s="161"/>
      <c r="M149" s="161"/>
      <c r="N149" s="161"/>
      <c r="O149" s="161"/>
      <c r="P149" s="159" cm="1" t="str">
        <f t="array" ref="P149">IF(AG149="","",AC149-R149-Q149)</f>
        <v/>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350"/>
      <c r="D150" s="165"/>
      <c r="E150" s="164"/>
      <c r="F150" s="195" cm="1" t="str">
        <f t="array" ref="F150">IF(AG150="","",I150-H150)</f>
        <v/>
      </c>
      <c r="G150" s="160"/>
      <c r="H150" s="158"/>
      <c r="I150" s="159" cm="1" t="str">
        <f t="array" ref="I150">IF(AG150="","",P150-K150)</f>
        <v/>
      </c>
      <c r="J150" s="160"/>
      <c r="K150" s="158"/>
      <c r="L150" s="161"/>
      <c r="M150" s="161"/>
      <c r="N150" s="161"/>
      <c r="O150" s="161"/>
      <c r="P150" s="159" cm="1" t="str">
        <f t="array" ref="P150">IF(AG150="","",AC150-R150-Q150)</f>
        <v/>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350"/>
      <c r="D151" s="165"/>
      <c r="E151" s="164"/>
      <c r="F151" s="195" cm="1" t="str">
        <f t="array" ref="F151">IF(AG151="","",I151-H151)</f>
        <v/>
      </c>
      <c r="G151" s="160"/>
      <c r="H151" s="158"/>
      <c r="I151" s="159" cm="1" t="str">
        <f t="array" ref="I151">IF(AG151="","",P151-K151)</f>
        <v/>
      </c>
      <c r="J151" s="160"/>
      <c r="K151" s="158"/>
      <c r="L151" s="161"/>
      <c r="M151" s="161"/>
      <c r="N151" s="161"/>
      <c r="O151" s="161"/>
      <c r="P151" s="159" cm="1" t="str">
        <f t="array" ref="P151">IF(AG151="","",AC151-R151-Q151)</f>
        <v/>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350"/>
      <c r="D152" s="165"/>
      <c r="E152" s="164"/>
      <c r="F152" s="195" cm="1" t="str">
        <f t="array" ref="F152">IF(AG152="","",I152-H152)</f>
        <v/>
      </c>
      <c r="G152" s="160"/>
      <c r="H152" s="158"/>
      <c r="I152" s="159" cm="1" t="str">
        <f t="array" ref="I152">IF(AG152="","",P152-K152)</f>
        <v/>
      </c>
      <c r="J152" s="160"/>
      <c r="K152" s="158"/>
      <c r="L152" s="161"/>
      <c r="M152" s="161"/>
      <c r="N152" s="161"/>
      <c r="O152" s="161"/>
      <c r="P152" s="159" cm="1" t="str">
        <f t="array" ref="P152">IF(AG152="","",AC152-R152-Q152)</f>
        <v/>
      </c>
      <c r="Q152" s="162"/>
      <c r="R152" s="162"/>
      <c r="S152" s="161"/>
      <c r="T152" s="161"/>
      <c r="U152" s="161"/>
      <c r="V152" s="161"/>
      <c r="W152" s="161"/>
      <c r="X152" s="161"/>
      <c r="Y152" s="161"/>
      <c r="Z152" s="161"/>
      <c r="AA152" s="161"/>
      <c r="AB152" s="160"/>
      <c r="AC152" s="195" cm="1" t="str">
        <f t="array" ref="AC152">IF(AG152="","",AG152-AF152)</f>
        <v/>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350"/>
      <c r="D153" s="165"/>
      <c r="E153" s="164"/>
      <c r="F153" s="195" cm="1" t="str">
        <f t="array" ref="F153">IF(AG153="","",I153-H153)</f>
        <v/>
      </c>
      <c r="G153" s="160"/>
      <c r="H153" s="158"/>
      <c r="I153" s="159" cm="1" t="str">
        <f t="array" ref="I153">IF(AG153="","",P153-K153)</f>
        <v/>
      </c>
      <c r="J153" s="160"/>
      <c r="K153" s="158"/>
      <c r="L153" s="161"/>
      <c r="M153" s="161"/>
      <c r="N153" s="161"/>
      <c r="O153" s="161"/>
      <c r="P153" s="159" cm="1" t="str">
        <f t="array" ref="P153">IF(AG153="","",AC153-R153-Q153)</f>
        <v/>
      </c>
      <c r="Q153" s="162"/>
      <c r="R153" s="162"/>
      <c r="S153" s="161"/>
      <c r="T153" s="161"/>
      <c r="U153" s="161"/>
      <c r="V153" s="161"/>
      <c r="W153" s="161"/>
      <c r="X153" s="161"/>
      <c r="Y153" s="161"/>
      <c r="Z153" s="161"/>
      <c r="AA153" s="161"/>
      <c r="AB153" s="160"/>
      <c r="AC153" s="195" cm="1" t="str">
        <f t="array" ref="AC153">IF(AG153="","",AG153-AF153)</f>
        <v/>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350"/>
      <c r="D154" s="165"/>
      <c r="E154" s="164"/>
      <c r="F154" s="195" cm="1" t="str">
        <f t="array" ref="F154">IF(AG154="","",I154-H154)</f>
        <v/>
      </c>
      <c r="G154" s="160"/>
      <c r="H154" s="158"/>
      <c r="I154" s="159" cm="1" t="str">
        <f t="array" ref="I154">IF(AG154="","",P154-K154)</f>
        <v/>
      </c>
      <c r="J154" s="160"/>
      <c r="K154" s="158"/>
      <c r="L154" s="161"/>
      <c r="M154" s="161"/>
      <c r="N154" s="161"/>
      <c r="O154" s="161"/>
      <c r="P154" s="159" cm="1" t="str">
        <f t="array" ref="P154">IF(AG154="","",AC154-R154-Q154)</f>
        <v/>
      </c>
      <c r="Q154" s="162"/>
      <c r="R154" s="162"/>
      <c r="S154" s="161"/>
      <c r="T154" s="161"/>
      <c r="U154" s="161"/>
      <c r="V154" s="161"/>
      <c r="W154" s="161"/>
      <c r="X154" s="161"/>
      <c r="Y154" s="161"/>
      <c r="Z154" s="161"/>
      <c r="AA154" s="161"/>
      <c r="AB154" s="160"/>
      <c r="AC154" s="195" cm="1" t="str">
        <f t="array" ref="AC154">IF(AG154="","",AG154-AF154)</f>
        <v/>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350"/>
      <c r="D155" s="165"/>
      <c r="E155" s="164"/>
      <c r="F155" s="195" cm="1" t="str">
        <f t="array" ref="F155">IF(AG155="","",I155-H155)</f>
        <v/>
      </c>
      <c r="G155" s="160"/>
      <c r="H155" s="158"/>
      <c r="I155" s="159" cm="1" t="str">
        <f t="array" ref="I155">IF(AG155="","",P155-K155)</f>
        <v/>
      </c>
      <c r="J155" s="160"/>
      <c r="K155" s="158"/>
      <c r="L155" s="161"/>
      <c r="M155" s="161"/>
      <c r="N155" s="161"/>
      <c r="O155" s="161"/>
      <c r="P155" s="159" cm="1" t="str">
        <f t="array" ref="P155">IF(AG155="","",AC155-R155-Q155)</f>
        <v/>
      </c>
      <c r="Q155" s="162"/>
      <c r="R155" s="162"/>
      <c r="S155" s="161"/>
      <c r="T155" s="161"/>
      <c r="U155" s="161"/>
      <c r="V155" s="161"/>
      <c r="W155" s="161"/>
      <c r="X155" s="161"/>
      <c r="Y155" s="161"/>
      <c r="Z155" s="161"/>
      <c r="AA155" s="161"/>
      <c r="AB155" s="160"/>
      <c r="AC155" s="195" cm="1" t="str">
        <f t="array" ref="AC155">IF(AG155="","",AG155-AF155)</f>
        <v/>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350"/>
      <c r="D156" s="165"/>
      <c r="E156" s="164"/>
      <c r="F156" s="195" cm="1" t="str">
        <f t="array" ref="F156">IF(AG156="","",I156-H156)</f>
        <v/>
      </c>
      <c r="G156" s="160"/>
      <c r="H156" s="158"/>
      <c r="I156" s="159" cm="1" t="str">
        <f t="array" ref="I156">IF(AG156="","",P156-K156)</f>
        <v/>
      </c>
      <c r="J156" s="160"/>
      <c r="K156" s="158"/>
      <c r="L156" s="161"/>
      <c r="M156" s="161"/>
      <c r="N156" s="161"/>
      <c r="O156" s="161"/>
      <c r="P156" s="159" cm="1" t="str">
        <f t="array" ref="P156">IF(AG156="","",AC156-R156-Q156)</f>
        <v/>
      </c>
      <c r="Q156" s="162"/>
      <c r="R156" s="162"/>
      <c r="S156" s="161"/>
      <c r="T156" s="161"/>
      <c r="U156" s="161"/>
      <c r="V156" s="161"/>
      <c r="W156" s="161"/>
      <c r="X156" s="161"/>
      <c r="Y156" s="161"/>
      <c r="Z156" s="161"/>
      <c r="AA156" s="161"/>
      <c r="AB156" s="160"/>
      <c r="AC156" s="195" cm="1" t="str">
        <f t="array" ref="AC156">IF(AG156="","",AG156-AF156)</f>
        <v/>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350"/>
      <c r="D157" s="165"/>
      <c r="E157" s="164"/>
      <c r="F157" s="195" cm="1" t="str">
        <f t="array" ref="F157">IF(AG157="","",I157-H157)</f>
        <v/>
      </c>
      <c r="G157" s="160"/>
      <c r="H157" s="158"/>
      <c r="I157" s="159" cm="1" t="str">
        <f t="array" ref="I157">IF(AG157="","",P157-K157)</f>
        <v/>
      </c>
      <c r="J157" s="160"/>
      <c r="K157" s="158"/>
      <c r="L157" s="161"/>
      <c r="M157" s="161"/>
      <c r="N157" s="161"/>
      <c r="O157" s="161"/>
      <c r="P157" s="159" cm="1" t="str">
        <f t="array" ref="P157">IF(AG157="","",AC157-R157-Q157)</f>
        <v/>
      </c>
      <c r="Q157" s="162"/>
      <c r="R157" s="162"/>
      <c r="S157" s="161"/>
      <c r="T157" s="161"/>
      <c r="U157" s="161"/>
      <c r="V157" s="161"/>
      <c r="W157" s="161"/>
      <c r="X157" s="161"/>
      <c r="Y157" s="161"/>
      <c r="Z157" s="161"/>
      <c r="AA157" s="161"/>
      <c r="AB157" s="160"/>
      <c r="AC157" s="195" cm="1" t="str">
        <f t="array" ref="AC157">IF(AG157="","",AG157-AF157)</f>
        <v/>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350"/>
      <c r="D158" s="165"/>
      <c r="E158" s="164"/>
      <c r="F158" s="195" cm="1" t="str">
        <f t="array" ref="F158">IF(AG158="","",I158-H158)</f>
        <v/>
      </c>
      <c r="G158" s="160"/>
      <c r="H158" s="158"/>
      <c r="I158" s="159" cm="1" t="str">
        <f t="array" ref="I158">IF(AG158="","",P158-K158)</f>
        <v/>
      </c>
      <c r="J158" s="160"/>
      <c r="K158" s="158"/>
      <c r="L158" s="161"/>
      <c r="M158" s="161"/>
      <c r="N158" s="161"/>
      <c r="O158" s="161"/>
      <c r="P158" s="159" cm="1" t="str">
        <f t="array" ref="P158">IF(AG158="","",AC158-R158-Q158)</f>
        <v/>
      </c>
      <c r="Q158" s="162"/>
      <c r="R158" s="162"/>
      <c r="S158" s="161"/>
      <c r="T158" s="161"/>
      <c r="U158" s="161"/>
      <c r="V158" s="161"/>
      <c r="W158" s="161"/>
      <c r="X158" s="161"/>
      <c r="Y158" s="161"/>
      <c r="Z158" s="161"/>
      <c r="AA158" s="161"/>
      <c r="AB158" s="160"/>
      <c r="AC158" s="195" cm="1" t="str">
        <f t="array" ref="AC158">IF(AG158="","",AG158-AF158)</f>
        <v/>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350"/>
      <c r="D159" s="165"/>
      <c r="E159" s="164"/>
      <c r="F159" s="195" cm="1" t="str">
        <f t="array" ref="F159">IF(AG159="","",I159-H159)</f>
        <v/>
      </c>
      <c r="G159" s="160"/>
      <c r="H159" s="158"/>
      <c r="I159" s="159" cm="1" t="str">
        <f t="array" ref="I159">IF(AG159="","",P159-K159)</f>
        <v/>
      </c>
      <c r="J159" s="160"/>
      <c r="K159" s="158"/>
      <c r="L159" s="161"/>
      <c r="M159" s="161"/>
      <c r="N159" s="161"/>
      <c r="O159" s="161"/>
      <c r="P159" s="159" cm="1" t="str">
        <f t="array" ref="P159">IF(AG159="","",AC159-R159-Q159)</f>
        <v/>
      </c>
      <c r="Q159" s="162"/>
      <c r="R159" s="162"/>
      <c r="S159" s="161"/>
      <c r="T159" s="161"/>
      <c r="U159" s="161"/>
      <c r="V159" s="161"/>
      <c r="W159" s="161"/>
      <c r="X159" s="161"/>
      <c r="Y159" s="161"/>
      <c r="Z159" s="161"/>
      <c r="AA159" s="161"/>
      <c r="AB159" s="160"/>
      <c r="AC159" s="195" cm="1" t="str">
        <f t="array" ref="AC159">IF(AG159="","",AG159-AF159)</f>
        <v/>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350"/>
      <c r="D160" s="165"/>
      <c r="E160" s="164"/>
      <c r="F160" s="195" cm="1" t="str">
        <f t="array" ref="F160">IF(AG160="","",I160-H160)</f>
        <v/>
      </c>
      <c r="G160" s="160"/>
      <c r="H160" s="158"/>
      <c r="I160" s="159" cm="1" t="str">
        <f t="array" ref="I160">IF(AG160="","",P160-K160)</f>
        <v/>
      </c>
      <c r="J160" s="160"/>
      <c r="K160" s="158"/>
      <c r="L160" s="161"/>
      <c r="M160" s="161"/>
      <c r="N160" s="161"/>
      <c r="O160" s="161"/>
      <c r="P160" s="159" cm="1" t="str">
        <f t="array" ref="P160">IF(AG160="","",AC160-R160-Q160)</f>
        <v/>
      </c>
      <c r="Q160" s="162"/>
      <c r="R160" s="162"/>
      <c r="S160" s="161"/>
      <c r="T160" s="161"/>
      <c r="U160" s="161"/>
      <c r="V160" s="161"/>
      <c r="W160" s="161"/>
      <c r="X160" s="161"/>
      <c r="Y160" s="161"/>
      <c r="Z160" s="161"/>
      <c r="AA160" s="161"/>
      <c r="AB160" s="160"/>
      <c r="AC160" s="195" cm="1" t="str">
        <f t="array" ref="AC160">IF(AG160="","",AG160-AF160)</f>
        <v/>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350"/>
      <c r="D161" s="165"/>
      <c r="E161" s="164"/>
      <c r="F161" s="195" cm="1" t="str">
        <f t="array" ref="F161">IF(AG161="","",I161-H161)</f>
        <v/>
      </c>
      <c r="G161" s="160"/>
      <c r="H161" s="158"/>
      <c r="I161" s="159" cm="1" t="str">
        <f t="array" ref="I161">IF(AG161="","",P161-K161)</f>
        <v/>
      </c>
      <c r="J161" s="160"/>
      <c r="K161" s="158"/>
      <c r="L161" s="161"/>
      <c r="M161" s="161"/>
      <c r="N161" s="161"/>
      <c r="O161" s="161"/>
      <c r="P161" s="159" cm="1" t="str">
        <f t="array" ref="P161">IF(AG161="","",AC161-R161-Q161)</f>
        <v/>
      </c>
      <c r="Q161" s="162"/>
      <c r="R161" s="162"/>
      <c r="S161" s="161"/>
      <c r="T161" s="161"/>
      <c r="U161" s="161"/>
      <c r="V161" s="161"/>
      <c r="W161" s="161"/>
      <c r="X161" s="161"/>
      <c r="Y161" s="161"/>
      <c r="Z161" s="161"/>
      <c r="AA161" s="161"/>
      <c r="AB161" s="160"/>
      <c r="AC161" s="195" cm="1" t="str">
        <f t="array" ref="AC161">IF(AG161="","",AG161-AF161)</f>
        <v/>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350"/>
      <c r="D162" s="165"/>
      <c r="E162" s="164"/>
      <c r="F162" s="195" cm="1" t="str">
        <f t="array" ref="F162">IF(AG162="","",I162-H162)</f>
        <v/>
      </c>
      <c r="G162" s="160"/>
      <c r="H162" s="158"/>
      <c r="I162" s="159" cm="1" t="str">
        <f t="array" ref="I162">IF(AG162="","",P162-K162)</f>
        <v/>
      </c>
      <c r="J162" s="160"/>
      <c r="K162" s="158"/>
      <c r="L162" s="161"/>
      <c r="M162" s="161"/>
      <c r="N162" s="161"/>
      <c r="O162" s="161"/>
      <c r="P162" s="159" cm="1" t="str">
        <f t="array" ref="P162">IF(AG162="","",AC162-R162-Q162)</f>
        <v/>
      </c>
      <c r="Q162" s="162"/>
      <c r="R162" s="162"/>
      <c r="S162" s="161"/>
      <c r="T162" s="161"/>
      <c r="U162" s="161"/>
      <c r="V162" s="161"/>
      <c r="W162" s="161"/>
      <c r="X162" s="161"/>
      <c r="Y162" s="161"/>
      <c r="Z162" s="161"/>
      <c r="AA162" s="161"/>
      <c r="AB162" s="160"/>
      <c r="AC162" s="195" cm="1" t="str">
        <f t="array" ref="AC162">IF(AG162="","",AG162-AF162)</f>
        <v/>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350"/>
      <c r="D163" s="165"/>
      <c r="E163" s="164"/>
      <c r="F163" s="195" cm="1" t="str">
        <f t="array" ref="F163">IF(AG163="","",I163-H163)</f>
        <v/>
      </c>
      <c r="G163" s="160"/>
      <c r="H163" s="158"/>
      <c r="I163" s="159" cm="1" t="str">
        <f t="array" ref="I163">IF(AG163="","",P163-K163)</f>
        <v/>
      </c>
      <c r="J163" s="160"/>
      <c r="K163" s="158"/>
      <c r="L163" s="161"/>
      <c r="M163" s="161"/>
      <c r="N163" s="161"/>
      <c r="O163" s="161"/>
      <c r="P163" s="159" cm="1" t="str">
        <f t="array" ref="P163">IF(AG163="","",AC163-R163-Q163)</f>
        <v/>
      </c>
      <c r="Q163" s="162"/>
      <c r="R163" s="162"/>
      <c r="S163" s="161"/>
      <c r="T163" s="161"/>
      <c r="U163" s="161"/>
      <c r="V163" s="161"/>
      <c r="W163" s="161"/>
      <c r="X163" s="161"/>
      <c r="Y163" s="161"/>
      <c r="Z163" s="161"/>
      <c r="AA163" s="161"/>
      <c r="AB163" s="160"/>
      <c r="AC163" s="195" cm="1" t="str">
        <f t="array" ref="AC163">IF(AG163="","",AG163-AF163)</f>
        <v/>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350"/>
      <c r="D164" s="165"/>
      <c r="E164" s="164"/>
      <c r="F164" s="195" cm="1" t="str">
        <f t="array" ref="F164">IF(AG164="","",I164-H164)</f>
        <v/>
      </c>
      <c r="G164" s="160"/>
      <c r="H164" s="158"/>
      <c r="I164" s="159" cm="1" t="str">
        <f t="array" ref="I164">IF(AG164="","",P164-K164)</f>
        <v/>
      </c>
      <c r="J164" s="160"/>
      <c r="K164" s="158"/>
      <c r="L164" s="161"/>
      <c r="M164" s="161"/>
      <c r="N164" s="161"/>
      <c r="O164" s="161"/>
      <c r="P164" s="159" cm="1" t="str">
        <f t="array" ref="P164">IF(AG164="","",AC164-R164-Q164)</f>
        <v/>
      </c>
      <c r="Q164" s="162"/>
      <c r="R164" s="162"/>
      <c r="S164" s="161"/>
      <c r="T164" s="161"/>
      <c r="U164" s="161"/>
      <c r="V164" s="161"/>
      <c r="W164" s="161"/>
      <c r="X164" s="161"/>
      <c r="Y164" s="161"/>
      <c r="Z164" s="161"/>
      <c r="AA164" s="161"/>
      <c r="AB164" s="160"/>
      <c r="AC164" s="195" cm="1" t="str">
        <f t="array" ref="AC164">IF(AG164="","",AG164-AF164)</f>
        <v/>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350"/>
      <c r="D165" s="165"/>
      <c r="E165" s="164"/>
      <c r="F165" s="195" cm="1" t="str">
        <f t="array" ref="F165">IF(AG165="","",I165-H165)</f>
        <v/>
      </c>
      <c r="G165" s="160"/>
      <c r="H165" s="158"/>
      <c r="I165" s="159" cm="1" t="str">
        <f t="array" ref="I165">IF(AG165="","",P165-K165)</f>
        <v/>
      </c>
      <c r="J165" s="160"/>
      <c r="K165" s="158"/>
      <c r="L165" s="161"/>
      <c r="M165" s="161"/>
      <c r="N165" s="161"/>
      <c r="O165" s="161"/>
      <c r="P165" s="159" cm="1" t="str">
        <f t="array" ref="P165">IF(AG165="","",AC165-R165-Q165)</f>
        <v/>
      </c>
      <c r="Q165" s="162"/>
      <c r="R165" s="162"/>
      <c r="S165" s="161"/>
      <c r="T165" s="161"/>
      <c r="U165" s="161"/>
      <c r="V165" s="161"/>
      <c r="W165" s="161"/>
      <c r="X165" s="161"/>
      <c r="Y165" s="161"/>
      <c r="Z165" s="161"/>
      <c r="AA165" s="161"/>
      <c r="AB165" s="160"/>
      <c r="AC165" s="195" cm="1" t="str">
        <f t="array" ref="AC165">IF(AG165="","",AG165-AF165)</f>
        <v/>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350"/>
      <c r="D166" s="165"/>
      <c r="E166" s="164"/>
      <c r="F166" s="195" cm="1" t="str">
        <f t="array" ref="F166">IF(AG166="","",I166-H166)</f>
        <v/>
      </c>
      <c r="G166" s="160"/>
      <c r="H166" s="158"/>
      <c r="I166" s="159" cm="1" t="str">
        <f t="array" ref="I166">IF(AG166="","",P166-K166)</f>
        <v/>
      </c>
      <c r="J166" s="160"/>
      <c r="K166" s="158"/>
      <c r="L166" s="161"/>
      <c r="M166" s="161"/>
      <c r="N166" s="161"/>
      <c r="O166" s="161"/>
      <c r="P166" s="159" cm="1" t="str">
        <f t="array" ref="P166">IF(AG166="","",AC166-R166-Q166)</f>
        <v/>
      </c>
      <c r="Q166" s="162"/>
      <c r="R166" s="162"/>
      <c r="S166" s="161"/>
      <c r="T166" s="161"/>
      <c r="U166" s="161"/>
      <c r="V166" s="161"/>
      <c r="W166" s="161"/>
      <c r="X166" s="161"/>
      <c r="Y166" s="161"/>
      <c r="Z166" s="161"/>
      <c r="AA166" s="161"/>
      <c r="AB166" s="160"/>
      <c r="AC166" s="195" cm="1" t="str">
        <f t="array" ref="AC166">IF(AG166="","",AG166-AF166)</f>
        <v/>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350"/>
      <c r="D167" s="165"/>
      <c r="E167" s="164"/>
      <c r="F167" s="195" cm="1" t="str">
        <f t="array" ref="F167">IF(AG167="","",I167-H167)</f>
        <v/>
      </c>
      <c r="G167" s="160"/>
      <c r="H167" s="158"/>
      <c r="I167" s="159" cm="1" t="str">
        <f t="array" ref="I167">IF(AG167="","",P167-K167)</f>
        <v/>
      </c>
      <c r="J167" s="160"/>
      <c r="K167" s="158"/>
      <c r="L167" s="161"/>
      <c r="M167" s="161"/>
      <c r="N167" s="161"/>
      <c r="O167" s="161"/>
      <c r="P167" s="159" cm="1" t="str">
        <f t="array" ref="P167">IF(AG167="","",AC167-R167-Q167)</f>
        <v/>
      </c>
      <c r="Q167" s="162"/>
      <c r="R167" s="162"/>
      <c r="S167" s="161"/>
      <c r="T167" s="161"/>
      <c r="U167" s="161"/>
      <c r="V167" s="161"/>
      <c r="W167" s="161"/>
      <c r="X167" s="161"/>
      <c r="Y167" s="161"/>
      <c r="Z167" s="161"/>
      <c r="AA167" s="161"/>
      <c r="AB167" s="160"/>
      <c r="AC167" s="195" cm="1" t="str">
        <f t="array" ref="AC167">IF(AG167="","",AG167-AF167)</f>
        <v/>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350"/>
      <c r="D168" s="165"/>
      <c r="E168" s="164"/>
      <c r="F168" s="195" cm="1" t="str">
        <f t="array" ref="F168">IF(AG168="","",I168-H168)</f>
        <v/>
      </c>
      <c r="G168" s="160"/>
      <c r="H168" s="158"/>
      <c r="I168" s="159" cm="1" t="str">
        <f t="array" ref="I168">IF(AG168="","",P168-K168)</f>
        <v/>
      </c>
      <c r="J168" s="160"/>
      <c r="K168" s="158"/>
      <c r="L168" s="161"/>
      <c r="M168" s="161"/>
      <c r="N168" s="161"/>
      <c r="O168" s="161"/>
      <c r="P168" s="159" cm="1" t="str">
        <f t="array" ref="P168">IF(AG168="","",AC168-R168-Q168)</f>
        <v/>
      </c>
      <c r="Q168" s="162"/>
      <c r="R168" s="162"/>
      <c r="S168" s="161"/>
      <c r="T168" s="161"/>
      <c r="U168" s="161"/>
      <c r="V168" s="161"/>
      <c r="W168" s="161"/>
      <c r="X168" s="161"/>
      <c r="Y168" s="161"/>
      <c r="Z168" s="161"/>
      <c r="AA168" s="161"/>
      <c r="AB168" s="160"/>
      <c r="AC168" s="195" cm="1" t="str">
        <f t="array" ref="AC168">IF(AG168="","",AG168-AF168)</f>
        <v/>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350"/>
      <c r="D169" s="165"/>
      <c r="E169" s="164"/>
      <c r="F169" s="195" cm="1" t="str">
        <f t="array" ref="F169">IF(AG169="","",I169-H169)</f>
        <v/>
      </c>
      <c r="G169" s="160"/>
      <c r="H169" s="158"/>
      <c r="I169" s="159" cm="1" t="str">
        <f t="array" ref="I169">IF(AG169="","",P169-K169)</f>
        <v/>
      </c>
      <c r="J169" s="160"/>
      <c r="K169" s="158"/>
      <c r="L169" s="161"/>
      <c r="M169" s="161"/>
      <c r="N169" s="161"/>
      <c r="O169" s="161"/>
      <c r="P169" s="159" cm="1" t="str">
        <f t="array" ref="P169">IF(AG169="","",AC169-R169-Q169)</f>
        <v/>
      </c>
      <c r="Q169" s="162"/>
      <c r="R169" s="162"/>
      <c r="S169" s="161"/>
      <c r="T169" s="161"/>
      <c r="U169" s="161"/>
      <c r="V169" s="161"/>
      <c r="W169" s="161"/>
      <c r="X169" s="161"/>
      <c r="Y169" s="161"/>
      <c r="Z169" s="161"/>
      <c r="AA169" s="161"/>
      <c r="AB169" s="160"/>
      <c r="AC169" s="195" cm="1" t="str">
        <f t="array" ref="AC169">IF(AG169="","",AG169-AF169)</f>
        <v/>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350"/>
      <c r="D170" s="165"/>
      <c r="E170" s="164"/>
      <c r="F170" s="195" cm="1" t="str">
        <f t="array" ref="F170">IF(AG170="","",I170-H170)</f>
        <v/>
      </c>
      <c r="G170" s="160"/>
      <c r="H170" s="158"/>
      <c r="I170" s="159" cm="1" t="str">
        <f t="array" ref="I170">IF(AG170="","",P170-K170)</f>
        <v/>
      </c>
      <c r="J170" s="160"/>
      <c r="K170" s="158"/>
      <c r="L170" s="161"/>
      <c r="M170" s="161"/>
      <c r="N170" s="161"/>
      <c r="O170" s="161"/>
      <c r="P170" s="159" cm="1" t="str">
        <f t="array" ref="P170">IF(AG170="","",AC170-R170-Q170)</f>
        <v/>
      </c>
      <c r="Q170" s="162"/>
      <c r="R170" s="162"/>
      <c r="S170" s="161"/>
      <c r="T170" s="161"/>
      <c r="U170" s="161"/>
      <c r="V170" s="161"/>
      <c r="W170" s="161"/>
      <c r="X170" s="161"/>
      <c r="Y170" s="161"/>
      <c r="Z170" s="161"/>
      <c r="AA170" s="161"/>
      <c r="AB170" s="160"/>
      <c r="AC170" s="195" cm="1" t="str">
        <f t="array" ref="AC170">IF(AG170="","",AG170-AF170)</f>
        <v/>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350"/>
      <c r="D171" s="165"/>
      <c r="E171" s="164"/>
      <c r="F171" s="195" cm="1" t="str">
        <f t="array" ref="F171">IF(AG171="","",I171-H171)</f>
        <v/>
      </c>
      <c r="G171" s="160"/>
      <c r="H171" s="158"/>
      <c r="I171" s="159" cm="1" t="str">
        <f t="array" ref="I171">IF(AG171="","",P171-K171)</f>
        <v/>
      </c>
      <c r="J171" s="160"/>
      <c r="K171" s="158"/>
      <c r="L171" s="161"/>
      <c r="M171" s="161"/>
      <c r="N171" s="161"/>
      <c r="O171" s="161"/>
      <c r="P171" s="159" cm="1" t="str">
        <f t="array" ref="P171">IF(AG171="","",AC171-R171-Q171)</f>
        <v/>
      </c>
      <c r="Q171" s="162"/>
      <c r="R171" s="162"/>
      <c r="S171" s="161"/>
      <c r="T171" s="161"/>
      <c r="U171" s="161"/>
      <c r="V171" s="161"/>
      <c r="W171" s="161"/>
      <c r="X171" s="161"/>
      <c r="Y171" s="161"/>
      <c r="Z171" s="161"/>
      <c r="AA171" s="161"/>
      <c r="AB171" s="160"/>
      <c r="AC171" s="195" cm="1" t="str">
        <f t="array" ref="AC171">IF(AG171="","",AG171-AF171)</f>
        <v/>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350"/>
      <c r="D172" s="165"/>
      <c r="E172" s="164"/>
      <c r="F172" s="195" cm="1" t="str">
        <f t="array" ref="F172">IF(AG172="","",I172-H172)</f>
        <v/>
      </c>
      <c r="G172" s="160"/>
      <c r="H172" s="158"/>
      <c r="I172" s="159" cm="1" t="str">
        <f t="array" ref="I172">IF(AG172="","",P172-K172)</f>
        <v/>
      </c>
      <c r="J172" s="160"/>
      <c r="K172" s="158"/>
      <c r="L172" s="161"/>
      <c r="M172" s="161"/>
      <c r="N172" s="161"/>
      <c r="O172" s="161"/>
      <c r="P172" s="159" cm="1" t="str">
        <f t="array" ref="P172">IF(AG172="","",AC172-R172-Q172)</f>
        <v/>
      </c>
      <c r="Q172" s="162"/>
      <c r="R172" s="162"/>
      <c r="S172" s="161"/>
      <c r="T172" s="161"/>
      <c r="U172" s="161"/>
      <c r="V172" s="161"/>
      <c r="W172" s="161"/>
      <c r="X172" s="161"/>
      <c r="Y172" s="161"/>
      <c r="Z172" s="161"/>
      <c r="AA172" s="161"/>
      <c r="AB172" s="160"/>
      <c r="AC172" s="195" cm="1" t="str">
        <f t="array" ref="AC172">IF(AG172="","",AG172-AF172)</f>
        <v/>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350"/>
      <c r="D173" s="165"/>
      <c r="E173" s="164"/>
      <c r="F173" s="195" cm="1" t="str">
        <f t="array" ref="F173">IF(AG173="","",I173-H173)</f>
        <v/>
      </c>
      <c r="G173" s="160"/>
      <c r="H173" s="158"/>
      <c r="I173" s="159" cm="1" t="str">
        <f t="array" ref="I173">IF(AG173="","",P173-K173)</f>
        <v/>
      </c>
      <c r="J173" s="160"/>
      <c r="K173" s="158"/>
      <c r="L173" s="161"/>
      <c r="M173" s="161"/>
      <c r="N173" s="161"/>
      <c r="O173" s="161"/>
      <c r="P173" s="159" cm="1" t="str">
        <f t="array" ref="P173">IF(AG173="","",AC173-R173-Q173)</f>
        <v/>
      </c>
      <c r="Q173" s="162"/>
      <c r="R173" s="162"/>
      <c r="S173" s="161"/>
      <c r="T173" s="161"/>
      <c r="U173" s="161"/>
      <c r="V173" s="161"/>
      <c r="W173" s="161"/>
      <c r="X173" s="161"/>
      <c r="Y173" s="161"/>
      <c r="Z173" s="161"/>
      <c r="AA173" s="161"/>
      <c r="AB173" s="160"/>
      <c r="AC173" s="195" cm="1" t="str">
        <f t="array" ref="AC173">IF(AG173="","",AG173-AF173)</f>
        <v/>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350"/>
      <c r="D174" s="165"/>
      <c r="E174" s="164"/>
      <c r="F174" s="195" cm="1" t="str">
        <f t="array" ref="F174">IF(AG174="","",I174-H174)</f>
        <v/>
      </c>
      <c r="G174" s="160"/>
      <c r="H174" s="158"/>
      <c r="I174" s="159" cm="1" t="str">
        <f t="array" ref="I174">IF(AG174="","",P174-K174)</f>
        <v/>
      </c>
      <c r="J174" s="160"/>
      <c r="K174" s="158"/>
      <c r="L174" s="161"/>
      <c r="M174" s="161"/>
      <c r="N174" s="161"/>
      <c r="O174" s="161"/>
      <c r="P174" s="159" cm="1" t="str">
        <f t="array" ref="P174">IF(AG174="","",AC174-R174-Q174)</f>
        <v/>
      </c>
      <c r="Q174" s="162"/>
      <c r="R174" s="162"/>
      <c r="S174" s="161"/>
      <c r="T174" s="161"/>
      <c r="U174" s="161"/>
      <c r="V174" s="161"/>
      <c r="W174" s="161"/>
      <c r="X174" s="161"/>
      <c r="Y174" s="161"/>
      <c r="Z174" s="161"/>
      <c r="AA174" s="161"/>
      <c r="AB174" s="160"/>
      <c r="AC174" s="195" cm="1" t="str">
        <f t="array" ref="AC174">IF(AG174="","",AG174-AF174)</f>
        <v/>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350"/>
      <c r="D175" s="165"/>
      <c r="E175" s="164"/>
      <c r="F175" s="195" cm="1" t="str">
        <f t="array" ref="F175">IF(AG175="","",I175-H175)</f>
        <v/>
      </c>
      <c r="G175" s="160"/>
      <c r="H175" s="158"/>
      <c r="I175" s="159" cm="1" t="str">
        <f t="array" ref="I175">IF(AG175="","",P175-K175)</f>
        <v/>
      </c>
      <c r="J175" s="160"/>
      <c r="K175" s="158"/>
      <c r="L175" s="161"/>
      <c r="M175" s="161"/>
      <c r="N175" s="161"/>
      <c r="O175" s="161"/>
      <c r="P175" s="159" cm="1" t="str">
        <f t="array" ref="P175">IF(AG175="","",AC175-R175-Q175)</f>
        <v/>
      </c>
      <c r="Q175" s="162"/>
      <c r="R175" s="162"/>
      <c r="S175" s="161"/>
      <c r="T175" s="161"/>
      <c r="U175" s="161"/>
      <c r="V175" s="161"/>
      <c r="W175" s="161"/>
      <c r="X175" s="161"/>
      <c r="Y175" s="161"/>
      <c r="Z175" s="161"/>
      <c r="AA175" s="161"/>
      <c r="AB175" s="160"/>
      <c r="AC175" s="195" cm="1" t="str">
        <f t="array" ref="AC175">IF(AG175="","",AG175-AF175)</f>
        <v/>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350"/>
      <c r="D176" s="165"/>
      <c r="E176" s="164"/>
      <c r="F176" s="195" cm="1" t="str">
        <f t="array" ref="F176">IF(AG176="","",I176-H176)</f>
        <v/>
      </c>
      <c r="G176" s="160"/>
      <c r="H176" s="158"/>
      <c r="I176" s="159" cm="1" t="str">
        <f t="array" ref="I176">IF(AG176="","",P176-K176)</f>
        <v/>
      </c>
      <c r="J176" s="160"/>
      <c r="K176" s="158"/>
      <c r="L176" s="161"/>
      <c r="M176" s="161"/>
      <c r="N176" s="161"/>
      <c r="O176" s="161"/>
      <c r="P176" s="159" cm="1" t="str">
        <f t="array" ref="P176">IF(AG176="","",AC176-R176-Q176)</f>
        <v/>
      </c>
      <c r="Q176" s="162"/>
      <c r="R176" s="162"/>
      <c r="S176" s="161"/>
      <c r="T176" s="161"/>
      <c r="U176" s="161"/>
      <c r="V176" s="161"/>
      <c r="W176" s="161"/>
      <c r="X176" s="161"/>
      <c r="Y176" s="161"/>
      <c r="Z176" s="161"/>
      <c r="AA176" s="161"/>
      <c r="AB176" s="160"/>
      <c r="AC176" s="195" cm="1" t="str">
        <f t="array" ref="AC176">IF(AG176="","",AG176-AF176)</f>
        <v/>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350"/>
      <c r="D177" s="165"/>
      <c r="E177" s="164"/>
      <c r="F177" s="195" cm="1" t="str">
        <f t="array" ref="F177">IF(AG177="","",I177-H177)</f>
        <v/>
      </c>
      <c r="G177" s="160"/>
      <c r="H177" s="158"/>
      <c r="I177" s="159" cm="1" t="str">
        <f t="array" ref="I177">IF(AG177="","",P177-K177)</f>
        <v/>
      </c>
      <c r="J177" s="160"/>
      <c r="K177" s="158"/>
      <c r="L177" s="161"/>
      <c r="M177" s="161"/>
      <c r="N177" s="161"/>
      <c r="O177" s="161"/>
      <c r="P177" s="159" cm="1" t="str">
        <f t="array" ref="P177">IF(AG177="","",AC177-R177-Q177)</f>
        <v/>
      </c>
      <c r="Q177" s="162"/>
      <c r="R177" s="162"/>
      <c r="S177" s="161"/>
      <c r="T177" s="161"/>
      <c r="U177" s="161"/>
      <c r="V177" s="161"/>
      <c r="W177" s="161"/>
      <c r="X177" s="161"/>
      <c r="Y177" s="161"/>
      <c r="Z177" s="161"/>
      <c r="AA177" s="161"/>
      <c r="AB177" s="160"/>
      <c r="AC177" s="195" cm="1" t="str">
        <f t="array" ref="AC177">IF(AG177="","",AG177-AF177)</f>
        <v/>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350"/>
      <c r="D178" s="165"/>
      <c r="E178" s="164"/>
      <c r="F178" s="195" cm="1" t="str">
        <f t="array" ref="F178">IF(AG178="","",I178-H178)</f>
        <v/>
      </c>
      <c r="G178" s="160"/>
      <c r="H178" s="158"/>
      <c r="I178" s="159" cm="1" t="str">
        <f t="array" ref="I178">IF(AG178="","",P178-K178)</f>
        <v/>
      </c>
      <c r="J178" s="160"/>
      <c r="K178" s="158"/>
      <c r="L178" s="161"/>
      <c r="M178" s="161"/>
      <c r="N178" s="161"/>
      <c r="O178" s="161"/>
      <c r="P178" s="159" cm="1" t="str">
        <f t="array" ref="P178">IF(AG178="","",AC178-R178-Q178)</f>
        <v/>
      </c>
      <c r="Q178" s="162"/>
      <c r="R178" s="162"/>
      <c r="S178" s="161"/>
      <c r="T178" s="161"/>
      <c r="U178" s="161"/>
      <c r="V178" s="161"/>
      <c r="W178" s="161"/>
      <c r="X178" s="161"/>
      <c r="Y178" s="161"/>
      <c r="Z178" s="161"/>
      <c r="AA178" s="161"/>
      <c r="AB178" s="160"/>
      <c r="AC178" s="195" cm="1" t="str">
        <f t="array" ref="AC178">IF(AG178="","",AG178-AF178)</f>
        <v/>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350"/>
      <c r="D179" s="165"/>
      <c r="E179" s="164"/>
      <c r="F179" s="195" cm="1" t="str">
        <f t="array" ref="F179">IF(AG179="","",I179-H179)</f>
        <v/>
      </c>
      <c r="G179" s="160"/>
      <c r="H179" s="158"/>
      <c r="I179" s="159" cm="1" t="str">
        <f t="array" ref="I179">IF(AG179="","",P179-K179)</f>
        <v/>
      </c>
      <c r="J179" s="160"/>
      <c r="K179" s="158"/>
      <c r="L179" s="161"/>
      <c r="M179" s="161"/>
      <c r="N179" s="161"/>
      <c r="O179" s="161"/>
      <c r="P179" s="159" cm="1" t="str">
        <f t="array" ref="P179">IF(AG179="","",AC179-R179-Q179)</f>
        <v/>
      </c>
      <c r="Q179" s="162"/>
      <c r="R179" s="162"/>
      <c r="S179" s="161"/>
      <c r="T179" s="161"/>
      <c r="U179" s="161"/>
      <c r="V179" s="161"/>
      <c r="W179" s="161"/>
      <c r="X179" s="161"/>
      <c r="Y179" s="161"/>
      <c r="Z179" s="161"/>
      <c r="AA179" s="161"/>
      <c r="AB179" s="160"/>
      <c r="AC179" s="195" cm="1" t="str">
        <f t="array" ref="AC179">IF(AG179="","",AG179-AF179)</f>
        <v/>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350"/>
      <c r="D180" s="165"/>
      <c r="E180" s="164"/>
      <c r="F180" s="195" cm="1" t="str">
        <f t="array" ref="F180">IF(AG180="","",I180-H180)</f>
        <v/>
      </c>
      <c r="G180" s="160"/>
      <c r="H180" s="158"/>
      <c r="I180" s="159" cm="1" t="str">
        <f t="array" ref="I180">IF(AG180="","",P180-K180)</f>
        <v/>
      </c>
      <c r="J180" s="160"/>
      <c r="K180" s="158"/>
      <c r="L180" s="161"/>
      <c r="M180" s="161"/>
      <c r="N180" s="161"/>
      <c r="O180" s="161"/>
      <c r="P180" s="159" cm="1" t="str">
        <f t="array" ref="P180">IF(AG180="","",AC180-R180-Q180)</f>
        <v/>
      </c>
      <c r="Q180" s="162"/>
      <c r="R180" s="162"/>
      <c r="S180" s="161"/>
      <c r="T180" s="161"/>
      <c r="U180" s="161"/>
      <c r="V180" s="161"/>
      <c r="W180" s="161"/>
      <c r="X180" s="161"/>
      <c r="Y180" s="161"/>
      <c r="Z180" s="161"/>
      <c r="AA180" s="161"/>
      <c r="AB180" s="160"/>
      <c r="AC180" s="195" cm="1" t="str">
        <f t="array" ref="AC180">IF(AG180="","",AG180-AF180)</f>
        <v/>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350"/>
      <c r="D181" s="165"/>
      <c r="E181" s="164"/>
      <c r="F181" s="195" cm="1" t="str">
        <f t="array" ref="F181">IF(AG181="","",I181-H181)</f>
        <v/>
      </c>
      <c r="G181" s="160"/>
      <c r="H181" s="158"/>
      <c r="I181" s="159" cm="1" t="str">
        <f t="array" ref="I181">IF(AG181="","",P181-K181)</f>
        <v/>
      </c>
      <c r="J181" s="160"/>
      <c r="K181" s="158"/>
      <c r="L181" s="161"/>
      <c r="M181" s="161"/>
      <c r="N181" s="161"/>
      <c r="O181" s="161"/>
      <c r="P181" s="159" cm="1" t="str">
        <f t="array" ref="P181">IF(AG181="","",AC181-R181-Q181)</f>
        <v/>
      </c>
      <c r="Q181" s="162"/>
      <c r="R181" s="162"/>
      <c r="S181" s="161"/>
      <c r="T181" s="161"/>
      <c r="U181" s="161"/>
      <c r="V181" s="161"/>
      <c r="W181" s="161"/>
      <c r="X181" s="161"/>
      <c r="Y181" s="161"/>
      <c r="Z181" s="161"/>
      <c r="AA181" s="161"/>
      <c r="AB181" s="160"/>
      <c r="AC181" s="195" cm="1" t="str">
        <f t="array" ref="AC181">IF(AG181="","",AG181-AF181)</f>
        <v/>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350"/>
      <c r="D182" s="165"/>
      <c r="E182" s="164"/>
      <c r="F182" s="195" cm="1" t="str">
        <f t="array" ref="F182">IF(AG182="","",I182-H182)</f>
        <v/>
      </c>
      <c r="G182" s="160"/>
      <c r="H182" s="158"/>
      <c r="I182" s="159" cm="1" t="str">
        <f t="array" ref="I182">IF(AG182="","",P182-K182)</f>
        <v/>
      </c>
      <c r="J182" s="160"/>
      <c r="K182" s="158"/>
      <c r="L182" s="161"/>
      <c r="M182" s="161"/>
      <c r="N182" s="161"/>
      <c r="O182" s="161"/>
      <c r="P182" s="159" cm="1" t="str">
        <f t="array" ref="P182">IF(AG182="","",AC182-R182-Q182)</f>
        <v/>
      </c>
      <c r="Q182" s="162"/>
      <c r="R182" s="162"/>
      <c r="S182" s="161"/>
      <c r="T182" s="161"/>
      <c r="U182" s="161"/>
      <c r="V182" s="161"/>
      <c r="W182" s="161"/>
      <c r="X182" s="161"/>
      <c r="Y182" s="161"/>
      <c r="Z182" s="161"/>
      <c r="AA182" s="161"/>
      <c r="AB182" s="160"/>
      <c r="AC182" s="195" cm="1" t="str">
        <f t="array" ref="AC182">IF(AG182="","",AG182-AF182)</f>
        <v/>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350"/>
      <c r="D183" s="165"/>
      <c r="E183" s="164"/>
      <c r="F183" s="195" cm="1" t="str">
        <f t="array" ref="F183">IF(AG183="","",I183-H183)</f>
        <v/>
      </c>
      <c r="G183" s="160"/>
      <c r="H183" s="158"/>
      <c r="I183" s="159" cm="1" t="str">
        <f t="array" ref="I183">IF(AG183="","",P183-K183)</f>
        <v/>
      </c>
      <c r="J183" s="160"/>
      <c r="K183" s="158"/>
      <c r="L183" s="161"/>
      <c r="M183" s="161"/>
      <c r="N183" s="161"/>
      <c r="O183" s="161"/>
      <c r="P183" s="159" cm="1" t="str">
        <f t="array" ref="P183">IF(AG183="","",AC183-R183-Q183)</f>
        <v/>
      </c>
      <c r="Q183" s="162"/>
      <c r="R183" s="162"/>
      <c r="S183" s="161"/>
      <c r="T183" s="161"/>
      <c r="U183" s="161"/>
      <c r="V183" s="161"/>
      <c r="W183" s="161"/>
      <c r="X183" s="161"/>
      <c r="Y183" s="161"/>
      <c r="Z183" s="161"/>
      <c r="AA183" s="161"/>
      <c r="AB183" s="160"/>
      <c r="AC183" s="195" cm="1" t="str">
        <f t="array" ref="AC183">IF(AG183="","",AG183-AF183)</f>
        <v/>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350"/>
      <c r="D184" s="165"/>
      <c r="E184" s="164"/>
      <c r="F184" s="195" cm="1" t="str">
        <f t="array" ref="F184">IF(AG184="","",I184-H184)</f>
        <v/>
      </c>
      <c r="G184" s="160"/>
      <c r="H184" s="158"/>
      <c r="I184" s="159" cm="1" t="str">
        <f t="array" ref="I184">IF(AG184="","",P184-K184)</f>
        <v/>
      </c>
      <c r="J184" s="160"/>
      <c r="K184" s="158"/>
      <c r="L184" s="161"/>
      <c r="M184" s="161"/>
      <c r="N184" s="161"/>
      <c r="O184" s="161"/>
      <c r="P184" s="159" cm="1" t="str">
        <f t="array" ref="P184">IF(AG184="","",AC184-R184-Q184)</f>
        <v/>
      </c>
      <c r="Q184" s="162"/>
      <c r="R184" s="162"/>
      <c r="S184" s="161"/>
      <c r="T184" s="161"/>
      <c r="U184" s="161"/>
      <c r="V184" s="161"/>
      <c r="W184" s="161"/>
      <c r="X184" s="161"/>
      <c r="Y184" s="161"/>
      <c r="Z184" s="161"/>
      <c r="AA184" s="161"/>
      <c r="AB184" s="160"/>
      <c r="AC184" s="195" cm="1" t="str">
        <f t="array" ref="AC184">IF(AG184="","",AG184-AF184)</f>
        <v/>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350"/>
      <c r="D185" s="165"/>
      <c r="E185" s="164"/>
      <c r="F185" s="195" cm="1" t="str">
        <f t="array" ref="F185">IF(AG185="","",I185-H185)</f>
        <v/>
      </c>
      <c r="G185" s="160"/>
      <c r="H185" s="158"/>
      <c r="I185" s="159" cm="1" t="str">
        <f t="array" ref="I185">IF(AG185="","",P185-K185)</f>
        <v/>
      </c>
      <c r="J185" s="160"/>
      <c r="K185" s="158"/>
      <c r="L185" s="161"/>
      <c r="M185" s="161"/>
      <c r="N185" s="161"/>
      <c r="O185" s="161"/>
      <c r="P185" s="159" cm="1" t="str">
        <f t="array" ref="P185">IF(AG185="","",AC185-R185-Q185)</f>
        <v/>
      </c>
      <c r="Q185" s="162"/>
      <c r="R185" s="162"/>
      <c r="S185" s="161"/>
      <c r="T185" s="161"/>
      <c r="U185" s="161"/>
      <c r="V185" s="161"/>
      <c r="W185" s="161"/>
      <c r="X185" s="161"/>
      <c r="Y185" s="161"/>
      <c r="Z185" s="161"/>
      <c r="AA185" s="161"/>
      <c r="AB185" s="160"/>
      <c r="AC185" s="195" cm="1" t="str">
        <f t="array" ref="AC185">IF(AG185="","",AG185-AF185)</f>
        <v/>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350"/>
      <c r="D186" s="165"/>
      <c r="E186" s="164"/>
      <c r="F186" s="195" cm="1" t="str">
        <f t="array" ref="F186">IF(AG186="","",I186-H186)</f>
        <v/>
      </c>
      <c r="G186" s="160"/>
      <c r="H186" s="158"/>
      <c r="I186" s="159" cm="1" t="str">
        <f t="array" ref="I186">IF(AG186="","",P186-K186)</f>
        <v/>
      </c>
      <c r="J186" s="160"/>
      <c r="K186" s="158"/>
      <c r="L186" s="161"/>
      <c r="M186" s="161"/>
      <c r="N186" s="161"/>
      <c r="O186" s="161"/>
      <c r="P186" s="159" cm="1" t="str">
        <f t="array" ref="P186">IF(AG186="","",AC186-R186-Q186)</f>
        <v/>
      </c>
      <c r="Q186" s="162"/>
      <c r="R186" s="162"/>
      <c r="S186" s="161"/>
      <c r="T186" s="161"/>
      <c r="U186" s="161"/>
      <c r="V186" s="161"/>
      <c r="W186" s="161"/>
      <c r="X186" s="161"/>
      <c r="Y186" s="161"/>
      <c r="Z186" s="161"/>
      <c r="AA186" s="161"/>
      <c r="AB186" s="160"/>
      <c r="AC186" s="195" cm="1" t="str">
        <f t="array" ref="AC186">IF(AG186="","",AG186-AF186)</f>
        <v/>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350"/>
      <c r="D187" s="165"/>
      <c r="E187" s="164"/>
      <c r="F187" s="195" cm="1" t="str">
        <f t="array" ref="F187">IF(AG187="","",I187-H187)</f>
        <v/>
      </c>
      <c r="G187" s="160"/>
      <c r="H187" s="158"/>
      <c r="I187" s="159" cm="1" t="str">
        <f t="array" ref="I187">IF(AG187="","",P187-K187)</f>
        <v/>
      </c>
      <c r="J187" s="160"/>
      <c r="K187" s="158"/>
      <c r="L187" s="161"/>
      <c r="M187" s="161"/>
      <c r="N187" s="161"/>
      <c r="O187" s="161"/>
      <c r="P187" s="159" cm="1" t="str">
        <f t="array" ref="P187">IF(AG187="","",AC187-R187-Q187)</f>
        <v/>
      </c>
      <c r="Q187" s="162"/>
      <c r="R187" s="162"/>
      <c r="S187" s="161"/>
      <c r="T187" s="161"/>
      <c r="U187" s="161"/>
      <c r="V187" s="161"/>
      <c r="W187" s="161"/>
      <c r="X187" s="161"/>
      <c r="Y187" s="161"/>
      <c r="Z187" s="161"/>
      <c r="AA187" s="161"/>
      <c r="AB187" s="160"/>
      <c r="AC187" s="195" cm="1" t="str">
        <f t="array" ref="AC187">IF(AG187="","",AG187-AF187)</f>
        <v/>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350"/>
      <c r="D188" s="165"/>
      <c r="E188" s="164"/>
      <c r="F188" s="195" cm="1" t="str">
        <f t="array" ref="F188">IF(AG188="","",I188-H188)</f>
        <v/>
      </c>
      <c r="G188" s="160"/>
      <c r="H188" s="158"/>
      <c r="I188" s="159" cm="1" t="str">
        <f t="array" ref="I188">IF(AG188="","",P188-K188)</f>
        <v/>
      </c>
      <c r="J188" s="160"/>
      <c r="K188" s="158"/>
      <c r="L188" s="161"/>
      <c r="M188" s="161"/>
      <c r="N188" s="161"/>
      <c r="O188" s="161"/>
      <c r="P188" s="159" cm="1" t="str">
        <f t="array" ref="P188">IF(AG188="","",AC188-R188-Q188)</f>
        <v/>
      </c>
      <c r="Q188" s="162"/>
      <c r="R188" s="162"/>
      <c r="S188" s="161"/>
      <c r="T188" s="161"/>
      <c r="U188" s="161"/>
      <c r="V188" s="161"/>
      <c r="W188" s="161"/>
      <c r="X188" s="161"/>
      <c r="Y188" s="161"/>
      <c r="Z188" s="161"/>
      <c r="AA188" s="161"/>
      <c r="AB188" s="160"/>
      <c r="AC188" s="195" cm="1" t="str">
        <f t="array" ref="AC188">IF(AG188="","",AG188-AF188)</f>
        <v/>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350"/>
      <c r="D189" s="165"/>
      <c r="E189" s="164"/>
      <c r="F189" s="195" cm="1" t="str">
        <f t="array" ref="F189">IF(AG189="","",I189-H189)</f>
        <v/>
      </c>
      <c r="G189" s="160"/>
      <c r="H189" s="158"/>
      <c r="I189" s="159" cm="1" t="str">
        <f t="array" ref="I189">IF(AG189="","",P189-K189)</f>
        <v/>
      </c>
      <c r="J189" s="160"/>
      <c r="K189" s="158"/>
      <c r="L189" s="161"/>
      <c r="M189" s="161"/>
      <c r="N189" s="161"/>
      <c r="O189" s="161"/>
      <c r="P189" s="159" cm="1" t="str">
        <f t="array" ref="P189">IF(AG189="","",AC189-R189-Q189)</f>
        <v/>
      </c>
      <c r="Q189" s="162"/>
      <c r="R189" s="162"/>
      <c r="S189" s="161"/>
      <c r="T189" s="161"/>
      <c r="U189" s="161"/>
      <c r="V189" s="161"/>
      <c r="W189" s="161"/>
      <c r="X189" s="161"/>
      <c r="Y189" s="161"/>
      <c r="Z189" s="161"/>
      <c r="AA189" s="161"/>
      <c r="AB189" s="160"/>
      <c r="AC189" s="195" cm="1" t="str">
        <f t="array" ref="AC189">IF(AG189="","",AG189-AF189)</f>
        <v/>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350"/>
      <c r="D190" s="165"/>
      <c r="E190" s="164"/>
      <c r="F190" s="195" cm="1" t="str">
        <f t="array" ref="F190">IF(AG190="","",I190-H190)</f>
        <v/>
      </c>
      <c r="G190" s="160"/>
      <c r="H190" s="158"/>
      <c r="I190" s="159" cm="1" t="str">
        <f t="array" ref="I190">IF(AG190="","",P190-K190)</f>
        <v/>
      </c>
      <c r="J190" s="160"/>
      <c r="K190" s="158"/>
      <c r="L190" s="161"/>
      <c r="M190" s="161"/>
      <c r="N190" s="161"/>
      <c r="O190" s="161"/>
      <c r="P190" s="159" cm="1" t="str">
        <f t="array" ref="P190">IF(AG190="","",AC190-R190-Q190)</f>
        <v/>
      </c>
      <c r="Q190" s="162"/>
      <c r="R190" s="162"/>
      <c r="S190" s="161"/>
      <c r="T190" s="161"/>
      <c r="U190" s="161"/>
      <c r="V190" s="161"/>
      <c r="W190" s="161"/>
      <c r="X190" s="161"/>
      <c r="Y190" s="161"/>
      <c r="Z190" s="161"/>
      <c r="AA190" s="161"/>
      <c r="AB190" s="160"/>
      <c r="AC190" s="195" cm="1" t="str">
        <f t="array" ref="AC190">IF(AG190="","",AG190-AF190)</f>
        <v/>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350"/>
      <c r="D191" s="165"/>
      <c r="E191" s="164"/>
      <c r="F191" s="195" cm="1" t="str">
        <f t="array" ref="F191">IF(AG191="","",I191-H191)</f>
        <v/>
      </c>
      <c r="G191" s="160"/>
      <c r="H191" s="158"/>
      <c r="I191" s="159" cm="1" t="str">
        <f t="array" ref="I191">IF(AG191="","",P191-K191)</f>
        <v/>
      </c>
      <c r="J191" s="160"/>
      <c r="K191" s="158"/>
      <c r="L191" s="161"/>
      <c r="M191" s="161"/>
      <c r="N191" s="161"/>
      <c r="O191" s="161"/>
      <c r="P191" s="159" cm="1" t="str">
        <f t="array" ref="P191">IF(AG191="","",AC191-R191-Q191)</f>
        <v/>
      </c>
      <c r="Q191" s="162"/>
      <c r="R191" s="162"/>
      <c r="S191" s="161"/>
      <c r="T191" s="161"/>
      <c r="U191" s="161"/>
      <c r="V191" s="161"/>
      <c r="W191" s="161"/>
      <c r="X191" s="161"/>
      <c r="Y191" s="161"/>
      <c r="Z191" s="161"/>
      <c r="AA191" s="161"/>
      <c r="AB191" s="160"/>
      <c r="AC191" s="195" cm="1" t="str">
        <f t="array" ref="AC191">IF(AG191="","",AG191-AF191)</f>
        <v/>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350"/>
      <c r="D192" s="165"/>
      <c r="E192" s="164"/>
      <c r="F192" s="195" cm="1" t="str">
        <f t="array" ref="F192">IF(AG192="","",I192-H192)</f>
        <v/>
      </c>
      <c r="G192" s="160"/>
      <c r="H192" s="158"/>
      <c r="I192" s="159" cm="1" t="str">
        <f t="array" ref="I192">IF(AG192="","",P192-K192)</f>
        <v/>
      </c>
      <c r="J192" s="160"/>
      <c r="K192" s="158"/>
      <c r="L192" s="161"/>
      <c r="M192" s="161"/>
      <c r="N192" s="161"/>
      <c r="O192" s="161"/>
      <c r="P192" s="159" cm="1" t="str">
        <f t="array" ref="P192">IF(AG192="","",AC192-R192-Q192)</f>
        <v/>
      </c>
      <c r="Q192" s="162"/>
      <c r="R192" s="162"/>
      <c r="S192" s="161"/>
      <c r="T192" s="161"/>
      <c r="U192" s="161"/>
      <c r="V192" s="161"/>
      <c r="W192" s="161"/>
      <c r="X192" s="161"/>
      <c r="Y192" s="161"/>
      <c r="Z192" s="161"/>
      <c r="AA192" s="161"/>
      <c r="AB192" s="160"/>
      <c r="AC192" s="195" cm="1" t="str">
        <f t="array" ref="AC192">IF(AG192="","",AG192-AF192)</f>
        <v/>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350"/>
      <c r="D193" s="165"/>
      <c r="E193" s="164"/>
      <c r="F193" s="195" cm="1" t="str">
        <f t="array" ref="F193">IF(AG193="","",I193-H193)</f>
        <v/>
      </c>
      <c r="G193" s="160"/>
      <c r="H193" s="158"/>
      <c r="I193" s="159" cm="1" t="str">
        <f t="array" ref="I193">IF(AG193="","",P193-K193)</f>
        <v/>
      </c>
      <c r="J193" s="160"/>
      <c r="K193" s="158"/>
      <c r="L193" s="161"/>
      <c r="M193" s="161"/>
      <c r="N193" s="161"/>
      <c r="O193" s="161"/>
      <c r="P193" s="159" cm="1" t="str">
        <f t="array" ref="P193">IF(AG193="","",AC193-R193-Q193)</f>
        <v/>
      </c>
      <c r="Q193" s="162"/>
      <c r="R193" s="162"/>
      <c r="S193" s="161"/>
      <c r="T193" s="161"/>
      <c r="U193" s="161"/>
      <c r="V193" s="161"/>
      <c r="W193" s="161"/>
      <c r="X193" s="161"/>
      <c r="Y193" s="161"/>
      <c r="Z193" s="161"/>
      <c r="AA193" s="161"/>
      <c r="AB193" s="160"/>
      <c r="AC193" s="195" cm="1" t="str">
        <f t="array" ref="AC193">IF(AG193="","",AG193-AF193)</f>
        <v/>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350"/>
      <c r="D194" s="165"/>
      <c r="E194" s="164"/>
      <c r="F194" s="195" cm="1" t="str">
        <f t="array" ref="F194">IF(AG194="","",I194-H194)</f>
        <v/>
      </c>
      <c r="G194" s="160"/>
      <c r="H194" s="158"/>
      <c r="I194" s="159" cm="1" t="str">
        <f t="array" ref="I194">IF(AG194="","",P194-K194)</f>
        <v/>
      </c>
      <c r="J194" s="160"/>
      <c r="K194" s="158"/>
      <c r="L194" s="161"/>
      <c r="M194" s="161"/>
      <c r="N194" s="161"/>
      <c r="O194" s="161"/>
      <c r="P194" s="159" cm="1" t="str">
        <f t="array" ref="P194">IF(AG194="","",AC194-R194-Q194)</f>
        <v/>
      </c>
      <c r="Q194" s="162"/>
      <c r="R194" s="162"/>
      <c r="S194" s="161"/>
      <c r="T194" s="161"/>
      <c r="U194" s="161"/>
      <c r="V194" s="161"/>
      <c r="W194" s="161"/>
      <c r="X194" s="161"/>
      <c r="Y194" s="161"/>
      <c r="Z194" s="161"/>
      <c r="AA194" s="161"/>
      <c r="AB194" s="160"/>
      <c r="AC194" s="195" cm="1" t="str">
        <f t="array" ref="AC194">IF(AG194="","",AG194-AF194)</f>
        <v/>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350"/>
      <c r="D195" s="165"/>
      <c r="E195" s="164"/>
      <c r="F195" s="195" cm="1" t="str">
        <f t="array" ref="F195">IF(AG195="","",I195-H195)</f>
        <v/>
      </c>
      <c r="G195" s="160"/>
      <c r="H195" s="158"/>
      <c r="I195" s="159" cm="1" t="str">
        <f t="array" ref="I195">IF(AG195="","",P195-K195)</f>
        <v/>
      </c>
      <c r="J195" s="160"/>
      <c r="K195" s="158"/>
      <c r="L195" s="161"/>
      <c r="M195" s="161"/>
      <c r="N195" s="161"/>
      <c r="O195" s="161"/>
      <c r="P195" s="159" cm="1" t="str">
        <f t="array" ref="P195">IF(AG195="","",AC195-R195-Q195)</f>
        <v/>
      </c>
      <c r="Q195" s="162"/>
      <c r="R195" s="162"/>
      <c r="S195" s="161"/>
      <c r="T195" s="161"/>
      <c r="U195" s="161"/>
      <c r="V195" s="161"/>
      <c r="W195" s="161"/>
      <c r="X195" s="161"/>
      <c r="Y195" s="161"/>
      <c r="Z195" s="161"/>
      <c r="AA195" s="161"/>
      <c r="AB195" s="160"/>
      <c r="AC195" s="195" cm="1" t="str">
        <f t="array" ref="AC195">IF(AG195="","",AG195-AF195)</f>
        <v/>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350"/>
      <c r="D196" s="165"/>
      <c r="E196" s="164"/>
      <c r="F196" s="195" cm="1" t="str">
        <f t="array" ref="F196">IF(AG196="","",I196-H196)</f>
        <v/>
      </c>
      <c r="G196" s="160"/>
      <c r="H196" s="158"/>
      <c r="I196" s="159" cm="1" t="str">
        <f t="array" ref="I196">IF(AG196="","",P196-K196)</f>
        <v/>
      </c>
      <c r="J196" s="160"/>
      <c r="K196" s="158"/>
      <c r="L196" s="161"/>
      <c r="M196" s="161"/>
      <c r="N196" s="161"/>
      <c r="O196" s="161"/>
      <c r="P196" s="159" cm="1" t="str">
        <f t="array" ref="P196">IF(AG196="","",AC196-R196-Q196)</f>
        <v/>
      </c>
      <c r="Q196" s="162"/>
      <c r="R196" s="162"/>
      <c r="S196" s="161"/>
      <c r="T196" s="161"/>
      <c r="U196" s="161"/>
      <c r="V196" s="161"/>
      <c r="W196" s="161"/>
      <c r="X196" s="161"/>
      <c r="Y196" s="161"/>
      <c r="Z196" s="161"/>
      <c r="AA196" s="161"/>
      <c r="AB196" s="160"/>
      <c r="AC196" s="195" cm="1" t="str">
        <f t="array" ref="AC196">IF(AG196="","",AG196-AF196)</f>
        <v/>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350"/>
      <c r="D197" s="165"/>
      <c r="E197" s="164"/>
      <c r="F197" s="195" cm="1" t="str">
        <f t="array" ref="F197">IF(AG197="","",I197-H197)</f>
        <v/>
      </c>
      <c r="G197" s="160"/>
      <c r="H197" s="158"/>
      <c r="I197" s="159" cm="1" t="str">
        <f t="array" ref="I197">IF(AG197="","",P197-K197)</f>
        <v/>
      </c>
      <c r="J197" s="160"/>
      <c r="K197" s="158"/>
      <c r="L197" s="161"/>
      <c r="M197" s="161"/>
      <c r="N197" s="161"/>
      <c r="O197" s="161"/>
      <c r="P197" s="159" cm="1" t="str">
        <f t="array" ref="P197">IF(AG197="","",AC197-R197-Q197)</f>
        <v/>
      </c>
      <c r="Q197" s="162"/>
      <c r="R197" s="162"/>
      <c r="S197" s="161"/>
      <c r="T197" s="161"/>
      <c r="U197" s="161"/>
      <c r="V197" s="161"/>
      <c r="W197" s="161"/>
      <c r="X197" s="161"/>
      <c r="Y197" s="161"/>
      <c r="Z197" s="161"/>
      <c r="AA197" s="161"/>
      <c r="AB197" s="160"/>
      <c r="AC197" s="195" cm="1" t="str">
        <f t="array" ref="AC197">IF(AG197="","",AG197-AF197)</f>
        <v/>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350"/>
      <c r="D198" s="165"/>
      <c r="E198" s="164"/>
      <c r="F198" s="195" cm="1" t="str">
        <f t="array" ref="F198">IF(AG198="","",I198-H198)</f>
        <v/>
      </c>
      <c r="G198" s="160"/>
      <c r="H198" s="158"/>
      <c r="I198" s="159" cm="1" t="str">
        <f t="array" ref="I198">IF(AG198="","",P198-K198)</f>
        <v/>
      </c>
      <c r="J198" s="160"/>
      <c r="K198" s="158"/>
      <c r="L198" s="161"/>
      <c r="M198" s="161"/>
      <c r="N198" s="161"/>
      <c r="O198" s="161"/>
      <c r="P198" s="159" cm="1" t="str">
        <f t="array" ref="P198">IF(AG198="","",AC198-R198-Q198)</f>
        <v/>
      </c>
      <c r="Q198" s="162"/>
      <c r="R198" s="162"/>
      <c r="S198" s="161"/>
      <c r="T198" s="161"/>
      <c r="U198" s="161"/>
      <c r="V198" s="161"/>
      <c r="W198" s="161"/>
      <c r="X198" s="161"/>
      <c r="Y198" s="161"/>
      <c r="Z198" s="161"/>
      <c r="AA198" s="161"/>
      <c r="AB198" s="160"/>
      <c r="AC198" s="195" cm="1" t="str">
        <f t="array" ref="AC198">IF(AG198="","",AG198-AF198)</f>
        <v/>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350"/>
      <c r="D199" s="165"/>
      <c r="E199" s="164"/>
      <c r="F199" s="195" cm="1" t="str">
        <f t="array" ref="F199">IF(AG199="","",I199-H199)</f>
        <v/>
      </c>
      <c r="G199" s="160"/>
      <c r="H199" s="158"/>
      <c r="I199" s="159" cm="1" t="str">
        <f t="array" ref="I199">IF(AG199="","",P199-K199)</f>
        <v/>
      </c>
      <c r="J199" s="160"/>
      <c r="K199" s="158"/>
      <c r="L199" s="161"/>
      <c r="M199" s="161"/>
      <c r="N199" s="161"/>
      <c r="O199" s="161"/>
      <c r="P199" s="159" cm="1" t="str">
        <f t="array" ref="P199">IF(AG199="","",AC199-R199-Q199)</f>
        <v/>
      </c>
      <c r="Q199" s="162"/>
      <c r="R199" s="162"/>
      <c r="S199" s="161"/>
      <c r="T199" s="161"/>
      <c r="U199" s="161"/>
      <c r="V199" s="161"/>
      <c r="W199" s="161"/>
      <c r="X199" s="161"/>
      <c r="Y199" s="161"/>
      <c r="Z199" s="161"/>
      <c r="AA199" s="161"/>
      <c r="AB199" s="160"/>
      <c r="AC199" s="195" cm="1" t="str">
        <f t="array" ref="AC199">IF(AG199="","",AG199-AF199)</f>
        <v/>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350"/>
      <c r="D200" s="165"/>
      <c r="E200" s="164"/>
      <c r="F200" s="195" cm="1" t="str">
        <f t="array" ref="F200">IF(AG200="","",I200-H200)</f>
        <v/>
      </c>
      <c r="G200" s="160"/>
      <c r="H200" s="158"/>
      <c r="I200" s="159" cm="1" t="str">
        <f t="array" ref="I200">IF(AG200="","",P200-K200)</f>
        <v/>
      </c>
      <c r="J200" s="160"/>
      <c r="K200" s="158"/>
      <c r="L200" s="161"/>
      <c r="M200" s="161"/>
      <c r="N200" s="161"/>
      <c r="O200" s="161"/>
      <c r="P200" s="159" cm="1" t="str">
        <f t="array" ref="P200">IF(AG200="","",AC200-R200-Q200)</f>
        <v/>
      </c>
      <c r="Q200" s="162"/>
      <c r="R200" s="162"/>
      <c r="S200" s="161"/>
      <c r="T200" s="161"/>
      <c r="U200" s="161"/>
      <c r="V200" s="161"/>
      <c r="W200" s="161"/>
      <c r="X200" s="161"/>
      <c r="Y200" s="161"/>
      <c r="Z200" s="161"/>
      <c r="AA200" s="161"/>
      <c r="AB200" s="160"/>
      <c r="AC200" s="195" cm="1" t="str">
        <f t="array" ref="AC200">IF(AG200="","",AG200-AF200)</f>
        <v/>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350"/>
      <c r="D201" s="165"/>
      <c r="E201" s="164"/>
      <c r="F201" s="195" cm="1" t="str">
        <f t="array" ref="F201">IF(AG201="","",I201-H201)</f>
        <v/>
      </c>
      <c r="G201" s="160"/>
      <c r="H201" s="158"/>
      <c r="I201" s="159" cm="1" t="str">
        <f t="array" ref="I201">IF(AG201="","",P201-K201)</f>
        <v/>
      </c>
      <c r="J201" s="160"/>
      <c r="K201" s="158"/>
      <c r="L201" s="161"/>
      <c r="M201" s="161"/>
      <c r="N201" s="161"/>
      <c r="O201" s="161"/>
      <c r="P201" s="159" cm="1" t="str">
        <f t="array" ref="P201">IF(AG201="","",AC201-R201-Q201)</f>
        <v/>
      </c>
      <c r="Q201" s="162"/>
      <c r="R201" s="162"/>
      <c r="S201" s="161"/>
      <c r="T201" s="161"/>
      <c r="U201" s="161"/>
      <c r="V201" s="161"/>
      <c r="W201" s="161"/>
      <c r="X201" s="161"/>
      <c r="Y201" s="161"/>
      <c r="Z201" s="161"/>
      <c r="AA201" s="161"/>
      <c r="AB201" s="160"/>
      <c r="AC201" s="195" cm="1" t="str">
        <f t="array" ref="AC201">IF(AG201="","",AG201-AF201)</f>
        <v/>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350"/>
      <c r="D202" s="165"/>
      <c r="E202" s="164"/>
      <c r="F202" s="195" cm="1" t="str">
        <f t="array" ref="F202">IF(AG202="","",I202-H202)</f>
        <v/>
      </c>
      <c r="G202" s="160"/>
      <c r="H202" s="158"/>
      <c r="I202" s="159" cm="1" t="str">
        <f t="array" ref="I202">IF(AG202="","",P202-K202)</f>
        <v/>
      </c>
      <c r="J202" s="160"/>
      <c r="K202" s="158"/>
      <c r="L202" s="161"/>
      <c r="M202" s="161"/>
      <c r="N202" s="161"/>
      <c r="O202" s="161"/>
      <c r="P202" s="159" cm="1" t="str">
        <f t="array" ref="P202">IF(AG202="","",AC202-R202-Q202)</f>
        <v/>
      </c>
      <c r="Q202" s="162"/>
      <c r="R202" s="162"/>
      <c r="S202" s="161"/>
      <c r="T202" s="161"/>
      <c r="U202" s="161"/>
      <c r="V202" s="161"/>
      <c r="W202" s="161"/>
      <c r="X202" s="161"/>
      <c r="Y202" s="161"/>
      <c r="Z202" s="161"/>
      <c r="AA202" s="161"/>
      <c r="AB202" s="160"/>
      <c r="AC202" s="195" cm="1" t="str">
        <f t="array" ref="AC202">IF(AG202="","",AG202-AF202)</f>
        <v/>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350"/>
      <c r="D203" s="165"/>
      <c r="E203" s="164"/>
      <c r="F203" s="195" cm="1" t="str">
        <f t="array" ref="F203">IF(AG203="","",I203-H203)</f>
        <v/>
      </c>
      <c r="G203" s="160"/>
      <c r="H203" s="158"/>
      <c r="I203" s="159" cm="1" t="str">
        <f t="array" ref="I203">IF(AG203="","",P203-K203)</f>
        <v/>
      </c>
      <c r="J203" s="160"/>
      <c r="K203" s="158"/>
      <c r="L203" s="161"/>
      <c r="M203" s="161"/>
      <c r="N203" s="161"/>
      <c r="O203" s="161"/>
      <c r="P203" s="159" cm="1" t="str">
        <f t="array" ref="P203">IF(AG203="","",AC203-R203-Q203)</f>
        <v/>
      </c>
      <c r="Q203" s="162"/>
      <c r="R203" s="162"/>
      <c r="S203" s="161"/>
      <c r="T203" s="161"/>
      <c r="U203" s="161"/>
      <c r="V203" s="161"/>
      <c r="W203" s="161"/>
      <c r="X203" s="161"/>
      <c r="Y203" s="161"/>
      <c r="Z203" s="161"/>
      <c r="AA203" s="161"/>
      <c r="AB203" s="160"/>
      <c r="AC203" s="195" cm="1" t="str">
        <f t="array" ref="AC203">IF(AG203="","",AG203-AF203)</f>
        <v/>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350"/>
      <c r="D204" s="165"/>
      <c r="E204" s="164"/>
      <c r="F204" s="195" cm="1" t="str">
        <f t="array" ref="F204">IF(AG204="","",I204-H204)</f>
        <v/>
      </c>
      <c r="G204" s="160"/>
      <c r="H204" s="158"/>
      <c r="I204" s="159" cm="1" t="str">
        <f t="array" ref="I204">IF(AG204="","",P204-K204)</f>
        <v/>
      </c>
      <c r="J204" s="160"/>
      <c r="K204" s="158"/>
      <c r="L204" s="161"/>
      <c r="M204" s="161"/>
      <c r="N204" s="161"/>
      <c r="O204" s="161"/>
      <c r="P204" s="159" cm="1" t="str">
        <f t="array" ref="P204">IF(AG204="","",AC204-R204-Q204)</f>
        <v/>
      </c>
      <c r="Q204" s="162"/>
      <c r="R204" s="162"/>
      <c r="S204" s="161"/>
      <c r="T204" s="161"/>
      <c r="U204" s="161"/>
      <c r="V204" s="161"/>
      <c r="W204" s="161"/>
      <c r="X204" s="161"/>
      <c r="Y204" s="161"/>
      <c r="Z204" s="161"/>
      <c r="AA204" s="161"/>
      <c r="AB204" s="160"/>
      <c r="AC204" s="195" cm="1" t="str">
        <f t="array" ref="AC204">IF(AG204="","",AG204-AF204)</f>
        <v/>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350"/>
      <c r="D205" s="165"/>
      <c r="E205" s="164"/>
      <c r="F205" s="195" cm="1" t="str">
        <f t="array" ref="F205">IF(AG205="","",I205-H205)</f>
        <v/>
      </c>
      <c r="G205" s="160"/>
      <c r="H205" s="158"/>
      <c r="I205" s="159" cm="1" t="str">
        <f t="array" ref="I205">IF(AG205="","",P205-K205)</f>
        <v/>
      </c>
      <c r="J205" s="160"/>
      <c r="K205" s="158"/>
      <c r="L205" s="161"/>
      <c r="M205" s="161"/>
      <c r="N205" s="161"/>
      <c r="O205" s="161"/>
      <c r="P205" s="159" cm="1" t="str">
        <f t="array" ref="P205">IF(AG205="","",AC205-R205-Q205)</f>
        <v/>
      </c>
      <c r="Q205" s="162"/>
      <c r="R205" s="162"/>
      <c r="S205" s="161"/>
      <c r="T205" s="161"/>
      <c r="U205" s="161"/>
      <c r="V205" s="161"/>
      <c r="W205" s="161"/>
      <c r="X205" s="161"/>
      <c r="Y205" s="161"/>
      <c r="Z205" s="161"/>
      <c r="AA205" s="161"/>
      <c r="AB205" s="160"/>
      <c r="AC205" s="195" cm="1" t="str">
        <f t="array" ref="AC205">IF(AG205="","",AG205-AF205)</f>
        <v/>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350"/>
      <c r="D206" s="165"/>
      <c r="E206" s="164"/>
      <c r="F206" s="195" cm="1" t="str">
        <f t="array" ref="F206">IF(AG206="","",I206-H206)</f>
        <v/>
      </c>
      <c r="G206" s="160"/>
      <c r="H206" s="158"/>
      <c r="I206" s="159" cm="1" t="str">
        <f t="array" ref="I206">IF(AG206="","",P206-K206)</f>
        <v/>
      </c>
      <c r="J206" s="160"/>
      <c r="K206" s="158"/>
      <c r="L206" s="161"/>
      <c r="M206" s="161"/>
      <c r="N206" s="161"/>
      <c r="O206" s="161"/>
      <c r="P206" s="159" cm="1" t="str">
        <f t="array" ref="P206">IF(AG206="","",AC206-R206-Q206)</f>
        <v/>
      </c>
      <c r="Q206" s="162"/>
      <c r="R206" s="162"/>
      <c r="S206" s="161"/>
      <c r="T206" s="161"/>
      <c r="U206" s="161"/>
      <c r="V206" s="161"/>
      <c r="W206" s="161"/>
      <c r="X206" s="161"/>
      <c r="Y206" s="161"/>
      <c r="Z206" s="161"/>
      <c r="AA206" s="161"/>
      <c r="AB206" s="160"/>
      <c r="AC206" s="195" cm="1" t="str">
        <f t="array" ref="AC206">IF(AG206="","",AG206-AF206)</f>
        <v/>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350"/>
      <c r="D207" s="165"/>
      <c r="E207" s="164"/>
      <c r="F207" s="195" cm="1" t="str">
        <f t="array" ref="F207">IF(AG207="","",I207-H207)</f>
        <v/>
      </c>
      <c r="G207" s="160"/>
      <c r="H207" s="158"/>
      <c r="I207" s="159" cm="1" t="str">
        <f t="array" ref="I207">IF(AG207="","",P207-K207)</f>
        <v/>
      </c>
      <c r="J207" s="160"/>
      <c r="K207" s="158"/>
      <c r="L207" s="161"/>
      <c r="M207" s="161"/>
      <c r="N207" s="161"/>
      <c r="O207" s="161"/>
      <c r="P207" s="159" cm="1" t="str">
        <f t="array" ref="P207">IF(AG207="","",AC207-R207-Q207)</f>
        <v/>
      </c>
      <c r="Q207" s="162"/>
      <c r="R207" s="162"/>
      <c r="S207" s="161"/>
      <c r="T207" s="161"/>
      <c r="U207" s="161"/>
      <c r="V207" s="161"/>
      <c r="W207" s="161"/>
      <c r="X207" s="161"/>
      <c r="Y207" s="161"/>
      <c r="Z207" s="161"/>
      <c r="AA207" s="161"/>
      <c r="AB207" s="160"/>
      <c r="AC207" s="195" cm="1" t="str">
        <f t="array" ref="AC207">IF(AG207="","",AG207-AF207)</f>
        <v/>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350"/>
      <c r="D208" s="165"/>
      <c r="E208" s="164"/>
      <c r="F208" s="195" cm="1" t="str">
        <f t="array" ref="F208">IF(AG208="","",I208-H208)</f>
        <v/>
      </c>
      <c r="G208" s="160"/>
      <c r="H208" s="158"/>
      <c r="I208" s="159" cm="1" t="str">
        <f t="array" ref="I208">IF(AG208="","",P208-K208)</f>
        <v/>
      </c>
      <c r="J208" s="160"/>
      <c r="K208" s="158"/>
      <c r="L208" s="161"/>
      <c r="M208" s="161"/>
      <c r="N208" s="161"/>
      <c r="O208" s="161"/>
      <c r="P208" s="159" cm="1" t="str">
        <f t="array" ref="P208">IF(AG208="","",AC208-R208-Q208)</f>
        <v/>
      </c>
      <c r="Q208" s="162"/>
      <c r="R208" s="162"/>
      <c r="S208" s="161"/>
      <c r="T208" s="161"/>
      <c r="U208" s="161"/>
      <c r="V208" s="161"/>
      <c r="W208" s="161"/>
      <c r="X208" s="161"/>
      <c r="Y208" s="161"/>
      <c r="Z208" s="161"/>
      <c r="AA208" s="161"/>
      <c r="AB208" s="160"/>
      <c r="AC208" s="195" cm="1" t="str">
        <f t="array" ref="AC208">IF(AG208="","",AG208-AF208)</f>
        <v/>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350"/>
      <c r="D209" s="165"/>
      <c r="E209" s="164"/>
      <c r="F209" s="195" cm="1" t="str">
        <f t="array" ref="F209">IF(AG209="","",I209-H209)</f>
        <v/>
      </c>
      <c r="G209" s="160"/>
      <c r="H209" s="158"/>
      <c r="I209" s="159" cm="1" t="str">
        <f t="array" ref="I209">IF(AG209="","",P209-K209)</f>
        <v/>
      </c>
      <c r="J209" s="160"/>
      <c r="K209" s="158"/>
      <c r="L209" s="161"/>
      <c r="M209" s="161"/>
      <c r="N209" s="161"/>
      <c r="O209" s="161"/>
      <c r="P209" s="159" cm="1" t="str">
        <f t="array" ref="P209">IF(AG209="","",AC209-R209-Q209)</f>
        <v/>
      </c>
      <c r="Q209" s="162"/>
      <c r="R209" s="162"/>
      <c r="S209" s="161"/>
      <c r="T209" s="161"/>
      <c r="U209" s="161"/>
      <c r="V209" s="161"/>
      <c r="W209" s="161"/>
      <c r="X209" s="161"/>
      <c r="Y209" s="161"/>
      <c r="Z209" s="161"/>
      <c r="AA209" s="161"/>
      <c r="AB209" s="160"/>
      <c r="AC209" s="195" cm="1" t="str">
        <f t="array" ref="AC209">IF(AG209="","",AG209-AF209)</f>
        <v/>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350"/>
      <c r="D210" s="165"/>
      <c r="E210" s="164"/>
      <c r="F210" s="195" cm="1" t="str">
        <f t="array" ref="F210">IF(AG210="","",I210-H210)</f>
        <v/>
      </c>
      <c r="G210" s="160"/>
      <c r="H210" s="158"/>
      <c r="I210" s="159" cm="1" t="str">
        <f t="array" ref="I210">IF(AG210="","",P210-K210)</f>
        <v/>
      </c>
      <c r="J210" s="160"/>
      <c r="K210" s="158"/>
      <c r="L210" s="161"/>
      <c r="M210" s="161"/>
      <c r="N210" s="161"/>
      <c r="O210" s="161"/>
      <c r="P210" s="159" cm="1" t="str">
        <f t="array" ref="P210">IF(AG210="","",AC210-R210-Q210)</f>
        <v/>
      </c>
      <c r="Q210" s="162"/>
      <c r="R210" s="162"/>
      <c r="S210" s="161"/>
      <c r="T210" s="161"/>
      <c r="U210" s="161"/>
      <c r="V210" s="161"/>
      <c r="W210" s="161"/>
      <c r="X210" s="161"/>
      <c r="Y210" s="161"/>
      <c r="Z210" s="161"/>
      <c r="AA210" s="161"/>
      <c r="AB210" s="160"/>
      <c r="AC210" s="195" cm="1" t="str">
        <f t="array" ref="AC210">IF(AG210="","",AG210-AF210)</f>
        <v/>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conditionalFormatting sqref="F11:F210">
    <cfRule type="expression" dxfId="18" priority="50" stopIfTrue="1">
      <formula>AND(ISNUMBER(F11),F11&lt;=TODAY(),G11="")</formula>
    </cfRule>
    <cfRule type="expression" dxfId="19" priority="51" stopIfTrue="1">
      <formula>AND(ISNUMBER(F11),F11&gt;TODAY(),F11&lt;=TODAY()+7,G11="")</formula>
    </cfRule>
  </conditionalFormatting>
  <conditionalFormatting sqref="I11:I210">
    <cfRule type="expression" dxfId="18" priority="52" stopIfTrue="1">
      <formula>AND(ISNUMBER(I11),I11&lt;=TODAY(),J11="")</formula>
    </cfRule>
    <cfRule type="expression" dxfId="19" priority="53" stopIfTrue="1">
      <formula>AND(ISNUMBER(I11),I11&gt;TODAY(),I11&lt;=TODAY()+7,J11="")</formula>
    </cfRule>
  </conditionalFormatting>
  <conditionalFormatting sqref="P11:P210">
    <cfRule type="expression" dxfId="18" priority="54" stopIfTrue="1">
      <formula>AND(ISNUMBER(P11),P11&lt;=TODAY(),OR(L11="",M11=""))</formula>
    </cfRule>
    <cfRule type="expression" dxfId="19" priority="55" stopIfTrue="1">
      <formula>AND(ISNUMBER(P11),P11&gt;TODAY(),P11&lt;=TODAY()+7,OR(L11="",M11=""))</formula>
    </cfRule>
  </conditionalFormatting>
  <conditionalFormatting sqref="AC11:AC210">
    <cfRule type="expression" dxfId="18" priority="56" stopIfTrue="1">
      <formula>AND(ISNUMBER(AC11),AC11&lt;=TODAY(),OR(S11="",T11=""))</formula>
    </cfRule>
    <cfRule type="expression" dxfId="19" priority="57" stopIfTrue="1">
      <formula>AND(ISNUMBER(AC11),AC11&gt;TODAY(),AC11&lt;=TODAY()+7,OR(S11="",T11=""))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18.6" customHeight="1">
      <c r="A1" t="s" s="167">
        <v>3</v>
      </c>
      <c r="B1" s="202"/>
      <c r="C1" t="str" s="203" cm="1">
        <f t="array" ref="C1">'①施工図リスト'!C2</f>
        <v>椙山女学園　星が丘キャンパス大学会館食堂リニューアル工事</v>
      </c>
      <c r="D1" s="203"/>
      <c r="E1" s="204"/>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18.6" customHeight="1">
      <c r="A2" s="151"/>
      <c r="B2" s="211"/>
      <c r="C2" s="212"/>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335">
        <v>158</v>
      </c>
      <c r="B4" t="s" s="335">
        <v>159</v>
      </c>
      <c r="C4" t="s" s="234">
        <v>160</v>
      </c>
      <c r="D4" t="s" s="336">
        <v>161</v>
      </c>
      <c r="E4" t="s" s="337">
        <v>162</v>
      </c>
      <c r="F4" t="s" s="338">
        <v>163</v>
      </c>
      <c r="G4" t="s" s="339">
        <v>164</v>
      </c>
      <c r="H4" t="s" s="338">
        <v>165</v>
      </c>
      <c r="I4" t="s" s="340">
        <v>166</v>
      </c>
      <c r="J4" t="s" s="339">
        <v>33</v>
      </c>
      <c r="K4" t="s" s="239">
        <v>167</v>
      </c>
      <c r="L4" s="240"/>
      <c r="M4" s="240"/>
      <c r="N4" s="241"/>
      <c r="O4" t="s" s="341">
        <v>168</v>
      </c>
      <c r="P4" t="s" s="339">
        <v>33</v>
      </c>
      <c r="Q4" t="s" s="243">
        <v>169</v>
      </c>
      <c r="R4" s="244"/>
      <c r="S4" t="s" s="245">
        <v>169</v>
      </c>
      <c r="T4" s="244"/>
      <c r="U4" t="s" s="245">
        <v>169</v>
      </c>
      <c r="V4" s="244"/>
      <c r="W4" t="s" s="245">
        <v>169</v>
      </c>
      <c r="X4" s="244"/>
      <c r="Y4" t="s" s="245">
        <v>169</v>
      </c>
      <c r="Z4" s="246"/>
      <c r="AA4" t="s" s="338">
        <v>170</v>
      </c>
      <c r="AB4" t="s" s="342">
        <v>171</v>
      </c>
      <c r="AC4" t="s" s="343">
        <v>12</v>
      </c>
      <c r="AD4" t="s" s="336">
        <v>172</v>
      </c>
      <c r="AE4" t="s" s="249">
        <v>173</v>
      </c>
      <c r="AF4" s="250"/>
      <c r="AG4" s="251"/>
      <c r="AH4" t="s" s="344">
        <v>18</v>
      </c>
      <c r="AI4" t="s" s="345">
        <v>19</v>
      </c>
      <c r="AJ4" t="s" s="345">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346">
        <v>51</v>
      </c>
      <c r="R5" t="s" s="347">
        <v>52</v>
      </c>
      <c r="S5" t="s" s="347">
        <v>51</v>
      </c>
      <c r="T5" t="s" s="347">
        <v>52</v>
      </c>
      <c r="U5" t="s" s="347">
        <v>51</v>
      </c>
      <c r="V5" t="s" s="347">
        <v>52</v>
      </c>
      <c r="W5" t="s" s="347">
        <v>51</v>
      </c>
      <c r="X5" t="s" s="347">
        <v>52</v>
      </c>
      <c r="Y5" t="s" s="347">
        <v>51</v>
      </c>
      <c r="Z5" t="s" s="348">
        <v>52</v>
      </c>
      <c r="AA5" s="258"/>
      <c r="AB5" s="268"/>
      <c r="AC5" s="269"/>
      <c r="AD5" s="149"/>
      <c r="AE5" s="270"/>
      <c r="AF5" s="250"/>
      <c r="AG5" s="251"/>
      <c r="AH5" s="149"/>
      <c r="AI5" s="271"/>
      <c r="AJ5" s="271"/>
      <c r="AK5" t="s" s="346">
        <v>51</v>
      </c>
      <c r="AL5" t="s" s="348">
        <v>52</v>
      </c>
      <c r="AM5" t="s" s="346">
        <v>51</v>
      </c>
      <c r="AN5" t="s" s="348">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353"/>
      <c r="D7" s="35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354">
        <v>179</v>
      </c>
      <c r="D8" s="35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55">
        <v>182</v>
      </c>
      <c r="D9" t="s" s="354">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55">
        <v>186</v>
      </c>
      <c r="D10" t="s" s="354">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354">
        <v>190</v>
      </c>
      <c r="D11" t="s" s="354">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354">
        <v>193</v>
      </c>
      <c r="D12" t="s" s="354">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354">
        <v>196</v>
      </c>
      <c r="D13" t="s" s="354">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354">
        <v>200</v>
      </c>
      <c r="D14" t="s" s="354">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354">
        <v>203</v>
      </c>
      <c r="D15" t="s" s="354">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354">
        <v>206</v>
      </c>
      <c r="D16" t="s" s="354">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354">
        <v>209</v>
      </c>
      <c r="D17" t="s" s="354">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55">
        <v>212</v>
      </c>
      <c r="D18" t="s" s="354">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354">
        <v>215</v>
      </c>
      <c r="D19" t="s" s="354">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354">
        <v>219</v>
      </c>
      <c r="D20" t="s" s="354">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354">
        <v>222</v>
      </c>
      <c r="D21" t="s" s="354">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354">
        <v>225</v>
      </c>
      <c r="D22" t="s" s="354">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353"/>
      <c r="D23" s="35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354">
        <v>227</v>
      </c>
      <c r="D24" s="35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354">
        <v>229</v>
      </c>
      <c r="D25" s="35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354">
        <v>232</v>
      </c>
      <c r="D26" s="35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353"/>
      <c r="D27" s="35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353"/>
      <c r="D28" s="35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353"/>
      <c r="D29" s="35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353"/>
      <c r="D30" s="35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353"/>
      <c r="D31" s="35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353"/>
      <c r="D32" s="35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353"/>
      <c r="D33" s="35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353"/>
      <c r="D34" s="35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353"/>
      <c r="D35" s="35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353"/>
      <c r="D36" s="35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354">
        <v>234</v>
      </c>
      <c r="D37" s="35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354">
        <v>235</v>
      </c>
      <c r="D38" s="35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354">
        <v>236</v>
      </c>
      <c r="D39" s="35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354">
        <v>237</v>
      </c>
      <c r="D40" s="35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354">
        <v>193</v>
      </c>
      <c r="D41" s="35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354">
        <v>238</v>
      </c>
      <c r="D42" s="35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354">
        <v>222</v>
      </c>
      <c r="D43" s="35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354">
        <v>239</v>
      </c>
      <c r="D44" s="35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354">
        <v>219</v>
      </c>
      <c r="D45" s="35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353"/>
      <c r="D46" s="35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353"/>
      <c r="D47" s="35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353"/>
      <c r="D48" s="35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353"/>
      <c r="D49" s="35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353"/>
      <c r="D50" s="35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354">
        <v>240</v>
      </c>
      <c r="D51" s="35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354">
        <v>241</v>
      </c>
      <c r="D52" s="35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354">
        <v>242</v>
      </c>
      <c r="D53" s="35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354">
        <v>243</v>
      </c>
      <c r="D54" s="35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354">
        <v>244</v>
      </c>
      <c r="D55" s="35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354">
        <v>245</v>
      </c>
      <c r="D56" s="35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354">
        <v>246</v>
      </c>
      <c r="D57" s="35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354">
        <v>247</v>
      </c>
      <c r="D58" s="35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354">
        <v>248</v>
      </c>
      <c r="D59" s="35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354">
        <v>249</v>
      </c>
      <c r="D60" s="35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354">
        <v>250</v>
      </c>
      <c r="D61" s="35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354">
        <v>251</v>
      </c>
      <c r="D62" s="35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354">
        <v>252</v>
      </c>
      <c r="D63" s="35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354">
        <v>253</v>
      </c>
      <c r="D64" s="35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353"/>
      <c r="D65" s="35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353"/>
      <c r="D66" s="35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353"/>
      <c r="D67" s="35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353"/>
      <c r="D68" s="35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353"/>
      <c r="D69" s="35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353"/>
      <c r="D70" s="35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354">
        <v>254</v>
      </c>
      <c r="D71" s="35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354">
        <v>255</v>
      </c>
      <c r="D72" s="35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354">
        <v>256</v>
      </c>
      <c r="D73" s="35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353"/>
      <c r="D74" s="35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353"/>
      <c r="D75" s="35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353"/>
      <c r="D76" s="35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353"/>
      <c r="D77" s="35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353"/>
      <c r="D78" s="35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353"/>
      <c r="D79" s="35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353"/>
      <c r="D80" s="35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354">
        <v>257</v>
      </c>
      <c r="D81" s="35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354">
        <v>258</v>
      </c>
      <c r="D82" s="35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354">
        <v>259</v>
      </c>
      <c r="D83" s="35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354">
        <v>260</v>
      </c>
      <c r="D84" s="35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354">
        <v>261</v>
      </c>
      <c r="D85" s="35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354">
        <v>262</v>
      </c>
      <c r="D86" s="35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354">
        <v>263</v>
      </c>
      <c r="D87" s="35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354">
        <v>264</v>
      </c>
      <c r="D88" s="35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354">
        <v>265</v>
      </c>
      <c r="D89" s="35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354">
        <v>266</v>
      </c>
      <c r="D90" s="35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354">
        <v>234</v>
      </c>
      <c r="D91" s="35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354">
        <v>267</v>
      </c>
      <c r="D92" s="35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354">
        <v>268</v>
      </c>
      <c r="D93" s="35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354">
        <v>269</v>
      </c>
      <c r="D94" s="35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354">
        <v>270</v>
      </c>
      <c r="D95" s="35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354">
        <v>212</v>
      </c>
      <c r="D96" s="35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354">
        <v>215</v>
      </c>
      <c r="D97" s="35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354">
        <v>272</v>
      </c>
      <c r="D98" s="35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354">
        <v>273</v>
      </c>
      <c r="D99" s="35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354">
        <v>179</v>
      </c>
      <c r="D100" s="35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353"/>
      <c r="D101" s="35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353"/>
      <c r="D102" s="35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353"/>
      <c r="D103" s="35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353"/>
      <c r="D104" s="35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353"/>
      <c r="D105" s="35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353"/>
      <c r="D106" s="35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353"/>
      <c r="D107" s="35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353"/>
      <c r="D108" s="35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353"/>
      <c r="D109" s="35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353"/>
      <c r="D110" s="35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353"/>
      <c r="D111" s="35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353"/>
      <c r="D112" s="35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353"/>
      <c r="D113" s="35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353"/>
      <c r="D114" s="35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353"/>
      <c r="D115" s="35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353"/>
      <c r="D116" s="35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353"/>
      <c r="D117" s="35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353"/>
      <c r="D118" s="35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353"/>
      <c r="D119" s="35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353"/>
      <c r="D120" s="35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353"/>
      <c r="D121" s="35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353"/>
      <c r="D122" s="35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353"/>
      <c r="D123" s="35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353"/>
      <c r="D124" s="35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353"/>
      <c r="D125" s="35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353"/>
      <c r="D126" s="35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353"/>
      <c r="D127" s="35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353"/>
      <c r="D128" s="35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353"/>
      <c r="D129" s="35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353"/>
      <c r="D130" s="35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353"/>
      <c r="D131" s="35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353"/>
      <c r="D132" s="35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353"/>
      <c r="D133" s="35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353"/>
      <c r="D134" s="35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353"/>
      <c r="D135" s="35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353"/>
      <c r="D136" s="35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353"/>
      <c r="D137" s="35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353"/>
      <c r="D138" s="35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353"/>
      <c r="D139" s="35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353"/>
      <c r="D140" s="35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A3"/>
    <mergeCell ref="G1:I1"/>
    <mergeCell ref="A4:A6"/>
    <mergeCell ref="G2:I2"/>
    <mergeCell ref="G3:I3"/>
    <mergeCell ref="F4:F6"/>
    <mergeCell ref="C4:C6"/>
    <mergeCell ref="D4:D6"/>
    <mergeCell ref="I4:I6"/>
    <mergeCell ref="H4:H6"/>
    <mergeCell ref="C1:E3"/>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