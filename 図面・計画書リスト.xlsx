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BA878247-9D36-4CEB-8258-3C224B0B8DD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<sst xmlns="http://schemas.openxmlformats.org/spreadsheetml/2006/main" count="414" uniqueCount="284">
  <si>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</si>
  <si>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</si>
  <si>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</si>
  <si>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</si>
  <si>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</si>
  <si>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</si>
  <si>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</si>
  <si>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</si>
  <si>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</si>
  <si>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</si>
  <si>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</si>
  <si>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</si>
  <si>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</si>
  <si>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</si>
  <si>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</si>
  <si>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</si>
  <si>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</si>
  <si>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</si>
  <si>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</si>
  <si>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</si>
  <si>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</si>
  <si>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</si>
  <si>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</si>
  <si>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</si>
  <si>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</si>
  <si>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</si>
  <si>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</si>
  <si>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</si>
  <si>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</si>
  <si>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</si>
  <si>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</si>
  <si>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</si>
  <si>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</si>
  <si>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</si>
  <si>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</si>
  <si>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</si>
  <si>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</si>
  <si>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</si>
  <si>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</si>
  <si>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</si>
  <si>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</si>
  <si>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</si>
  <si>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</si>
  <si>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</si>
  <si>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</si>
  <si>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</si>
  <si>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</si>
  <si>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</si>
  <si>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</si>
  <si>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</si>
  <si>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</si>
  <si>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</si>
  <si>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</si>
  <si>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</si>
  <si>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</si>
  <si>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</si>
  <si>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</si>
  <si>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</si>
  <si>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</si>
  <si>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</si>
  <si>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</si>
  <si>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</si>
  <si>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</si>
  <si>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</si>
  <si>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</si>
  <si>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</si>
  <si>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</si>
  <si>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</si>
  <si>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</si>
  <si>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</si>
  <si>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</si>
  <si>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</si>
  <si>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</si>
  <si>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</si>
  <si>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</si>
  <si>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</si>
  <si>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</si>
  <si>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</si>
  <si>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</si>
  <si>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</si>
  <si>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</si>
  <si>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</si>
  <si>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</si>
  <si>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</si>
  <si>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</si>
  <si>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</si>
  <si>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</si>
  <si>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</si>
  <si>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</si>
  <si>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</si>
  <si>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</si>
  <si>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</si>
  <si>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</si>
  <si>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</si>
  <si>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</si>
  <si>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</si>
  <si>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</si>
  <si>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</si>
  <si>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</si>
  <si>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</si>
  <si>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</si>
  <si>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</si>
  <si>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</si>
  <si>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</si>
  <si>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</si>
  <si>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</si>
  <si>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</si>
  <si>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</si>
  <si>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</si>
  <si>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</si>
  <si>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</si>
  <si>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</si>
  <si>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</si>
  <si>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</si>
  <si>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</si>
  <si>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</si>
  <si>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</si>
  <si>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</si>
  <si>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</si>
  <si>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</si>
  <si>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</si>
  <si>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</si>
  <si>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</si>
  <si>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</si>
  <si>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</si>
  <si>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</si>
  <si>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</si>
  <si>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</si>
  <si>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</si>
  <si>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</si>
  <si>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</si>
  <si>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</si>
  <si>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</si>
  <si>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</si>
  <si>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</si>
  <si>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</si>
  <si>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</si>
  <si>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</si>
  <si>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</si>
  <si>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</si>
  <si>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</si>
  <si>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</si>
  <si>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</si>
  <si>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</si>
  <si>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</si>
  <si>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</si>
  <si>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</si>
  <si>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</si>
  <si>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</si>
  <si>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</si>
  <si>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</si>
  <si>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</si>
  <si>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</si>
  <si>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</si>
  <si>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</si>
  <si>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</si>
  <si>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</si>
  <si>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</si>
  <si>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</si>
  <si>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</si>
  <si>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</si>
  <si>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</si>
  <si>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</si>
  <si>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</si>
  <si>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</si>
  <si>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</si>
  <si>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</si>
  <si>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</si>
  <si>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</si>
  <si>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</si>
  <si>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</si>
  <si>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</si>
  <si>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</si>
  <si>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</si>
  <si>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</si>
  <si>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西：2/2～/東：2/4～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</si>
  <si>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</si>
  <si>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</si>
  <si>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</si>
  <si>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</si>
  <si>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</si>
  <si>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</si>
  <si>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</si>
  <si>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</si>
  <si>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</si>
  <si>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</si>
  <si>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</si>
  <si>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</si>
  <si>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</si>
  <si>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</si>
  <si>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</si>
  <si>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</si>
  <si>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</si>
  <si>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モルタルアート他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</si>
  <si>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</si>
  <si>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</si>
  <si>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</si>
  <si>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</si>
  <si>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</si>
  <si>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</si>
  <si>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</si>
  <si>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</si>
  <si>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</si>
  <si>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</si>
  <si>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</si>
  <si>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</si>
  <si>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10月上旬調査実施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</si>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</sst>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18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1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" xfId="0" applyNumberFormat="1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49" fontId="4" fillId="2" borderId="8" xfId="0" applyNumberFormat="1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/>
    <xf numFmtId="0" fontId="4" fillId="2" borderId="8" xfId="0" applyFont="1" applyFill="1" applyBorder="1">
      <alignment vertical="center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131" t="s">
        <v>0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57" t="s">
        <v>3</v>
      </c>
      <c r="B2" s="158"/>
      <c r="C2" s="138" t="s">
        <v>4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165"/>
      <c r="B3" s="166"/>
      <c r="C3" s="5" t="s">
        <v>7</v>
      </c>
      <c r="D3" s="233" t="s">
        <v>8</v>
      </c>
      <c r="E3" s="234"/>
      <c r="F3" s="234"/>
      <c r="G3" s="235"/>
      <c r="H3" s="218" t="s">
        <v>9</v>
      </c>
      <c r="I3" s="219"/>
      <c r="J3" s="220"/>
      <c r="K3" s="207" t="s">
        <v>10</v>
      </c>
      <c r="L3" s="208"/>
      <c r="M3" s="209"/>
      <c r="N3" s="209"/>
      <c r="O3" s="210"/>
      <c r="P3" s="211"/>
      <c r="Q3" s="211"/>
      <c r="R3" s="208"/>
      <c r="S3" s="209"/>
      <c r="T3" s="209"/>
      <c r="U3" s="35"/>
      <c r="V3" s="35"/>
      <c r="W3" s="35"/>
      <c r="X3" s="35"/>
      <c r="Y3" s="35"/>
      <c r="Z3" s="35"/>
      <c r="AA3" s="35"/>
      <c r="AB3" s="36"/>
      <c r="AC3" s="170" t="s">
        <v>11</v>
      </c>
      <c r="AD3" s="171"/>
      <c r="AE3" s="172"/>
      <c r="AF3" s="173" t="s">
        <v>12</v>
      </c>
      <c r="AG3" s="195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17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162" t="s">
        <v>24</v>
      </c>
      <c r="B4" s="159" t="s">
        <v>25</v>
      </c>
      <c r="C4" s="6" t="s">
        <v>26</v>
      </c>
      <c r="D4" s="221" t="s">
        <v>27</v>
      </c>
      <c r="E4" s="224" t="s">
        <v>28</v>
      </c>
      <c r="F4" s="227" t="s">
        <v>29</v>
      </c>
      <c r="G4" s="188" t="s">
        <v>30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38</v>
      </c>
      <c r="T4" s="150"/>
      <c r="U4" s="149" t="s">
        <v>39</v>
      </c>
      <c r="V4" s="150"/>
      <c r="W4" s="149" t="s">
        <v>40</v>
      </c>
      <c r="X4" s="150"/>
      <c r="Y4" s="149" t="s">
        <v>41</v>
      </c>
      <c r="Z4" s="150"/>
      <c r="AA4" s="149" t="s">
        <v>42</v>
      </c>
      <c r="AB4" s="245"/>
      <c r="AC4" s="151" t="s">
        <v>43</v>
      </c>
      <c r="AD4" s="198" t="s">
        <v>44</v>
      </c>
      <c r="AE4" s="154" t="s">
        <v>45</v>
      </c>
      <c r="AF4" s="174"/>
      <c r="AG4" s="196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163"/>
      <c r="B5" s="160"/>
      <c r="C5" s="6" t="s">
        <v>47</v>
      </c>
      <c r="D5" s="222"/>
      <c r="E5" s="225"/>
      <c r="F5" s="228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199"/>
      <c r="AE5" s="155"/>
      <c r="AF5" s="174"/>
      <c r="AG5" s="196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163"/>
      <c r="B6" s="160"/>
      <c r="C6" s="6" t="s">
        <v>53</v>
      </c>
      <c r="D6" s="222"/>
      <c r="E6" s="225"/>
      <c r="F6" s="228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199"/>
      <c r="AE6" s="155"/>
      <c r="AF6" s="174"/>
      <c r="AG6" s="197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163"/>
      <c r="B7" s="160"/>
      <c r="C7" s="6" t="s">
        <v>54</v>
      </c>
      <c r="D7" s="222"/>
      <c r="E7" s="225"/>
      <c r="F7" s="228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199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163"/>
      <c r="B8" s="160"/>
      <c r="C8" s="7" t="s">
        <v>55</v>
      </c>
      <c r="D8" s="222"/>
      <c r="E8" s="225"/>
      <c r="F8" s="228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199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164"/>
      <c r="B9" s="161"/>
      <c r="C9" s="2" t="s">
        <v>56</v>
      </c>
      <c r="D9" s="223"/>
      <c r="E9" s="226"/>
      <c r="F9" s="229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00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46014</v>
      </c>
      <c r="AE12" s="67"/>
      <c r="AF12" s="65">
        <v>14</v>
      </c>
      <c r="AG12" s="67">
        <v>46028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73" t="s">
        <v>277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73" t="s">
        <v>276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0" t="s">
        <v>278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75" t="s">
        <v>279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8" stopIfTrue="1">
      <formula>AND(AND(ISNUMBER(I11),I11&lt;=TODAY(),J11=""),YEAR(I11)=$AH$8)</formula>
    </cfRule>
    <cfRule type="expression" dxfId="115" priority="27" stopIfTrue="1">
      <formula>AND(AND(ISNUMBER(I11),I11&lt;=TODAY(),J11=""),YEAR(I11)=$AH$7)</formula>
    </cfRule>
    <cfRule type="expression" dxfId="114" priority="33">
      <formula>AND(ISNUMBER(I11),YEAR(I11)=$AH$9)</formula>
    </cfRule>
    <cfRule type="expression" dxfId="113" priority="32">
      <formula>AND(ISNUMBER(I11),YEAR(I11)=$AH$8)</formula>
    </cfRule>
    <cfRule type="expression" dxfId="112" priority="31">
      <formula>AND(ISNUMBER(I11),YEAR(I11)=$AH$7)</formula>
    </cfRule>
    <cfRule type="expression" dxfId="111" priority="30">
      <formula>AND(ISNUMBER(I11),I11&lt;=TODAY(),J11="")</formula>
    </cfRule>
    <cfRule type="expression" dxfId="110" priority="29" stopIfTrue="1">
      <formula>AND(AND(ISNUMBER(I11),I11&lt;=TODAY(),J11=""),YEAR(I11)=$AH$9)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39">
      <formula>AND(ISNUMBER(P11),YEAR(P11)=$AH$8)</formula>
    </cfRule>
    <cfRule type="expression" dxfId="97" priority="40">
      <formula>AND(ISNUMBER(P11),YEAR(P11)=$AH$9)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3" stopIfTrue="1">
      <formula>AND(AND(ISNUMBER(AC11),AC11&lt;=TODAY(),OR(S11="",T11="")),YEAR(AC11)=$AH$9)</formula>
    </cfRule>
    <cfRule type="expression" dxfId="89" priority="44">
      <formula>AND(ISNUMBER(AC11),AC11&lt;=TODAY(),OR(S11="",T11=""))</formula>
    </cfRule>
    <cfRule type="expression" dxfId="88" priority="42" stopIfTrue="1">
      <formula>AND(AND(ISNUMBER(AC11),AC11&lt;=TODAY(),OR(S11="",T11="")),YEAR(AC11)=$AH$8)</formula>
    </cfRule>
  </conditionalFormatting>
  <conditionalFormatting sqref="AC11:AD159">
    <cfRule type="expression" dxfId="87" priority="45">
      <formula>AND(ISNUMBER(AC11),YEAR(AC11)=$AH$7)</formula>
    </cfRule>
    <cfRule type="expression" dxfId="86" priority="46">
      <formula>AND(ISNUMBER(AC11),YEAR(AC11)=$AH$8)</formula>
    </cfRule>
    <cfRule type="expression" dxfId="85" priority="47">
      <formula>AND(ISNUMBER(AC11),YEAR(AC11)=$AH$9)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abSelected="1" topLeftCell="A23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261" cm="1" t="str">
        <f t="array" ref="A1">①施工図リスト!A1</f>
        <v>現場／統括：、現場責任者：金子主任、主任：、担当：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57" t="s">
        <v>3</v>
      </c>
      <c r="B2" s="158"/>
      <c r="C2" s="262" cm="1" t="str">
        <f t="array" ref="C2">①施工図リスト!C2</f>
        <v>椙山女学園　星が丘キャンパス大学会館食堂リニューアル工事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165"/>
      <c r="B3" s="166"/>
      <c r="C3" s="5" t="str">
        <f>①施工図リスト!C3</f>
        <v>工期：2026/11/9～2027/03/31</v>
      </c>
      <c r="D3" s="77" t="s">
        <v>75</v>
      </c>
      <c r="E3" s="78" t="s">
        <v>76</v>
      </c>
      <c r="F3" s="233" t="s">
        <v>77</v>
      </c>
      <c r="G3" s="235"/>
      <c r="H3" s="218" t="s">
        <v>9</v>
      </c>
      <c r="I3" s="219"/>
      <c r="J3" s="220"/>
      <c r="K3" s="207" t="s">
        <v>10</v>
      </c>
      <c r="L3" s="263"/>
      <c r="M3" s="219"/>
      <c r="N3" s="219"/>
      <c r="O3" s="264"/>
      <c r="P3" s="265"/>
      <c r="Q3" s="265"/>
      <c r="R3" s="263"/>
      <c r="S3" s="219"/>
      <c r="T3" s="219"/>
      <c r="U3" s="33"/>
      <c r="V3" s="33"/>
      <c r="W3" s="33"/>
      <c r="X3" s="33"/>
      <c r="Y3" s="33"/>
      <c r="Z3" s="33"/>
      <c r="AA3" s="33"/>
      <c r="AB3" s="34"/>
      <c r="AC3" s="170" t="s">
        <v>11</v>
      </c>
      <c r="AD3" s="171"/>
      <c r="AE3" s="172"/>
      <c r="AF3" s="173" t="s">
        <v>12</v>
      </c>
      <c r="AG3" s="266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78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162" t="s">
        <v>24</v>
      </c>
      <c r="B4" s="159" t="s">
        <v>25</v>
      </c>
      <c r="C4" s="6" t="str">
        <f>①施工図リスト!C4</f>
        <v>敷地：m2</v>
      </c>
      <c r="D4" s="252" t="s">
        <v>79</v>
      </c>
      <c r="E4" s="258" t="s">
        <v>80</v>
      </c>
      <c r="F4" s="255" t="s">
        <v>29</v>
      </c>
      <c r="G4" s="188" t="s">
        <v>81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82</v>
      </c>
      <c r="T4" s="150"/>
      <c r="U4" s="149" t="s">
        <v>83</v>
      </c>
      <c r="V4" s="269"/>
      <c r="W4" s="149" t="s">
        <v>84</v>
      </c>
      <c r="X4" s="269"/>
      <c r="Y4" s="149" t="s">
        <v>85</v>
      </c>
      <c r="Z4" s="269"/>
      <c r="AA4" s="149" t="s">
        <v>86</v>
      </c>
      <c r="AB4" s="270"/>
      <c r="AC4" s="151" t="s">
        <v>43</v>
      </c>
      <c r="AD4" s="227" t="s">
        <v>44</v>
      </c>
      <c r="AE4" s="154" t="s">
        <v>45</v>
      </c>
      <c r="AF4" s="174"/>
      <c r="AG4" s="267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8</v>
      </c>
      <c r="BL4" s="28" cm="1" t="str">
        <f t="array" aca="1" ref="BL4" ca="1">BJ4&amp;": "&amp;BK4&amp;"個"</f>
        <v>赤色: 8個</v>
      </c>
    </row>
    <row r="5" spans="1:64" ht="15" customHeight="1">
      <c r="A5" s="163"/>
      <c r="B5" s="160"/>
      <c r="C5" s="6" t="str">
        <f>①施工図リスト!C5</f>
        <v>建面：m2</v>
      </c>
      <c r="D5" s="253"/>
      <c r="E5" s="259"/>
      <c r="F5" s="256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228"/>
      <c r="AE5" s="155"/>
      <c r="AF5" s="174"/>
      <c r="AG5" s="267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11</v>
      </c>
      <c r="BL5" s="28" cm="1" t="str">
        <f t="array" aca="1" ref="BL5" ca="1">BJ5&amp;": "&amp;BK5&amp;"個"</f>
        <v>黄色: 11個</v>
      </c>
    </row>
    <row r="6" spans="1:64" ht="15" customHeight="1">
      <c r="A6" s="163"/>
      <c r="B6" s="160"/>
      <c r="C6" s="6" t="str">
        <f>①施工図リスト!C6</f>
        <v>改修面積：675m2</v>
      </c>
      <c r="D6" s="253"/>
      <c r="E6" s="259"/>
      <c r="F6" s="256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228"/>
      <c r="AE6" s="155"/>
      <c r="AF6" s="174"/>
      <c r="AG6" s="268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163"/>
      <c r="B7" s="160"/>
      <c r="C7" s="6" t="str">
        <f>①施工図リスト!C7</f>
        <v>構造：RC造</v>
      </c>
      <c r="D7" s="253"/>
      <c r="E7" s="259"/>
      <c r="F7" s="256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228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163"/>
      <c r="B8" s="160"/>
      <c r="C8" s="7" t="str">
        <f>①施工図リスト!C8</f>
        <v>設計者：日建設計</v>
      </c>
      <c r="D8" s="253"/>
      <c r="E8" s="259"/>
      <c r="F8" s="256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228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164"/>
      <c r="B9" s="161"/>
      <c r="C9" s="2" t="s">
        <v>56</v>
      </c>
      <c r="D9" s="254"/>
      <c r="E9" s="260"/>
      <c r="F9" s="257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29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250</v>
      </c>
      <c r="D12" s="72"/>
      <c r="E12" s="71"/>
      <c r="F12" s="70">
        <f t="shared" ref="F12:F26" si="1">IF(AG12="","",I12-H12)</f>
        <v>46339</v>
      </c>
      <c r="G12" s="67"/>
      <c r="H12" s="65">
        <v>7</v>
      </c>
      <c r="I12" s="68">
        <f t="shared" ref="I12:I26" si="2">IF(AG12="","",P12-K12)</f>
        <v>46346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46353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46374</v>
      </c>
      <c r="AD12" s="68">
        <f t="shared" ref="AD12:AD26" si="4">IF(AG12="","",$AG12-$AF12)</f>
        <v>46376</v>
      </c>
      <c r="AE12" s="67"/>
      <c r="AF12" s="83">
        <v>30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251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252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253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254</v>
      </c>
      <c r="C16" s="18" t="s">
        <v>255</v>
      </c>
      <c r="D16" s="72"/>
      <c r="E16" s="71"/>
      <c r="F16" s="70">
        <f t="shared" si="1"/>
        <v>46309</v>
      </c>
      <c r="G16" s="67"/>
      <c r="H16" s="65">
        <v>7</v>
      </c>
      <c r="I16" s="68">
        <f t="shared" si="2"/>
        <v>46316</v>
      </c>
      <c r="J16" s="67"/>
      <c r="K16" s="65">
        <v>7</v>
      </c>
      <c r="L16" s="68"/>
      <c r="M16" s="68"/>
      <c r="N16" s="68"/>
      <c r="O16" s="68"/>
      <c r="P16" s="68">
        <f t="shared" si="3"/>
        <v>46323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46344</v>
      </c>
      <c r="AD16" s="68">
        <f t="shared" si="4"/>
        <v>46344</v>
      </c>
      <c r="AE16" s="67"/>
      <c r="AF16" s="83">
        <v>30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256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257</v>
      </c>
      <c r="C18" s="18" t="s">
        <v>258</v>
      </c>
      <c r="D18" s="72"/>
      <c r="E18" s="71"/>
      <c r="F18" s="70">
        <f t="shared" si="1"/>
        <v>46339</v>
      </c>
      <c r="G18" s="67"/>
      <c r="H18" s="65">
        <v>7</v>
      </c>
      <c r="I18" s="68">
        <f t="shared" si="2"/>
        <v>46346</v>
      </c>
      <c r="J18" s="67"/>
      <c r="K18" s="65">
        <v>7</v>
      </c>
      <c r="L18" s="68"/>
      <c r="M18" s="68"/>
      <c r="N18" s="68"/>
      <c r="O18" s="68"/>
      <c r="P18" s="68">
        <f t="shared" si="3"/>
        <v>46353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46374</v>
      </c>
      <c r="AD18" s="68">
        <f t="shared" si="4"/>
        <v>46375</v>
      </c>
      <c r="AE18" s="67"/>
      <c r="AF18" s="83">
        <v>30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259</v>
      </c>
      <c r="C19" s="18" t="s">
        <v>260</v>
      </c>
      <c r="D19" s="72"/>
      <c r="E19" s="71"/>
      <c r="F19" s="70">
        <f t="shared" si="1"/>
        <v>46325</v>
      </c>
      <c r="G19" s="67"/>
      <c r="H19" s="65">
        <v>7</v>
      </c>
      <c r="I19" s="68">
        <f t="shared" si="2"/>
        <v>46332</v>
      </c>
      <c r="J19" s="67"/>
      <c r="K19" s="65">
        <v>7</v>
      </c>
      <c r="L19" s="68"/>
      <c r="M19" s="68"/>
      <c r="N19" s="68"/>
      <c r="O19" s="68"/>
      <c r="P19" s="68">
        <f t="shared" si="3"/>
        <v>46339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46360</v>
      </c>
      <c r="AD19" s="68">
        <f t="shared" si="4"/>
        <v>46362</v>
      </c>
      <c r="AE19" s="67"/>
      <c r="AF19" s="83">
        <v>30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261</v>
      </c>
      <c r="C20" s="18" t="s">
        <v>262</v>
      </c>
      <c r="D20" s="72"/>
      <c r="E20" s="71"/>
      <c r="F20" s="70">
        <f t="shared" si="1"/>
        <v>46346</v>
      </c>
      <c r="G20" s="67"/>
      <c r="H20" s="65">
        <v>7</v>
      </c>
      <c r="I20" s="68">
        <f t="shared" si="2"/>
        <v>46353</v>
      </c>
      <c r="J20" s="67"/>
      <c r="K20" s="65">
        <v>7</v>
      </c>
      <c r="L20" s="68"/>
      <c r="M20" s="68"/>
      <c r="N20" s="68"/>
      <c r="O20" s="68"/>
      <c r="P20" s="68">
        <f t="shared" si="3"/>
        <v>46360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46381</v>
      </c>
      <c r="AD20" s="68">
        <f t="shared" si="4"/>
        <v>46386</v>
      </c>
      <c r="AE20" s="67"/>
      <c r="AF20" s="83">
        <v>30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263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264</v>
      </c>
      <c r="C22" s="18" t="s">
        <v>265</v>
      </c>
      <c r="D22" s="72"/>
      <c r="E22" s="71"/>
      <c r="F22" s="70">
        <f t="shared" si="1"/>
        <v>46311</v>
      </c>
      <c r="G22" s="67"/>
      <c r="H22" s="65">
        <v>7</v>
      </c>
      <c r="I22" s="68">
        <f t="shared" si="2"/>
        <v>46318</v>
      </c>
      <c r="J22" s="67"/>
      <c r="K22" s="65">
        <v>7</v>
      </c>
      <c r="L22" s="68"/>
      <c r="M22" s="68"/>
      <c r="N22" s="68"/>
      <c r="O22" s="68"/>
      <c r="P22" s="68">
        <f t="shared" si="3"/>
        <v>46325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46346</v>
      </c>
      <c r="AD22" s="68">
        <f t="shared" si="4"/>
        <v>46347</v>
      </c>
      <c r="AE22" s="67"/>
      <c r="AF22" s="83">
        <v>30</v>
      </c>
      <c r="AG22" s="72">
        <v>46377</v>
      </c>
      <c r="AH22" s="71"/>
      <c r="AI22" s="70"/>
      <c r="AJ22" s="68"/>
      <c r="AK22" s="68"/>
      <c r="AL22" s="67"/>
      <c r="AM22" s="72"/>
      <c r="AN22" s="75" t="s">
        <v>280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266</v>
      </c>
      <c r="C23" s="18" t="s">
        <v>267</v>
      </c>
      <c r="D23" s="72"/>
      <c r="E23" s="71"/>
      <c r="F23" s="70">
        <f t="shared" si="1"/>
        <v>46337</v>
      </c>
      <c r="G23" s="67"/>
      <c r="H23" s="65">
        <v>7</v>
      </c>
      <c r="I23" s="68">
        <f t="shared" si="2"/>
        <v>46344</v>
      </c>
      <c r="J23" s="67"/>
      <c r="K23" s="65">
        <v>7</v>
      </c>
      <c r="L23" s="68"/>
      <c r="M23" s="68"/>
      <c r="N23" s="68"/>
      <c r="O23" s="68"/>
      <c r="P23" s="68">
        <f t="shared" si="3"/>
        <v>46351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46372</v>
      </c>
      <c r="AD23" s="68">
        <f t="shared" si="4"/>
        <v>46372</v>
      </c>
      <c r="AE23" s="67"/>
      <c r="AF23" s="83">
        <v>30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268</v>
      </c>
      <c r="C24" s="18" t="s">
        <v>269</v>
      </c>
      <c r="D24" s="72"/>
      <c r="E24" s="71"/>
      <c r="F24" s="70">
        <f t="shared" si="1"/>
        <v>46346</v>
      </c>
      <c r="G24" s="67"/>
      <c r="H24" s="65">
        <v>7</v>
      </c>
      <c r="I24" s="68">
        <f t="shared" si="2"/>
        <v>46353</v>
      </c>
      <c r="J24" s="67"/>
      <c r="K24" s="65">
        <v>7</v>
      </c>
      <c r="L24" s="68"/>
      <c r="M24" s="68"/>
      <c r="N24" s="68"/>
      <c r="O24" s="68"/>
      <c r="P24" s="68">
        <f t="shared" si="3"/>
        <v>46360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46381</v>
      </c>
      <c r="AD24" s="68">
        <f t="shared" si="4"/>
        <v>46386</v>
      </c>
      <c r="AE24" s="67"/>
      <c r="AF24" s="83">
        <v>30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270</v>
      </c>
      <c r="C25" s="18" t="s">
        <v>271</v>
      </c>
      <c r="D25" s="72"/>
      <c r="E25" s="71"/>
      <c r="F25" s="70">
        <f t="shared" si="1"/>
        <v>46307</v>
      </c>
      <c r="G25" s="67"/>
      <c r="H25" s="65">
        <v>7</v>
      </c>
      <c r="I25" s="68">
        <f t="shared" si="2"/>
        <v>46314</v>
      </c>
      <c r="J25" s="67"/>
      <c r="K25" s="65">
        <v>7</v>
      </c>
      <c r="L25" s="68"/>
      <c r="M25" s="68"/>
      <c r="N25" s="68"/>
      <c r="O25" s="68"/>
      <c r="P25" s="68">
        <f t="shared" si="3"/>
        <v>46321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46342</v>
      </c>
      <c r="AD25" s="68">
        <f t="shared" si="4"/>
        <v>46342</v>
      </c>
      <c r="AE25" s="67"/>
      <c r="AF25" s="83">
        <v>30</v>
      </c>
      <c r="AG25" s="72">
        <v>46372</v>
      </c>
      <c r="AH25" s="71"/>
      <c r="AI25" s="70"/>
      <c r="AJ25" s="68"/>
      <c r="AK25" s="68"/>
      <c r="AL25" s="67"/>
      <c r="AM25" s="72"/>
      <c r="AN25" s="75" t="s">
        <v>282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272</v>
      </c>
      <c r="C26" s="18" t="s">
        <v>273</v>
      </c>
      <c r="D26" s="72"/>
      <c r="E26" s="71"/>
      <c r="F26" s="70">
        <f t="shared" si="1"/>
        <v>46679</v>
      </c>
      <c r="G26" s="67"/>
      <c r="H26" s="65">
        <v>7</v>
      </c>
      <c r="I26" s="68">
        <f t="shared" si="2"/>
        <v>46686</v>
      </c>
      <c r="J26" s="67"/>
      <c r="K26" s="65">
        <v>7</v>
      </c>
      <c r="L26" s="68"/>
      <c r="M26" s="68"/>
      <c r="N26" s="68"/>
      <c r="O26" s="68"/>
      <c r="P26" s="68">
        <f t="shared" si="3"/>
        <v>46693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46714</v>
      </c>
      <c r="AD26" s="68">
        <f t="shared" si="4"/>
        <v>46714</v>
      </c>
      <c r="AE26" s="67"/>
      <c r="AF26" s="83">
        <v>30</v>
      </c>
      <c r="AG26" s="72">
        <v>46744</v>
      </c>
      <c r="AH26" s="71"/>
      <c r="AI26" s="70"/>
      <c r="AJ26" s="68"/>
      <c r="AK26" s="68"/>
      <c r="AL26" s="67"/>
      <c r="AM26" s="72"/>
      <c r="AN26" s="75" t="s">
        <v>282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inlineStr">
        <is>
          <t>三友-24</t>
        </is>
      </c>
      <c r="C27" s="18" t="inlineStr">
        <is>
          <t>ハンガードア下地鉄骨</t>
        </is>
      </c>
      <c r="D27" s="72"/>
      <c r="E27" s="71"/>
      <c r="F27" s="70">
        <f>IF(AG27="","",I27-H27)</f>
        <v>46311</v>
      </c>
      <c r="G27" s="67"/>
      <c r="H27" s="65">
        <v>7</v>
      </c>
      <c r="I27" s="68">
        <f>IF(AG27="","",P27-K27)</f>
        <v>46318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46325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46346</v>
      </c>
      <c r="AD27" s="68">
        <f>IF(AG27="","",$AG27-$AF27)</f>
        <v>46347</v>
      </c>
      <c r="AE27" s="67"/>
      <c r="AF27" s="83">
        <v>30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46275</v>
      </c>
      <c r="G30" s="67">
        <v>46301</v>
      </c>
      <c r="H30" s="65">
        <v>7</v>
      </c>
      <c r="I30" s="68" cm="1">
        <f t="array" ref="I30">IF(AG30="","",P30-K30)</f>
        <v>46282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46289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v>46310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46275</v>
      </c>
      <c r="G32" s="67">
        <v>46290</v>
      </c>
      <c r="H32" s="65">
        <v>7</v>
      </c>
      <c r="I32" s="68" cm="1">
        <f t="array" ref="I32">IF(AG32="","",P32-K32)</f>
        <v>46282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46289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v>46310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46269</v>
      </c>
      <c r="G36" s="67">
        <v>46282</v>
      </c>
      <c r="H36" s="65">
        <v>7</v>
      </c>
      <c r="I36" s="68" cm="1">
        <f t="array" ref="I36">IF(AG36="","",P36-K36)</f>
        <v>46276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46283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v>46297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46293</v>
      </c>
      <c r="G39" s="67">
        <v>46300</v>
      </c>
      <c r="H39" s="65">
        <v>7</v>
      </c>
      <c r="I39" s="68" cm="1">
        <f t="array" ref="I39">IF(AG39="","",P39-K39)</f>
        <v>46300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46307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v>46328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46346</v>
      </c>
      <c r="G40" s="67"/>
      <c r="H40" s="65">
        <v>7</v>
      </c>
      <c r="I40" s="68" cm="1">
        <f t="array" ref="I40">IF(AG40="","",P40-K40)</f>
        <v>46353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46360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v>46381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75" t="s">
        <v>281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46346</v>
      </c>
      <c r="G41" s="67"/>
      <c r="H41" s="65">
        <v>7</v>
      </c>
      <c r="I41" s="68" cm="1">
        <f t="array" ref="I41">IF(AG41="","",P41-K41)</f>
        <v>46353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46360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v>46381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75" t="s">
        <v>283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cm="1" t="str">
        <f t="array" ref="AC152">IF(AG152="","",AG152-AF152)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cm="1" t="str">
        <f t="array" ref="AC153">IF(AG153="","",AG153-AF153)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cm="1" t="str">
        <f t="array" ref="AC154">IF(AG154="","",AG154-AF154)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cm="1" t="str">
        <f t="array" ref="AC155">IF(AG155="","",AG155-AF155)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cm="1" t="str">
        <f t="array" ref="AC156">IF(AG156="","",AG156-AF156)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cm="1" t="str">
        <f t="array" ref="AC157">IF(AG157="","",AG157-AF157)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cm="1" t="str">
        <f t="array" ref="AC158">IF(AG158="","",AG158-AF158)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cm="1" t="str">
        <f t="array" ref="AC159">IF(AG159="","",AG159-AF159)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cm="1" t="str">
        <f t="array" ref="AC160">IF(AG160="","",AG160-AF160)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cm="1" t="str">
        <f t="array" ref="AC161">IF(AG161="","",AG161-AF161)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cm="1" t="str">
        <f t="array" ref="AC162">IF(AG162="","",AG162-AF162)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cm="1" t="str">
        <f t="array" ref="AC163">IF(AG163="","",AG163-AF163)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cm="1" t="str">
        <f t="array" ref="AC164">IF(AG164="","",AG164-AF164)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cm="1" t="str">
        <f t="array" ref="AC165">IF(AG165="","",AG165-AF165)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cm="1" t="str">
        <f t="array" ref="AC166">IF(AG166="","",AG166-AF166)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cm="1" t="str">
        <f t="array" ref="AC167">IF(AG167="","",AG167-AF167)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cm="1" t="str">
        <f t="array" ref="AC168">IF(AG168="","",AG168-AF168)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cm="1" t="str">
        <f t="array" ref="AC169">IF(AG169="","",AG169-AF169)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cm="1" t="str">
        <f t="array" ref="AC170">IF(AG170="","",AG170-AF170)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cm="1" t="str">
        <f t="array" ref="AC171">IF(AG171="","",AG171-AF171)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cm="1" t="str">
        <f t="array" ref="AC172">IF(AG172="","",AG172-AF172)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cm="1" t="str">
        <f t="array" ref="AC173">IF(AG173="","",AG173-AF173)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cm="1" t="str">
        <f t="array" ref="AC174">IF(AG174="","",AG174-AF174)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cm="1" t="str">
        <f t="array" ref="AC175">IF(AG175="","",AG175-AF175)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cm="1" t="str">
        <f t="array" ref="AC176">IF(AG176="","",AG176-AF176)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cm="1" t="str">
        <f t="array" ref="AC177">IF(AG177="","",AG177-AF177)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cm="1" t="str">
        <f t="array" ref="AC178">IF(AG178="","",AG178-AF178)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cm="1" t="str">
        <f t="array" ref="AC179">IF(AG179="","",AG179-AF179)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cm="1" t="str">
        <f t="array" ref="AC180">IF(AG180="","",AG180-AF180)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cm="1" t="str">
        <f t="array" ref="AC181">IF(AG181="","",AG181-AF181)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cm="1" t="str">
        <f t="array" ref="AC182">IF(AG182="","",AG182-AF182)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cm="1" t="str">
        <f t="array" ref="AC183">IF(AG183="","",AG183-AF183)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cm="1" t="str">
        <f t="array" ref="AC184">IF(AG184="","",AG184-AF184)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cm="1" t="str">
        <f t="array" ref="AC185">IF(AG185="","",AG185-AF185)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cm="1" t="str">
        <f t="array" ref="AC186">IF(AG186="","",AG186-AF186)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cm="1" t="str">
        <f t="array" ref="AC187">IF(AG187="","",AG187-AF187)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cm="1" t="str">
        <f t="array" ref="AC188">IF(AG188="","",AG188-AF188)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cm="1" t="str">
        <f t="array" ref="AC189">IF(AG189="","",AG189-AF189)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cm="1" t="str">
        <f t="array" ref="AC190">IF(AG190="","",AG190-AF190)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cm="1" t="str">
        <f t="array" ref="AC191">IF(AG191="","",AG191-AF191)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cm="1" t="str">
        <f t="array" ref="AC192">IF(AG192="","",AG192-AF192)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cm="1" t="str">
        <f t="array" ref="AC193">IF(AG193="","",AG193-AF193)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cm="1" t="str">
        <f t="array" ref="AC194">IF(AG194="","",AG194-AF194)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cm="1" t="str">
        <f t="array" ref="AC195">IF(AG195="","",AG195-AF195)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cm="1" t="str">
        <f t="array" ref="AC196">IF(AG196="","",AG196-AF196)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cm="1" t="str">
        <f t="array" ref="AC197">IF(AG197="","",AG197-AF197)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cm="1" t="str">
        <f t="array" ref="AC198">IF(AG198="","",AG198-AF198)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cm="1" t="str">
        <f t="array" ref="AC199">IF(AG199="","",AG199-AF199)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cm="1" t="str">
        <f t="array" ref="AC200">IF(AG200="","",AG200-AF200)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cm="1" t="str">
        <f t="array" ref="AC201">IF(AG201="","",AG201-AF201)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cm="1" t="str">
        <f t="array" ref="AC202">IF(AG202="","",AG202-AF202)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cm="1" t="str">
        <f t="array" ref="AC203">IF(AG203="","",AG203-AF203)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cm="1" t="str">
        <f t="array" ref="AC204">IF(AG204="","",AG204-AF204)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cm="1" t="str">
        <f t="array" ref="AC205">IF(AG205="","",AG205-AF205)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cm="1" t="str">
        <f t="array" ref="AC206">IF(AG206="","",AG206-AF206)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cm="1" t="str">
        <f t="array" ref="AC207">IF(AG207="","",AG207-AF207)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cm="1" t="str">
        <f t="array" ref="AC208">IF(AG208="","",AG208-AF208)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cm="1" t="str">
        <f t="array" ref="AC209">IF(AG209="","",AG209-AF209)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cm="1" t="str">
        <f t="array" ref="AC210">IF(AG210="","",AG210-AF210)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P2:BD2"/>
    <mergeCell ref="AA4:AB4"/>
    <mergeCell ref="W5:W9"/>
    <mergeCell ref="X5:X9"/>
    <mergeCell ref="Y5:Y9"/>
    <mergeCell ref="Z5:Z9"/>
    <mergeCell ref="AA5:AA9"/>
    <mergeCell ref="AB5:AB9"/>
    <mergeCell ref="U4:V4"/>
    <mergeCell ref="U5:U9"/>
    <mergeCell ref="V5:V9"/>
    <mergeCell ref="W4:X4"/>
    <mergeCell ref="Y4:Z4"/>
    <mergeCell ref="AV5:AV9"/>
    <mergeCell ref="AW5:AW9"/>
    <mergeCell ref="AQ3:AQ9"/>
    <mergeCell ref="AR3:AR9"/>
    <mergeCell ref="AS3:AS9"/>
    <mergeCell ref="AT3:AU4"/>
    <mergeCell ref="AV3:AW4"/>
    <mergeCell ref="AT5:AT9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R4:R9"/>
    <mergeCell ref="S4:T4"/>
    <mergeCell ref="H3:J3"/>
    <mergeCell ref="AI1:AK1"/>
    <mergeCell ref="AL1:AN1"/>
    <mergeCell ref="AD4:AD9"/>
    <mergeCell ref="A2:B2"/>
    <mergeCell ref="AI2:AK2"/>
    <mergeCell ref="AL2:AN2"/>
    <mergeCell ref="A1:AH1"/>
    <mergeCell ref="C2:AH2"/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0">
      <formula>AND(ISNUMBER(F11),F11&lt;=TODAY(),G11="")</formula>
    </cfRule>
    <cfRule type="expression" dxfId="76" priority="31">
      <formula>AND(ISNUMBER(F11),YEAR(F11)=$AH$7)</formula>
    </cfRule>
    <cfRule type="expression" dxfId="75" priority="33">
      <formula>AND(ISNUMBER(F11),YEAR(F11)=$AH$9)</formula>
    </cfRule>
    <cfRule type="expression" dxfId="74" priority="32">
      <formula>AND(ISNUMBER(F11),YEAR(F11)=$AH$8)</formula>
    </cfRule>
    <cfRule type="expression" dxfId="73" priority="27" stopIfTrue="1">
      <formula>AND(AND(ISNUMBER(F11),F11&lt;=TODAY(),G11=""),YEAR(F11)=$AH$7)</formula>
    </cfRule>
    <cfRule type="expression" dxfId="72" priority="28" stopIfTrue="1">
      <formula>AND(AND(ISNUMBER(F11),F11&lt;=TODAY(),G11=""),YEAR(F11)=$AH$8)</formula>
    </cfRule>
    <cfRule type="expression" dxfId="71" priority="29" stopIfTrue="1">
      <formula>AND(AND(ISNUMBER(F11),F11&lt;=TODAY(),G11=""),YEAR(F11)=$AH$9)</formula>
    </cfRule>
  </conditionalFormatting>
  <conditionalFormatting sqref="G11:G210">
    <cfRule type="expression" dxfId="70" priority="12" stopIfTrue="1">
      <formula>AND(G11="",ISNUMBER(F11),F11&lt;=TODAY())</formula>
    </cfRule>
    <cfRule type="expression" dxfId="69" priority="13" stopIfTrue="1">
      <formula>AND(G11="",ISNUMBER(F11),F11&gt;TODAY(),F11&lt;=TODAY()+7)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9">
      <formula>AND(ISNUMBER(I11),YEAR(I11)=$AH$8)</formula>
    </cfRule>
    <cfRule type="expression" dxfId="64" priority="38">
      <formula>AND(ISNUMBER(I11),YEAR(I11)=$AH$7)</formula>
    </cfRule>
    <cfRule type="expression" dxfId="63" priority="37">
      <formula>AND(ISNUMBER(I11),I11&lt;=TODAY(),J11="")</formula>
    </cfRule>
    <cfRule type="expression" dxfId="62" priority="36" stopIfTrue="1">
      <formula>AND(AND(ISNUMBER(I11),I11&lt;=TODAY(),J11=""),YEAR(I11)=$AH$9)</formula>
    </cfRule>
    <cfRule type="expression" dxfId="61" priority="35" stopIfTrue="1">
      <formula>AND(AND(ISNUMBER(I11),I11&lt;=TODAY(),J11=""),YEAR(I11)=$AH$8)</formula>
    </cfRule>
    <cfRule type="expression" dxfId="60" priority="34" stopIfTrue="1">
      <formula>AND(AND(ISNUMBER(I11),I11&lt;=TODAY(),J11=""),YEAR(I11)=$AH$7)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9" stopIfTrue="1">
      <formula>AND(M11="",ISNUMBER(P11),P11&gt;TODAY(),P11&lt;=TODAY()+7)</formula>
    </cfRule>
    <cfRule type="expression" dxfId="54" priority="18" stopIfTrue="1">
      <formula>AND(M11="",ISNUMBER(P11),P11&lt;=TODAY())</formula>
    </cfRule>
  </conditionalFormatting>
  <conditionalFormatting sqref="P11:P210">
    <cfRule type="expression" dxfId="53" priority="41" stopIfTrue="1">
      <formula>AND(AND(ISNUMBER(P11),P11&lt;=TODAY(),OR(L11="",M11="")),YEAR(P11)=$AH$7)</formula>
    </cfRule>
    <cfRule type="expression" dxfId="52" priority="42" stopIfTrue="1">
      <formula>AND(AND(ISNUMBER(P11),P11&lt;=TODAY(),OR(L11="",M11="")),YEAR(P11)=$AH$8)</formula>
    </cfRule>
    <cfRule type="expression" dxfId="51" priority="43" stopIfTrue="1">
      <formula>AND(AND(ISNUMBER(P11),P11&lt;=TODAY(),OR(L11="",M11="")),YEAR(P11)=$AH$9)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6">
      <formula>AND(ISNUMBER(P11),YEAR(P11)=$AH$8)</formula>
    </cfRule>
    <cfRule type="expression" dxfId="47" priority="47">
      <formula>AND(ISNUMBER(P11),YEAR(P11)=$AH$9)</formula>
    </cfRule>
  </conditionalFormatting>
  <conditionalFormatting sqref="S11:S210">
    <cfRule type="expression" dxfId="46" priority="21" stopIfTrue="1">
      <formula>AND(S11="",ISNUMBER(AC11),AC11&gt;TODAY(),AC11&lt;=TODAY()+7)</formula>
    </cfRule>
    <cfRule type="expression" dxfId="45" priority="20" stopIfTrue="1">
      <formula>AND(S11="",ISNUMBER(AC11),AC11&lt;=TODAY())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2">
      <formula>AND(ISNUMBER(AC11),YEAR(AC11)=$AH$7)</formula>
    </cfRule>
    <cfRule type="expression" dxfId="36" priority="53">
      <formula>AND(ISNUMBER(AC11),YEAR(AC11)=$AH$8)</formula>
    </cfRule>
    <cfRule type="expression" dxfId="35" priority="54">
      <formula>AND(ISNUMBER(AC11),YEAR(AC11)=$AH$9)</formula>
    </cfRule>
  </conditionalFormatting>
  <conditionalFormatting sqref="AF11:AF210 H12:H210 K12:K210 Q12:R210">
    <cfRule type="notContainsBlanks" dxfId="34" priority="10" stopIfTrue="1">
      <formula>NOT(ISBLANK(AF11))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workbookViewId="0"/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261" t="str">
        <f>①施工図リスト!A1</f>
        <v>現場／統括：、現場責任者：金子主任、主任：、担当：</v>
      </c>
      <c r="B1" s="261"/>
      <c r="C1" s="261"/>
      <c r="D1" s="261"/>
      <c r="E1" s="307"/>
      <c r="F1" s="86" cm="1">
        <f t="array" ref="F1">①施工図リスト!AG7</f>
        <v>7</v>
      </c>
      <c r="G1" s="310" cm="1">
        <f t="array" ref="G1">①施工図リスト!AH7</f>
        <v>2025</v>
      </c>
      <c r="H1" s="310"/>
      <c r="I1" s="310"/>
      <c r="J1" s="271" t="s">
        <v>1</v>
      </c>
      <c r="K1" s="272"/>
      <c r="L1" s="272"/>
      <c r="M1" s="272"/>
      <c r="N1" s="273"/>
      <c r="O1" s="271" t="s">
        <v>2</v>
      </c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3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308" t="s">
        <v>3</v>
      </c>
      <c r="B2" s="309"/>
      <c r="C2" s="320" t="str">
        <f>①施工図リスト!C2</f>
        <v>椙山女学園　星が丘キャンパス大学会館食堂リニューアル工事</v>
      </c>
      <c r="D2" s="321"/>
      <c r="E2" s="322"/>
      <c r="F2" s="89" cm="1">
        <f t="array" ref="F2">①施工図リスト!AG8</f>
        <v>8</v>
      </c>
      <c r="G2" s="310" cm="1">
        <f t="array" ref="G2">①施工図リスト!AH8</f>
        <v>2026</v>
      </c>
      <c r="H2" s="310"/>
      <c r="I2" s="310"/>
      <c r="J2" s="274"/>
      <c r="K2" s="275"/>
      <c r="L2" s="275"/>
      <c r="M2" s="275"/>
      <c r="N2" s="276"/>
      <c r="O2" s="280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2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310" cm="1">
        <f t="array" ref="G3">①施工図リスト!AH9</f>
        <v>2027</v>
      </c>
      <c r="H3" s="310"/>
      <c r="I3" s="310"/>
      <c r="J3" s="277"/>
      <c r="K3" s="278"/>
      <c r="L3" s="278"/>
      <c r="M3" s="278"/>
      <c r="N3" s="279"/>
      <c r="O3" s="283"/>
      <c r="P3" s="284"/>
      <c r="Q3" s="284"/>
      <c r="R3" s="284"/>
      <c r="S3" s="284"/>
      <c r="T3" s="284"/>
      <c r="U3" s="284"/>
      <c r="V3" s="284"/>
      <c r="W3" s="284"/>
      <c r="X3" s="284"/>
      <c r="Y3" s="284"/>
      <c r="Z3" s="284"/>
      <c r="AA3" s="284"/>
      <c r="AB3" s="284"/>
      <c r="AC3" s="284"/>
      <c r="AD3" s="284"/>
      <c r="AE3" s="285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311" t="s">
        <v>136</v>
      </c>
      <c r="B4" s="311" t="s">
        <v>137</v>
      </c>
      <c r="C4" s="314" t="s">
        <v>138</v>
      </c>
      <c r="D4" s="317" t="s">
        <v>139</v>
      </c>
      <c r="E4" s="323" t="s">
        <v>140</v>
      </c>
      <c r="F4" s="293" t="s">
        <v>141</v>
      </c>
      <c r="G4" s="301" t="s">
        <v>142</v>
      </c>
      <c r="H4" s="293" t="s">
        <v>143</v>
      </c>
      <c r="I4" s="318" t="s">
        <v>144</v>
      </c>
      <c r="J4" s="301" t="s">
        <v>33</v>
      </c>
      <c r="K4" s="290" t="s">
        <v>145</v>
      </c>
      <c r="L4" s="291"/>
      <c r="M4" s="291"/>
      <c r="N4" s="292"/>
      <c r="O4" s="303" t="s">
        <v>146</v>
      </c>
      <c r="P4" s="301" t="s">
        <v>33</v>
      </c>
      <c r="Q4" s="286" t="s">
        <v>147</v>
      </c>
      <c r="R4" s="287"/>
      <c r="S4" s="305" t="s">
        <v>147</v>
      </c>
      <c r="T4" s="287"/>
      <c r="U4" s="305" t="s">
        <v>147</v>
      </c>
      <c r="V4" s="287"/>
      <c r="W4" s="305" t="s">
        <v>147</v>
      </c>
      <c r="X4" s="287"/>
      <c r="Y4" s="305" t="s">
        <v>147</v>
      </c>
      <c r="Z4" s="306"/>
      <c r="AA4" s="293" t="s">
        <v>148</v>
      </c>
      <c r="AB4" s="295" t="s">
        <v>149</v>
      </c>
      <c r="AC4" s="299" t="s">
        <v>12</v>
      </c>
      <c r="AD4" s="297" t="s">
        <v>150</v>
      </c>
      <c r="AE4" s="288" t="s">
        <v>151</v>
      </c>
      <c r="AF4" s="96"/>
      <c r="AG4" s="97"/>
      <c r="AH4" s="328" t="s">
        <v>18</v>
      </c>
      <c r="AI4" s="336" t="s">
        <v>19</v>
      </c>
      <c r="AJ4" s="336" t="s">
        <v>20</v>
      </c>
      <c r="AK4" s="286" t="s">
        <v>152</v>
      </c>
      <c r="AL4" s="306"/>
      <c r="AM4" s="286" t="s">
        <v>153</v>
      </c>
      <c r="AN4" s="306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312"/>
      <c r="B5" s="326"/>
      <c r="C5" s="315"/>
      <c r="D5" s="315"/>
      <c r="E5" s="324"/>
      <c r="F5" s="294"/>
      <c r="G5" s="302"/>
      <c r="H5" s="294"/>
      <c r="I5" s="319"/>
      <c r="J5" s="302"/>
      <c r="K5" s="331" t="s">
        <v>154</v>
      </c>
      <c r="L5" s="332"/>
      <c r="M5" s="331" t="s">
        <v>155</v>
      </c>
      <c r="N5" s="333"/>
      <c r="O5" s="304"/>
      <c r="P5" s="302"/>
      <c r="Q5" s="329" t="s">
        <v>50</v>
      </c>
      <c r="R5" s="334" t="s">
        <v>51</v>
      </c>
      <c r="S5" s="334" t="s">
        <v>50</v>
      </c>
      <c r="T5" s="334" t="s">
        <v>51</v>
      </c>
      <c r="U5" s="334" t="s">
        <v>50</v>
      </c>
      <c r="V5" s="334" t="s">
        <v>51</v>
      </c>
      <c r="W5" s="334" t="s">
        <v>50</v>
      </c>
      <c r="X5" s="334" t="s">
        <v>51</v>
      </c>
      <c r="Y5" s="334" t="s">
        <v>50</v>
      </c>
      <c r="Z5" s="338" t="s">
        <v>51</v>
      </c>
      <c r="AA5" s="294"/>
      <c r="AB5" s="296"/>
      <c r="AC5" s="300"/>
      <c r="AD5" s="298"/>
      <c r="AE5" s="289"/>
      <c r="AF5" s="96"/>
      <c r="AG5" s="97"/>
      <c r="AH5" s="298"/>
      <c r="AI5" s="337"/>
      <c r="AJ5" s="337"/>
      <c r="AK5" s="329" t="s">
        <v>50</v>
      </c>
      <c r="AL5" s="338" t="s">
        <v>51</v>
      </c>
      <c r="AM5" s="329" t="s">
        <v>50</v>
      </c>
      <c r="AN5" s="338" t="s">
        <v>51</v>
      </c>
      <c r="AO5" s="96"/>
      <c r="AP5" s="28"/>
      <c r="AQ5" s="28"/>
      <c r="AR5" s="28"/>
    </row>
    <row r="6" spans="1:44" ht="40.200000000000003" customHeight="1">
      <c r="A6" s="313"/>
      <c r="B6" s="327"/>
      <c r="C6" s="316"/>
      <c r="D6" s="315"/>
      <c r="E6" s="325"/>
      <c r="F6" s="294"/>
      <c r="G6" s="302"/>
      <c r="H6" s="294"/>
      <c r="I6" s="319"/>
      <c r="J6" s="302"/>
      <c r="K6" s="100" t="s">
        <v>50</v>
      </c>
      <c r="L6" s="101" t="s">
        <v>51</v>
      </c>
      <c r="M6" s="100" t="s">
        <v>50</v>
      </c>
      <c r="N6" s="101" t="s">
        <v>51</v>
      </c>
      <c r="O6" s="304"/>
      <c r="P6" s="302"/>
      <c r="Q6" s="330"/>
      <c r="R6" s="335"/>
      <c r="S6" s="335"/>
      <c r="T6" s="335"/>
      <c r="U6" s="335"/>
      <c r="V6" s="335"/>
      <c r="W6" s="335"/>
      <c r="X6" s="335"/>
      <c r="Y6" s="335"/>
      <c r="Z6" s="339"/>
      <c r="AA6" s="294"/>
      <c r="AB6" s="296"/>
      <c r="AC6" s="300"/>
      <c r="AD6" s="298"/>
      <c r="AE6" s="289"/>
      <c r="AF6" s="96"/>
      <c r="AG6" s="97"/>
      <c r="AH6" s="298"/>
      <c r="AI6" s="337"/>
      <c r="AJ6" s="337"/>
      <c r="AK6" s="330"/>
      <c r="AL6" s="339"/>
      <c r="AM6" s="330"/>
      <c r="AN6" s="339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274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46321</v>
      </c>
      <c r="G11" s="114">
        <v>7</v>
      </c>
      <c r="H11" s="106" cm="1">
        <f t="array" ref="H11">IF($AD11="","",$AA11-$J11-$P11-$O11)</f>
        <v>46328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46356</v>
      </c>
      <c r="AB11" s="107"/>
      <c r="AC11" s="118">
        <v>14</v>
      </c>
      <c r="AD11" s="102">
        <v>46370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46350</v>
      </c>
      <c r="G12" s="114">
        <v>7</v>
      </c>
      <c r="H12" s="106" cm="1">
        <f t="array" ref="H12">IF($AD12="","",$AA12-$J12-$P12-$O12)</f>
        <v>46357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46385</v>
      </c>
      <c r="AB12" s="107"/>
      <c r="AC12" s="118">
        <v>14</v>
      </c>
      <c r="AD12" s="102">
        <v>46399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46371</v>
      </c>
      <c r="G13" s="114">
        <v>7</v>
      </c>
      <c r="H13" s="106" cm="1">
        <f t="array" ref="H13">IF($AD13="","",$AA13-$J13-$P13-$O13)</f>
        <v>46378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46406</v>
      </c>
      <c r="AB13" s="107"/>
      <c r="AC13" s="118">
        <v>14</v>
      </c>
      <c r="AD13" s="102">
        <v>46420</v>
      </c>
      <c r="AE13" s="119" t="s">
        <v>175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176</v>
      </c>
      <c r="C14" s="22" t="s">
        <v>177</v>
      </c>
      <c r="D14" s="22" t="s">
        <v>178</v>
      </c>
      <c r="E14" s="102"/>
      <c r="F14" s="106" cm="1">
        <f t="array" ref="F14">IF($AD14="","",$H14-$G14)</f>
        <v>46314</v>
      </c>
      <c r="G14" s="114">
        <v>7</v>
      </c>
      <c r="H14" s="106" cm="1">
        <f t="array" ref="H14">IF($AD14="","",$AA14-$J14-$P14-$O14)</f>
        <v>46321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46349</v>
      </c>
      <c r="AB14" s="107"/>
      <c r="AC14" s="118">
        <v>14</v>
      </c>
      <c r="AD14" s="102">
        <v>46363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179</v>
      </c>
      <c r="C15" s="22" t="s">
        <v>180</v>
      </c>
      <c r="D15" s="22" t="s">
        <v>181</v>
      </c>
      <c r="E15" s="102"/>
      <c r="F15" s="106" cm="1">
        <f t="array" ref="F15">IF($AD15="","",$H15-$G15)</f>
        <v>46328</v>
      </c>
      <c r="G15" s="114">
        <v>7</v>
      </c>
      <c r="H15" s="106" cm="1">
        <f t="array" ref="H15">IF($AD15="","",$AA15-$J15-$P15-$O15)</f>
        <v>46335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46363</v>
      </c>
      <c r="AB15" s="107"/>
      <c r="AC15" s="118">
        <v>14</v>
      </c>
      <c r="AD15" s="102">
        <v>46377</v>
      </c>
      <c r="AE15" s="109"/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182</v>
      </c>
      <c r="C16" s="22" t="s">
        <v>183</v>
      </c>
      <c r="D16" s="22" t="s">
        <v>184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185</v>
      </c>
      <c r="C17" s="22" t="s">
        <v>186</v>
      </c>
      <c r="D17" s="22" t="s">
        <v>187</v>
      </c>
      <c r="E17" s="102"/>
      <c r="F17" s="106" cm="1">
        <f t="array" ref="F17">IF($AD17="","",$H17-$G17)</f>
        <v>46350</v>
      </c>
      <c r="G17" s="114">
        <v>7</v>
      </c>
      <c r="H17" s="106" cm="1">
        <f t="array" ref="H17">IF($AD17="","",$AA17-$J17-$P17-$O17)</f>
        <v>46357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46385</v>
      </c>
      <c r="AB17" s="107"/>
      <c r="AC17" s="118">
        <v>14</v>
      </c>
      <c r="AD17" s="102">
        <v>46399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188</v>
      </c>
      <c r="C18" s="23" t="s">
        <v>189</v>
      </c>
      <c r="D18" s="22" t="s">
        <v>275</v>
      </c>
      <c r="E18" s="125"/>
      <c r="F18" s="126" cm="1">
        <f t="array" ref="F18">IF($AD18="","",$H18-$G18)</f>
        <v>46374</v>
      </c>
      <c r="G18" s="114"/>
      <c r="H18" s="126" cm="1">
        <f t="array" ref="H18">IF($AD18="","",$AA18-$J18-$P18-$O18)</f>
        <v>46374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46374</v>
      </c>
      <c r="AB18" s="130"/>
      <c r="AC18" s="118"/>
      <c r="AD18" s="102">
        <v>46374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190</v>
      </c>
      <c r="C19" s="22" t="s">
        <v>191</v>
      </c>
      <c r="D19" s="22" t="s">
        <v>192</v>
      </c>
      <c r="E19" s="102"/>
      <c r="F19" s="106" cm="1">
        <f t="array" ref="F19">IF($AD19="","",$H19-$G19)</f>
        <v>46328</v>
      </c>
      <c r="G19" s="114">
        <v>7</v>
      </c>
      <c r="H19" s="106" cm="1">
        <f t="array" ref="H19">IF($AD19="","",$AA19-$J19-$P19-$O19)</f>
        <v>46335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46363</v>
      </c>
      <c r="AB19" s="107"/>
      <c r="AC19" s="118">
        <v>14</v>
      </c>
      <c r="AD19" s="102">
        <v>46377</v>
      </c>
      <c r="AE19" s="119" t="s">
        <v>193</v>
      </c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194</v>
      </c>
      <c r="C20" s="22" t="s">
        <v>195</v>
      </c>
      <c r="D20" s="22" t="s">
        <v>196</v>
      </c>
      <c r="E20" s="102"/>
      <c r="F20" s="106" cm="1">
        <f t="array" ref="F20">IF($AD20="","",$H20-$G20)</f>
        <v>46321</v>
      </c>
      <c r="G20" s="114">
        <v>7</v>
      </c>
      <c r="H20" s="106" cm="1">
        <f t="array" ref="H20">IF($AD20="","",$AA20-$J20-$P20-$O20)</f>
        <v>46328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46356</v>
      </c>
      <c r="AB20" s="107"/>
      <c r="AC20" s="118">
        <v>14</v>
      </c>
      <c r="AD20" s="102">
        <v>46370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197</v>
      </c>
      <c r="C21" s="22" t="s">
        <v>198</v>
      </c>
      <c r="D21" s="22" t="s">
        <v>199</v>
      </c>
      <c r="E21" s="102"/>
      <c r="F21" s="106" cm="1">
        <f t="array" ref="F21">IF($AD21="","",$H21-$G21)</f>
        <v>46307</v>
      </c>
      <c r="G21" s="114">
        <v>7</v>
      </c>
      <c r="H21" s="106" cm="1">
        <f t="array" ref="H21">IF($AD21="","",$AA21-$J21-$P21-$O21)</f>
        <v>46314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46342</v>
      </c>
      <c r="AB21" s="107"/>
      <c r="AC21" s="118">
        <v>14</v>
      </c>
      <c r="AD21" s="102">
        <v>46356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200</v>
      </c>
      <c r="C22" s="22" t="s">
        <v>201</v>
      </c>
      <c r="D22" s="22" t="s">
        <v>202</v>
      </c>
      <c r="E22" s="102"/>
      <c r="F22" s="106" cm="1">
        <f t="array" ref="F22">IF($AD22="","",$H22-$G22)</f>
        <v>46398</v>
      </c>
      <c r="G22" s="114">
        <v>7</v>
      </c>
      <c r="H22" s="106" cm="1">
        <f t="array" ref="H22">IF($AD22="","",$AA22-$J22-$P22-$O22)</f>
        <v>46405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46426</v>
      </c>
      <c r="AB22" s="107"/>
      <c r="AC22" s="118">
        <v>14</v>
      </c>
      <c r="AD22" s="102">
        <v>46440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203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204</v>
      </c>
      <c r="C25" s="22" t="s">
        <v>205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119" t="s">
        <v>206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207</v>
      </c>
      <c r="C26" s="22" t="s">
        <v>208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209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210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211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212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213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214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198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215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195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216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217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218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219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220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221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222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223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224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225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226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227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228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229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230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231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232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233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234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235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236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237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238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239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240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241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242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210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243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244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245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246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247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189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191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248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249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W5:W6"/>
    <mergeCell ref="X5:X6"/>
    <mergeCell ref="Y5:Y6"/>
    <mergeCell ref="Z5:Z6"/>
    <mergeCell ref="U4:V4"/>
    <mergeCell ref="U5:U6"/>
    <mergeCell ref="V5:V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8">
      <formula>AND(ISNUMBER(F7),YEAR(F7)=$G$3)</formula>
    </cfRule>
    <cfRule type="expression" dxfId="22" priority="17">
      <formula>AND(ISNUMBER(F7),YEAR(F7)=$G$2)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2026-10-10T09:51:44Z</dcterms:modified>
</cp:coreProperties>
</file>