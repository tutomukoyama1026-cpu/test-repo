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<sst xmlns="http://schemas.openxmlformats.org/spreadsheetml/2006/main" uniqueCount="274">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</sst>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47">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xf numFmtId="0" fontId="3" fillId="2" borderId="1" applyNumberFormat="0" applyFont="1" applyFill="1" applyBorder="1" applyAlignment="1">
      <alignment vertical="bottom"/>
    </xf>
    <xf numFmtId="0" fontId="3" fillId="2" borderId="1" applyNumberFormat="0" applyFont="1" applyFill="1" applyBorder="1" applyAlignment="1">
      <alignment horizontal="center" vertical="center" wrapText="1"/>
    </xf>
    <xf numFmtId="0" fontId="3" fillId="2" borderId="8" applyNumberFormat="0" applyFont="1" applyFill="1" applyBorder="1" applyAlignment="1">
      <alignment horizontal="center" vertical="center" wrapText="1"/>
    </xf>
    <xf numFmtId="49" fontId="9" fillId="2" borderId="6" applyNumberFormat="1" applyFont="1" applyFill="1" applyBorder="1" applyAlignment="1">
      <alignment textRotation="255" horizontal="center" vertical="center"/>
    </xf>
    <xf numFmtId="0" fontId="9" fillId="2" borderId="6" applyNumberFormat="0" applyFont="1" applyFill="1" applyBorder="1" applyAlignment="1">
      <alignment horizontal="center" vertical="center"/>
    </xf>
    <xf numFmtId="0" fontId="9" fillId="2" borderId="6" applyNumberFormat="0" applyFont="1" applyFill="1" applyBorder="1" applyAlignment="1">
      <alignment shrinkToFit="1" vertical="bottom"/>
    </xf>
    <xf numFmtId="49" fontId="9" fillId="2" borderId="6" applyNumberFormat="1" applyFont="1" applyFill="1" applyBorder="1" applyAlignment="1">
      <alignment shrinkToFit="1" vertical="bottom"/>
    </xf>
    <xf numFmtId="0" fontId="0" fillId="2" borderId="67" applyNumberFormat="0" applyFont="1" applyFill="1" applyBorder="1" applyAlignment="1">
      <alignment vertical="center"/>
    </xf>
    <xf numFmtId="0" fontId="0" fillId="2" borderId="1" applyNumberFormat="0" applyFont="1" applyFill="1" applyBorder="1" applyAlignment="1">
      <alignment vertical="center"/>
    </xf>
    <xf numFmtId="0" fontId="0" applyNumberFormat="1" applyFont="1" applyFill="0" applyBorder="0" applyAlignment="1">
      <alignment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46293</v>
      </c>
      <c r="E12" s="503">
        <v>7</v>
      </c>
      <c r="F12" s="506">
        <v>46300</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46317</v>
      </c>
      <c r="E18" s="503">
        <v>7</v>
      </c>
      <c r="F18" s="506">
        <v>46324</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46297</v>
      </c>
      <c r="E19" s="503">
        <v>7</v>
      </c>
      <c r="F19" s="506">
        <v>46304</v>
      </c>
      <c r="G19" s="505">
        <v>46304</v>
      </c>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46311</v>
      </c>
      <c r="E20" s="503">
        <v>7</v>
      </c>
      <c r="F20" s="506">
        <v>46318</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4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637"/>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638"/>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63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640">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641"/>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641"/>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42"/>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42" t="inlineStr">
        <is>
          <t>現場</t>
        </is>
      </c>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43">
        <v>183</v>
      </c>
      <c r="E9" s="612"/>
      <c r="F9" s="616" cm="1">
        <f t="array" ref="F9">IF($AD9="","",$H9-$G9)</f>
        <v>46321</v>
      </c>
      <c r="G9" s="624">
        <v>7</v>
      </c>
      <c r="H9" s="616" cm="1">
        <f t="array" ref="H9">IF($AD9="","",$AA9-$J9-$P9-$O9)</f>
        <v>46328</v>
      </c>
      <c r="I9" s="615"/>
      <c r="J9" s="624">
        <v>7</v>
      </c>
      <c r="K9" s="625"/>
      <c r="L9" s="626"/>
      <c r="M9" s="616"/>
      <c r="N9" s="615"/>
      <c r="O9" s="627">
        <v>7</v>
      </c>
      <c r="P9" s="624">
        <v>14</v>
      </c>
      <c r="Q9" s="616"/>
      <c r="R9" s="615"/>
      <c r="S9" s="615"/>
      <c r="T9" s="615"/>
      <c r="U9" s="615"/>
      <c r="V9" s="615"/>
      <c r="W9" s="615"/>
      <c r="X9" s="615"/>
      <c r="Y9" s="615"/>
      <c r="Z9" s="617"/>
      <c r="AA9" s="616" cm="1">
        <f t="array" ref="AA9">IF(AD9="","",AD9-AC9)</f>
        <v>46356</v>
      </c>
      <c r="AB9" s="617"/>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43">
        <v>187</v>
      </c>
      <c r="E10" s="612"/>
      <c r="F10" s="616" cm="1">
        <f t="array" ref="F10">IF($AD10="","",$H10-$G10)</f>
        <v>46321</v>
      </c>
      <c r="G10" s="624">
        <v>7</v>
      </c>
      <c r="H10" s="616" cm="1">
        <f t="array" ref="H10">IF($AD10="","",$AA10-$J10-$P10-$O10)</f>
        <v>46328</v>
      </c>
      <c r="I10" s="615"/>
      <c r="J10" s="624">
        <v>7</v>
      </c>
      <c r="K10" s="625"/>
      <c r="L10" s="626"/>
      <c r="M10" s="616"/>
      <c r="N10" s="615"/>
      <c r="O10" s="627">
        <v>7</v>
      </c>
      <c r="P10" s="624">
        <v>14</v>
      </c>
      <c r="Q10" s="616"/>
      <c r="R10" s="615"/>
      <c r="S10" s="615"/>
      <c r="T10" s="615"/>
      <c r="U10" s="615"/>
      <c r="V10" s="615"/>
      <c r="W10" s="615"/>
      <c r="X10" s="615"/>
      <c r="Y10" s="615"/>
      <c r="Z10" s="617"/>
      <c r="AA10" s="616" cm="1">
        <f t="array" ref="AA10">IF(AD10="","",AD10-AC10)</f>
        <v>46356</v>
      </c>
      <c r="AB10" s="617"/>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43">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43">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43">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43">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43">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43">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43">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t="s" s="643">
        <v>213</v>
      </c>
      <c r="E18" s="612"/>
      <c r="F18" s="616" cm="1">
        <f t="array" ref="F18">IF($AD18="","",$H18-$G18)</f>
        <v>46325</v>
      </c>
      <c r="G18" s="624">
        <v>7</v>
      </c>
      <c r="H18" s="616" cm="1">
        <f t="array" ref="H18">IF($AD18="","",$AA18-$J18-$P18-$O18)</f>
        <v>46332</v>
      </c>
      <c r="I18" s="615"/>
      <c r="J18" s="624">
        <v>7</v>
      </c>
      <c r="K18" s="625"/>
      <c r="L18" s="626"/>
      <c r="M18" s="616"/>
      <c r="N18" s="615"/>
      <c r="O18" s="627">
        <v>7</v>
      </c>
      <c r="P18" s="624">
        <v>14</v>
      </c>
      <c r="Q18" s="616"/>
      <c r="R18" s="615"/>
      <c r="S18" s="615"/>
      <c r="T18" s="615"/>
      <c r="U18" s="615"/>
      <c r="V18" s="615"/>
      <c r="W18" s="615"/>
      <c r="X18" s="615"/>
      <c r="Y18" s="615"/>
      <c r="Z18" s="617"/>
      <c r="AA18" s="616" cm="1">
        <f t="array" ref="AA18">IF(AD18="","",AD18-AC18)</f>
        <v>46360</v>
      </c>
      <c r="AB18" s="617"/>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43">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43">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43">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43">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42"/>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42"/>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42"/>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42"/>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42"/>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42"/>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42"/>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42"/>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42"/>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42"/>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42"/>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42"/>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42"/>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42"/>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42"/>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42"/>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42"/>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42"/>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42"/>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42"/>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42"/>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42"/>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42"/>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42"/>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42"/>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42"/>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42"/>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42"/>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42"/>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42"/>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42"/>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42"/>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42"/>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42"/>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42"/>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42"/>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42"/>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42"/>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42"/>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42"/>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42"/>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42"/>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42"/>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42"/>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42"/>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42"/>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42"/>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42"/>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42"/>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42"/>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42"/>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42"/>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42"/>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42"/>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42"/>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42"/>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42"/>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42"/>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42"/>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42"/>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42"/>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42"/>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42"/>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42"/>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42"/>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42"/>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42"/>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42"/>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42"/>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42"/>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42"/>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42"/>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42"/>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42"/>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42"/>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42"/>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42"/>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42"/>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42"/>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42"/>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42"/>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42"/>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42"/>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42"/>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42"/>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42"/>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42"/>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42"/>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42"/>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42"/>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42"/>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42"/>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42"/>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42"/>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42"/>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42"/>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42"/>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42"/>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42"/>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42"/>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42"/>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42"/>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42"/>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42"/>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42"/>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42"/>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42"/>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42"/>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42"/>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42"/>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42"/>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42"/>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42"/>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42"/>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42"/>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42"/>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42"/>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42"/>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44"/>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645"/>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645"/>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645"/>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645"/>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645"/>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