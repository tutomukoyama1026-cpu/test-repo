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<sst xmlns="http://schemas.openxmlformats.org/spreadsheetml/2006/main" uniqueCount="274">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</sst>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c>
      <c r="B12" s="167" t="inlineStr">
        <is>
          <t>三友-304</t>
        </is>
      </c>
      <c r="C12" s="156" t="inlineStr">
        <is>
          <t>西側　1階食堂床見切り</t>
        </is>
      </c>
      <c r="D12" s="165"/>
      <c r="E12" s="164"/>
      <c r="F12" s="163">
        <f>IF(AG12="","",I12-H12)</f>
      </c>
      <c r="G12" s="160"/>
      <c r="H12" s="158">
        <v>7</v>
      </c>
      <c r="I12" s="161">
        <f>IF(AG12="","",P12-K12)</f>
      </c>
      <c r="J12" s="160"/>
      <c r="K12" s="158">
        <v>7</v>
      </c>
      <c r="L12" s="161">
        <v>46302</v>
      </c>
      <c r="M12" s="161"/>
      <c r="N12" s="161"/>
      <c r="O12" s="161"/>
      <c r="P12" s="161">
        <f>IF(AG12="","",AC12-R12-Q12)</f>
      </c>
      <c r="Q12" s="162">
        <v>7</v>
      </c>
      <c r="R12" s="162">
        <v>14</v>
      </c>
      <c r="S12" s="161"/>
      <c r="T12" s="161"/>
      <c r="U12" s="161"/>
      <c r="V12" s="161"/>
      <c r="W12" s="161"/>
      <c r="X12" s="161"/>
      <c r="Y12" s="161"/>
      <c r="Z12" s="161"/>
      <c r="AA12" s="161"/>
      <c r="AB12" s="160"/>
      <c r="AC12" s="163">
        <f>IF(AG12="","",WORKDAY(AG12-AF12+1,-1,{46329,46349,46385,46386,46387,46388,46389,46390,46398,46429,46441,46468}))</f>
      </c>
      <c r="AD12" s="161">
        <f>IF(AG12="","",$AG12-$AF12)</f>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c>
      <c r="B13" s="167" t="inlineStr">
        <is>
          <t>三友-307</t>
        </is>
      </c>
      <c r="C13" s="156" t="inlineStr">
        <is>
          <t>西側　ボックス席腰壁下地鉄骨</t>
        </is>
      </c>
      <c r="D13" s="165"/>
      <c r="E13" s="164"/>
      <c r="F13" s="163">
        <f>IF(AG13="","",I13-H13)</f>
      </c>
      <c r="G13" s="160"/>
      <c r="H13" s="158">
        <v>7</v>
      </c>
      <c r="I13" s="161">
        <f>IF(AG13="","",P13-K13)</f>
      </c>
      <c r="J13" s="160"/>
      <c r="K13" s="158">
        <v>7</v>
      </c>
      <c r="L13" s="161"/>
      <c r="M13" s="161"/>
      <c r="N13" s="161"/>
      <c r="O13" s="161"/>
      <c r="P13" s="161">
        <f>IF(AG13="","",AC13-R13-Q13)</f>
      </c>
      <c r="Q13" s="162">
        <v>7</v>
      </c>
      <c r="R13" s="162">
        <v>14</v>
      </c>
      <c r="S13" s="161"/>
      <c r="T13" s="161"/>
      <c r="U13" s="161"/>
      <c r="V13" s="161"/>
      <c r="W13" s="161"/>
      <c r="X13" s="161"/>
      <c r="Y13" s="161"/>
      <c r="Z13" s="161"/>
      <c r="AA13" s="161"/>
      <c r="AB13" s="160"/>
      <c r="AC13" s="163">
        <f>IF(AG13="","",WORKDAY(AG13-AF13+1,-1,{46329,46349,46385,46386,46387,46388,46389,46390,46398,46429,46441,46468}))</f>
      </c>
      <c r="AD13" s="161">
        <f>IF(AG13="","",$AG13-$AF13)</f>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c>
      <c r="B14" s="167" t="inlineStr">
        <is>
          <t>三友-308</t>
        </is>
      </c>
      <c r="C14" s="156" t="inlineStr">
        <is>
          <t>東側　吹抜け部天井下地鉄骨</t>
        </is>
      </c>
      <c r="D14" s="165"/>
      <c r="E14" s="164"/>
      <c r="F14" s="163">
        <f>IF(AG14="","",I14-H14)</f>
      </c>
      <c r="G14" s="160"/>
      <c r="H14" s="158">
        <v>7</v>
      </c>
      <c r="I14" s="161">
        <f>IF(AG14="","",P14-K14)</f>
      </c>
      <c r="J14" s="160"/>
      <c r="K14" s="158">
        <v>7</v>
      </c>
      <c r="L14" s="161"/>
      <c r="M14" s="161"/>
      <c r="N14" s="161"/>
      <c r="O14" s="161"/>
      <c r="P14" s="161">
        <f>IF(AG14="","",AC14-R14-Q14)</f>
      </c>
      <c r="Q14" s="162">
        <v>7</v>
      </c>
      <c r="R14" s="162">
        <v>14</v>
      </c>
      <c r="S14" s="161"/>
      <c r="T14" s="161"/>
      <c r="U14" s="161"/>
      <c r="V14" s="161"/>
      <c r="W14" s="161"/>
      <c r="X14" s="161"/>
      <c r="Y14" s="161"/>
      <c r="Z14" s="161"/>
      <c r="AA14" s="161"/>
      <c r="AB14" s="160"/>
      <c r="AC14" s="163">
        <f>IF(AG14="","",WORKDAY(AG14-AF14+1,-1,{46329,46349,46385,46386,46387,46388,46389,46390,46398,46429,46441,46468}))</f>
      </c>
      <c r="AD14" s="161">
        <f>IF(AG14="","",$AG14-$AF14)</f>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c>
      <c r="B15" s="167" t="inlineStr">
        <is>
          <t>三友-309</t>
        </is>
      </c>
      <c r="C15" s="156" t="inlineStr">
        <is>
          <t>東側　吸音ルーバー壁下地鉄骨</t>
        </is>
      </c>
      <c r="D15" s="165"/>
      <c r="E15" s="164"/>
      <c r="F15" s="163">
        <f>IF(AG15="","",I15-H15)</f>
      </c>
      <c r="G15" s="160"/>
      <c r="H15" s="158">
        <v>7</v>
      </c>
      <c r="I15" s="161">
        <f>IF(AG15="","",P15-K15)</f>
      </c>
      <c r="J15" s="160"/>
      <c r="K15" s="158">
        <v>7</v>
      </c>
      <c r="L15" s="161">
        <v>46302</v>
      </c>
      <c r="M15" s="161"/>
      <c r="N15" s="161"/>
      <c r="O15" s="161"/>
      <c r="P15" s="161">
        <f>IF(AG15="","",AC15-R15-Q15)</f>
      </c>
      <c r="Q15" s="162">
        <v>7</v>
      </c>
      <c r="R15" s="162">
        <v>14</v>
      </c>
      <c r="S15" s="161"/>
      <c r="T15" s="161"/>
      <c r="U15" s="161"/>
      <c r="V15" s="161"/>
      <c r="W15" s="161"/>
      <c r="X15" s="161"/>
      <c r="Y15" s="161"/>
      <c r="Z15" s="161"/>
      <c r="AA15" s="161"/>
      <c r="AB15" s="160"/>
      <c r="AC15" s="163">
        <f>IF(AG15="","",WORKDAY(AG15-AF15+1,-1,{46329,46349,46385,46386,46387,46388,46389,46390,46398,46429,46441,46468}))</f>
      </c>
      <c r="AD15" s="161">
        <f>IF(AG15="","",$AG15-$AF15)</f>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c>
      <c r="B16" s="167" t="inlineStr">
        <is>
          <t>三友-310</t>
        </is>
      </c>
      <c r="C16" s="156" t="inlineStr">
        <is>
          <t>東側　吸音ルーバー壁⑤通り部天端塞ぎ</t>
        </is>
      </c>
      <c r="D16" s="165"/>
      <c r="E16" s="164"/>
      <c r="F16" s="163">
        <f>IF(AG16="","",I16-H16)</f>
      </c>
      <c r="G16" s="160"/>
      <c r="H16" s="158">
        <v>7</v>
      </c>
      <c r="I16" s="161">
        <f>IF(AG16="","",P16-K16)</f>
      </c>
      <c r="J16" s="160"/>
      <c r="K16" s="158">
        <v>7</v>
      </c>
      <c r="L16" s="161"/>
      <c r="M16" s="161"/>
      <c r="N16" s="161"/>
      <c r="O16" s="161"/>
      <c r="P16" s="161">
        <f>IF(AG16="","",AC16-R16-Q16)</f>
      </c>
      <c r="Q16" s="162">
        <v>7</v>
      </c>
      <c r="R16" s="162">
        <v>14</v>
      </c>
      <c r="S16" s="161"/>
      <c r="T16" s="161"/>
      <c r="U16" s="161"/>
      <c r="V16" s="161"/>
      <c r="W16" s="161"/>
      <c r="X16" s="161"/>
      <c r="Y16" s="161"/>
      <c r="Z16" s="161"/>
      <c r="AA16" s="161"/>
      <c r="AB16" s="160"/>
      <c r="AC16" s="163">
        <f>IF(AG16="","",WORKDAY(AG16-AF16+1,-1,{46329,46349,46385,46386,46387,46388,46389,46390,46398,46429,46441,46468}))</f>
      </c>
      <c r="AD16" s="161">
        <f>IF(AG16="","",$AG16-$AF16)</f>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c>
      <c r="B17" s="167" t="inlineStr">
        <is>
          <t>三友-311</t>
        </is>
      </c>
      <c r="C17" s="156" t="inlineStr">
        <is>
          <t>東側　腰壁下地鉄骨</t>
        </is>
      </c>
      <c r="D17" s="165"/>
      <c r="E17" s="164"/>
      <c r="F17" s="163">
        <f>IF(AG17="","",I17-H17)</f>
      </c>
      <c r="G17" s="160"/>
      <c r="H17" s="158">
        <v>7</v>
      </c>
      <c r="I17" s="161">
        <f>IF(AG17="","",P17-K17)</f>
      </c>
      <c r="J17" s="160"/>
      <c r="K17" s="158">
        <v>7</v>
      </c>
      <c r="L17" s="161"/>
      <c r="M17" s="161"/>
      <c r="N17" s="161"/>
      <c r="O17" s="161"/>
      <c r="P17" s="161">
        <f>IF(AG17="","",AC17-R17-Q17)</f>
      </c>
      <c r="Q17" s="162">
        <v>7</v>
      </c>
      <c r="R17" s="162">
        <v>14</v>
      </c>
      <c r="S17" s="161"/>
      <c r="T17" s="161"/>
      <c r="U17" s="161"/>
      <c r="V17" s="161"/>
      <c r="W17" s="161"/>
      <c r="X17" s="161"/>
      <c r="Y17" s="161"/>
      <c r="Z17" s="161"/>
      <c r="AA17" s="161"/>
      <c r="AB17" s="160"/>
      <c r="AC17" s="163">
        <f>IF(AG17="","",WORKDAY(AG17-AF17+1,-1,{46329,46349,46385,46386,46387,46388,46389,46390,46398,46429,46441,46468}))</f>
      </c>
      <c r="AD17" s="161">
        <f>IF(AG17="","",$AG17-$AF17)</f>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c>
      <c r="B18" s="167" t="inlineStr">
        <is>
          <t>三友-312</t>
        </is>
      </c>
      <c r="C18" s="156" t="inlineStr">
        <is>
          <t>東側・西側　窓際カウンター下地</t>
        </is>
      </c>
      <c r="D18" s="165"/>
      <c r="E18" s="164"/>
      <c r="F18" s="163">
        <f>IF(AG18="","",I18-H18)</f>
      </c>
      <c r="G18" s="160"/>
      <c r="H18" s="158">
        <v>7</v>
      </c>
      <c r="I18" s="161">
        <f>IF(AG18="","",P18-K18)</f>
      </c>
      <c r="J18" s="160"/>
      <c r="K18" s="158">
        <v>7</v>
      </c>
      <c r="L18" s="161"/>
      <c r="M18" s="161"/>
      <c r="N18" s="161"/>
      <c r="O18" s="161"/>
      <c r="P18" s="161">
        <f>IF(AG18="","",AC18-R18-Q18)</f>
      </c>
      <c r="Q18" s="162">
        <v>7</v>
      </c>
      <c r="R18" s="162">
        <v>14</v>
      </c>
      <c r="S18" s="161"/>
      <c r="T18" s="161"/>
      <c r="U18" s="161"/>
      <c r="V18" s="161"/>
      <c r="W18" s="161"/>
      <c r="X18" s="161"/>
      <c r="Y18" s="161"/>
      <c r="Z18" s="161"/>
      <c r="AA18" s="161"/>
      <c r="AB18" s="160"/>
      <c r="AC18" s="163">
        <f>IF(AG18="","",WORKDAY(AG18-AF18+1,-1,{46329,46349,46385,46386,46387,46388,46389,46390,46398,46429,46441,46468}))</f>
      </c>
      <c r="AD18" s="161">
        <f>IF(AG18="","",$AG18-$AF18)</f>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c>
      <c r="B19" s="167" t="inlineStr">
        <is>
          <t>三友-313</t>
        </is>
      </c>
      <c r="C19" s="156" t="inlineStr">
        <is>
          <t>東側　壁見切り</t>
        </is>
      </c>
      <c r="D19" s="165"/>
      <c r="E19" s="164"/>
      <c r="F19" s="163">
        <f>IF(AG19="","",I19-H19)</f>
      </c>
      <c r="G19" s="160"/>
      <c r="H19" s="158">
        <v>7</v>
      </c>
      <c r="I19" s="161">
        <f>IF(AG19="","",P19-K19)</f>
      </c>
      <c r="J19" s="160"/>
      <c r="K19" s="158">
        <v>7</v>
      </c>
      <c r="L19" s="161"/>
      <c r="M19" s="161"/>
      <c r="N19" s="161"/>
      <c r="O19" s="161"/>
      <c r="P19" s="161">
        <f>IF(AG19="","",AC19-R19-Q19)</f>
      </c>
      <c r="Q19" s="162">
        <v>7</v>
      </c>
      <c r="R19" s="162">
        <v>14</v>
      </c>
      <c r="S19" s="161"/>
      <c r="T19" s="161"/>
      <c r="U19" s="161"/>
      <c r="V19" s="161"/>
      <c r="W19" s="161"/>
      <c r="X19" s="161"/>
      <c r="Y19" s="161"/>
      <c r="Z19" s="161"/>
      <c r="AA19" s="161"/>
      <c r="AB19" s="160"/>
      <c r="AC19" s="163">
        <f>IF(AG19="","",WORKDAY(AG19-AF19+1,-1,{46329,46349,46385,46386,46387,46388,46389,46390,46398,46429,46441,46468}))</f>
      </c>
      <c r="AD19" s="161">
        <f>IF(AG19="","",$AG19-$AF19)</f>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c>
      <c r="B20" s="167" t="inlineStr">
        <is>
          <t>三友-314</t>
        </is>
      </c>
      <c r="C20" s="156" t="inlineStr">
        <is>
          <t>東側　自動扉安全柵</t>
        </is>
      </c>
      <c r="D20" s="165"/>
      <c r="E20" s="164"/>
      <c r="F20" s="163">
        <f>IF(AG20="","",I20-H20)</f>
      </c>
      <c r="G20" s="160"/>
      <c r="H20" s="158">
        <v>7</v>
      </c>
      <c r="I20" s="161">
        <f>IF(AG20="","",P20-K20)</f>
      </c>
      <c r="J20" s="160"/>
      <c r="K20" s="158">
        <v>7</v>
      </c>
      <c r="L20" s="161"/>
      <c r="M20" s="161"/>
      <c r="N20" s="161"/>
      <c r="O20" s="161"/>
      <c r="P20" s="161">
        <f>IF(AG20="","",AC20-R20-Q20)</f>
      </c>
      <c r="Q20" s="162">
        <v>7</v>
      </c>
      <c r="R20" s="162">
        <v>14</v>
      </c>
      <c r="S20" s="161"/>
      <c r="T20" s="161"/>
      <c r="U20" s="161"/>
      <c r="V20" s="161"/>
      <c r="W20" s="161"/>
      <c r="X20" s="161"/>
      <c r="Y20" s="161"/>
      <c r="Z20" s="161"/>
      <c r="AA20" s="161"/>
      <c r="AB20" s="160"/>
      <c r="AC20" s="163">
        <f>IF(AG20="","",WORKDAY(AG20-AF20+1,-1,{46329,46349,46385,46386,46387,46388,46389,46390,46398,46429,46441,46468}))</f>
      </c>
      <c r="AD20" s="161">
        <f>IF(AG20="","",$AG20-$AF20)</f>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c>
      <c r="B21" s="167" t="inlineStr">
        <is>
          <t>三友-315</t>
        </is>
      </c>
      <c r="C21" s="156" t="inlineStr">
        <is>
          <t>西側　壁アルミルーバー（天井裏下地込み）</t>
        </is>
      </c>
      <c r="D21" s="165"/>
      <c r="E21" s="164"/>
      <c r="F21" s="163">
        <f>IF(AG21="","",I21-H21)</f>
      </c>
      <c r="G21" s="160"/>
      <c r="H21" s="158">
        <v>7</v>
      </c>
      <c r="I21" s="161">
        <f>IF(AG21="","",P21-K21)</f>
      </c>
      <c r="J21" s="160"/>
      <c r="K21" s="158">
        <v>7</v>
      </c>
      <c r="L21" s="161">
        <v>46302</v>
      </c>
      <c r="M21" s="161"/>
      <c r="N21" s="161"/>
      <c r="O21" s="161"/>
      <c r="P21" s="161">
        <f>IF(AG21="","",AC21-R21-Q21)</f>
      </c>
      <c r="Q21" s="162">
        <v>7</v>
      </c>
      <c r="R21" s="162">
        <v>14</v>
      </c>
      <c r="S21" s="161"/>
      <c r="T21" s="161"/>
      <c r="U21" s="161"/>
      <c r="V21" s="161"/>
      <c r="W21" s="161"/>
      <c r="X21" s="161"/>
      <c r="Y21" s="161"/>
      <c r="Z21" s="161"/>
      <c r="AA21" s="161"/>
      <c r="AB21" s="160"/>
      <c r="AC21" s="163">
        <f>IF(AG21="","",WORKDAY(AG21-AF21+1,-1,{46329,46349,46385,46386,46387,46388,46389,46390,46398,46429,46441,46468}))</f>
      </c>
      <c r="AD21" s="161">
        <f>IF(AG21="","",$AG21-$AF21)</f>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c>
      <c r="B22" s="167" t="inlineStr">
        <is>
          <t>三友-316</t>
        </is>
      </c>
      <c r="C22" s="156" t="inlineStr">
        <is>
          <t>西側　ステンレスカウンター</t>
        </is>
      </c>
      <c r="D22" s="165"/>
      <c r="E22" s="164"/>
      <c r="F22" s="163">
        <f>IF(AG22="","",I22-H22)</f>
      </c>
      <c r="G22" s="160"/>
      <c r="H22" s="158">
        <v>7</v>
      </c>
      <c r="I22" s="161">
        <f>IF(AG22="","",P22-K22)</f>
      </c>
      <c r="J22" s="160"/>
      <c r="K22" s="158">
        <v>7</v>
      </c>
      <c r="L22" s="161"/>
      <c r="M22" s="161"/>
      <c r="N22" s="161"/>
      <c r="O22" s="161"/>
      <c r="P22" s="161">
        <f>IF(AG22="","",AC22-R22-Q22)</f>
      </c>
      <c r="Q22" s="162">
        <v>7</v>
      </c>
      <c r="R22" s="162">
        <v>14</v>
      </c>
      <c r="S22" s="161"/>
      <c r="T22" s="161"/>
      <c r="U22" s="161"/>
      <c r="V22" s="161"/>
      <c r="W22" s="161"/>
      <c r="X22" s="161"/>
      <c r="Y22" s="161"/>
      <c r="Z22" s="161"/>
      <c r="AA22" s="161"/>
      <c r="AB22" s="160"/>
      <c r="AC22" s="163">
        <f>IF(AG22="","",WORKDAY(AG22-AF22+1,-1,{46329,46349,46385,46386,46387,46388,46389,46390,46398,46429,46441,46468}))</f>
      </c>
      <c r="AD22" s="161">
        <f>IF(AG22="","",$AG22-$AF22)</f>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c>
      <c r="B23" s="167" t="inlineStr">
        <is>
          <t>三友-318</t>
        </is>
      </c>
      <c r="C23" s="156" t="inlineStr">
        <is>
          <t>チャンバーボックス</t>
        </is>
      </c>
      <c r="D23" s="165"/>
      <c r="E23" s="164"/>
      <c r="F23" s="163">
        <f>IF(AG23="","",I23-H23)</f>
      </c>
      <c r="G23" s="160"/>
      <c r="H23" s="158">
        <v>7</v>
      </c>
      <c r="I23" s="161">
        <f>IF(AG23="","",P23-K23)</f>
      </c>
      <c r="J23" s="160"/>
      <c r="K23" s="158">
        <v>7</v>
      </c>
      <c r="L23" s="161"/>
      <c r="M23" s="161"/>
      <c r="N23" s="161"/>
      <c r="O23" s="161"/>
      <c r="P23" s="161">
        <f>IF(AG23="","",AC23-R23-Q23)</f>
      </c>
      <c r="Q23" s="162">
        <v>7</v>
      </c>
      <c r="R23" s="162">
        <v>14</v>
      </c>
      <c r="S23" s="161"/>
      <c r="T23" s="161"/>
      <c r="U23" s="161"/>
      <c r="V23" s="161"/>
      <c r="W23" s="161"/>
      <c r="X23" s="161"/>
      <c r="Y23" s="161"/>
      <c r="Z23" s="161"/>
      <c r="AA23" s="161"/>
      <c r="AB23" s="160"/>
      <c r="AC23" s="163">
        <f>IF(AG23="","",WORKDAY(AG23-AF23+1,-1,{46329,46349,46385,46386,46387,46388,46389,46390,46398,46429,46441,46468}))</f>
      </c>
      <c r="AD23" s="161">
        <f>IF(AG23="","",$AG23-$AF23)</f>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c>
      <c r="B24" s="167" t="inlineStr">
        <is>
          <t>三友-319</t>
        </is>
      </c>
      <c r="C24" s="156" t="inlineStr">
        <is>
          <t>チャンバーボックス　グレーチング蓋</t>
        </is>
      </c>
      <c r="D24" s="165"/>
      <c r="E24" s="164"/>
      <c r="F24" s="163">
        <f>IF(AG24="","",I24-H24)</f>
      </c>
      <c r="G24" s="160"/>
      <c r="H24" s="158">
        <v>7</v>
      </c>
      <c r="I24" s="161">
        <f>IF(AG24="","",P24-K24)</f>
      </c>
      <c r="J24" s="160"/>
      <c r="K24" s="158">
        <v>7</v>
      </c>
      <c r="L24" s="161"/>
      <c r="M24" s="161"/>
      <c r="N24" s="161"/>
      <c r="O24" s="161"/>
      <c r="P24" s="161">
        <f>IF(AG24="","",AC24-R24-Q24)</f>
      </c>
      <c r="Q24" s="162">
        <v>7</v>
      </c>
      <c r="R24" s="162">
        <v>14</v>
      </c>
      <c r="S24" s="161"/>
      <c r="T24" s="161"/>
      <c r="U24" s="161"/>
      <c r="V24" s="161"/>
      <c r="W24" s="161"/>
      <c r="X24" s="161"/>
      <c r="Y24" s="161"/>
      <c r="Z24" s="161"/>
      <c r="AA24" s="161"/>
      <c r="AB24" s="160"/>
      <c r="AC24" s="163">
        <f>IF(AG24="","",WORKDAY(AG24-AF24+1,-1,{46329,46349,46385,46386,46387,46388,46389,46390,46398,46429,46441,46468}))</f>
      </c>
      <c r="AD24" s="161">
        <f>IF(AG24="","",$AG24-$AF24)</f>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c>
      <c r="B25" s="167" t="inlineStr">
        <is>
          <t>三友-320</t>
        </is>
      </c>
      <c r="C25" s="156" t="inlineStr">
        <is>
          <t>東側　照明ボックススチールパネル</t>
        </is>
      </c>
      <c r="D25" s="165"/>
      <c r="E25" s="164"/>
      <c r="F25" s="163">
        <f>IF(AG25="","",I25-H25)</f>
      </c>
      <c r="G25" s="160"/>
      <c r="H25" s="158">
        <v>7</v>
      </c>
      <c r="I25" s="161">
        <f>IF(AG25="","",P25-K25)</f>
      </c>
      <c r="J25" s="160"/>
      <c r="K25" s="158">
        <v>7</v>
      </c>
      <c r="L25" s="161"/>
      <c r="M25" s="161"/>
      <c r="N25" s="161"/>
      <c r="O25" s="161"/>
      <c r="P25" s="161">
        <f>IF(AG25="","",AC25-R25-Q25)</f>
      </c>
      <c r="Q25" s="162">
        <v>7</v>
      </c>
      <c r="R25" s="162">
        <v>14</v>
      </c>
      <c r="S25" s="161"/>
      <c r="T25" s="161"/>
      <c r="U25" s="161"/>
      <c r="V25" s="161"/>
      <c r="W25" s="161"/>
      <c r="X25" s="161"/>
      <c r="Y25" s="161"/>
      <c r="Z25" s="161"/>
      <c r="AA25" s="161"/>
      <c r="AB25" s="160"/>
      <c r="AC25" s="163">
        <f>IF(AG25="","",WORKDAY(AG25-AF25+1,-1,{46329,46349,46385,46386,46387,46388,46389,46390,46398,46429,46441,46468}))</f>
      </c>
      <c r="AD25" s="161">
        <f>IF(AG25="","",$AG25-$AF25)</f>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c>
      <c r="B26" s="167" t="inlineStr">
        <is>
          <t>三友-321</t>
        </is>
      </c>
      <c r="C26" s="156" t="inlineStr">
        <is>
          <t>西側　照明ボックススチールパネル</t>
        </is>
      </c>
      <c r="D26" s="165"/>
      <c r="E26" s="164"/>
      <c r="F26" s="163">
        <f>IF(AG26="","",I26-H26)</f>
      </c>
      <c r="G26" s="160"/>
      <c r="H26" s="158">
        <v>7</v>
      </c>
      <c r="I26" s="161">
        <f>IF(AG26="","",P26-K26)</f>
      </c>
      <c r="J26" s="160"/>
      <c r="K26" s="158">
        <v>7</v>
      </c>
      <c r="L26" s="161"/>
      <c r="M26" s="161"/>
      <c r="N26" s="161"/>
      <c r="O26" s="161"/>
      <c r="P26" s="161">
        <f>IF(AG26="","",AC26-R26-Q26)</f>
      </c>
      <c r="Q26" s="162">
        <v>7</v>
      </c>
      <c r="R26" s="162">
        <v>14</v>
      </c>
      <c r="S26" s="161"/>
      <c r="T26" s="161"/>
      <c r="U26" s="161"/>
      <c r="V26" s="161"/>
      <c r="W26" s="161"/>
      <c r="X26" s="161"/>
      <c r="Y26" s="161"/>
      <c r="Z26" s="161"/>
      <c r="AA26" s="161"/>
      <c r="AB26" s="160"/>
      <c r="AC26" s="163">
        <f>IF(AG26="","",WORKDAY(AG26-AF26+1,-1,{46329,46349,46385,46386,46387,46388,46389,46390,46398,46429,46441,46468}))</f>
      </c>
      <c r="AD26" s="161">
        <f>IF(AG26="","",$AG26-$AF26)</f>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7</v>
      </c>
      <c r="B27" s="151"/>
      <c r="C27" t="s" s="156">
        <v>115</v>
      </c>
      <c r="D27" s="165"/>
      <c r="E27" s="164"/>
      <c r="F27" t="str" s="195" cm="1">
        <f t="array" ref="F27">IF(AG27="","",I27-H27)</f>
      </c>
      <c r="G27" s="160"/>
      <c r="H27" s="158"/>
      <c r="I27" t="str" s="159" cm="1">
        <f t="array" ref="I27">IF(AG27="","",P27-K27)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8</v>
      </c>
      <c r="B28" t="s" s="167">
        <v>116</v>
      </c>
      <c r="C28" t="s" s="156">
        <v>117</v>
      </c>
      <c r="D28" s="165"/>
      <c r="E28" s="164"/>
      <c r="F28" s="163" cm="1">
        <f t="array" ref="F28">IF(AG28="","",I28-H28)</f>
        <v>46275</v>
      </c>
      <c r="G28" s="160">
        <v>46301</v>
      </c>
      <c r="H28" s="158">
        <v>7</v>
      </c>
      <c r="I28" s="161" cm="1">
        <f t="array" ref="I28">IF(AG28="","",P28-K28)</f>
        <v>46282</v>
      </c>
      <c r="J28" s="160">
        <v>46302</v>
      </c>
      <c r="K28" s="158">
        <v>7</v>
      </c>
      <c r="L28" s="161">
        <v>46302</v>
      </c>
      <c r="M28" s="161"/>
      <c r="N28" s="161"/>
      <c r="O28" s="161"/>
      <c r="P28" s="161" cm="1">
        <f t="array" ref="P28">IF(AG28="","",AC28-R28-Q28)</f>
        <v>46289</v>
      </c>
      <c r="Q28" s="162">
        <v>7</v>
      </c>
      <c r="R28" s="162">
        <v>14</v>
      </c>
      <c r="S28" s="161"/>
      <c r="T28" s="161"/>
      <c r="U28" s="161"/>
      <c r="V28" s="161"/>
      <c r="W28" s="161"/>
      <c r="X28" s="161"/>
      <c r="Y28" s="161"/>
      <c r="Z28" s="161"/>
      <c r="AA28" s="161"/>
      <c r="AB28" s="160"/>
      <c r="AC28" s="163">
        <v>46310</v>
      </c>
      <c r="AD28" s="161" cm="1">
        <f t="array" ref="AD28">IF(AG28="","",$AG28-$AF28)</f>
        <v>46310</v>
      </c>
      <c r="AE28" s="160"/>
      <c r="AF28" s="196">
        <v>60</v>
      </c>
      <c r="AG28" s="165">
        <v>46370</v>
      </c>
      <c r="AH28" s="164"/>
      <c r="AI28" s="163"/>
      <c r="AJ28" s="161"/>
      <c r="AK28" s="161"/>
      <c r="AL28" s="160"/>
      <c r="AM28" s="165"/>
      <c r="AN28" t="s" s="198">
        <v>118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9</v>
      </c>
      <c r="B29" t="s" s="167">
        <v>119</v>
      </c>
      <c r="C29" t="s" s="197">
        <v>120</v>
      </c>
      <c r="D29" s="165"/>
      <c r="E29" s="164"/>
      <c r="F29" t="str" s="195" cm="1">
        <f t="array" ref="F29">IF(AG29="","",I29-H29)</f>
      </c>
      <c r="G29" s="160"/>
      <c r="H29" s="158"/>
      <c r="I29" t="str" s="159" cm="1">
        <f t="array" ref="I29">IF(AG29="","",P29-K29)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96"/>
      <c r="AG29" s="165"/>
      <c r="AH29" s="164"/>
      <c r="AI29" s="163"/>
      <c r="AJ29" s="161"/>
      <c r="AK29" s="161"/>
      <c r="AL29" s="160"/>
      <c r="AM29" s="165"/>
      <c r="AN29" t="s" s="198">
        <v>121</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10</v>
      </c>
      <c r="B30" t="s" s="167">
        <v>122</v>
      </c>
      <c r="C30" t="s" s="197">
        <v>123</v>
      </c>
      <c r="D30" s="165"/>
      <c r="E30" s="164"/>
      <c r="F30" s="163" cm="1">
        <f t="array" ref="F30">IF(AG30="","",I30-H30)</f>
        <v>46275</v>
      </c>
      <c r="G30" s="160">
        <v>46290</v>
      </c>
      <c r="H30" s="158">
        <v>7</v>
      </c>
      <c r="I30" s="161" cm="1">
        <f t="array" ref="I30">IF(AG30="","",P30-K30)</f>
        <v>46282</v>
      </c>
      <c r="J30" s="160">
        <v>46290</v>
      </c>
      <c r="K30" s="158">
        <v>7</v>
      </c>
      <c r="L30" s="161">
        <v>46293</v>
      </c>
      <c r="M30" s="161"/>
      <c r="N30" s="161">
        <v>46302</v>
      </c>
      <c r="O30" s="161"/>
      <c r="P30" s="161" cm="1">
        <f t="array" ref="P30">IF(AG30="","",AC30-R30-Q30)</f>
        <v>46289</v>
      </c>
      <c r="Q30" s="162">
        <v>7</v>
      </c>
      <c r="R30" s="162">
        <v>14</v>
      </c>
      <c r="S30" s="161"/>
      <c r="T30" s="161"/>
      <c r="U30" s="161"/>
      <c r="V30" s="161"/>
      <c r="W30" s="161"/>
      <c r="X30" s="161"/>
      <c r="Y30" s="161"/>
      <c r="Z30" s="161"/>
      <c r="AA30" s="161"/>
      <c r="AB30" s="160"/>
      <c r="AC30" s="163">
        <v>46310</v>
      </c>
      <c r="AD30" s="161" cm="1">
        <f t="array" ref="AD30">IF(AG30="","",$AG30-$AF30)</f>
        <v>46310</v>
      </c>
      <c r="AE30" s="160"/>
      <c r="AF30" s="196">
        <v>60</v>
      </c>
      <c r="AG30" s="165">
        <v>46370</v>
      </c>
      <c r="AH30" s="164"/>
      <c r="AI30" s="163"/>
      <c r="AJ30" s="161"/>
      <c r="AK30" s="161"/>
      <c r="AL30" s="160"/>
      <c r="AM30" s="165"/>
      <c r="AN30" t="s" s="198">
        <v>124</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11</v>
      </c>
      <c r="B31" t="s" s="167">
        <v>125</v>
      </c>
      <c r="C31" t="s" s="199">
        <v>126</v>
      </c>
      <c r="D31" s="165"/>
      <c r="E31" s="164"/>
      <c r="F31" t="str" s="195" cm="1">
        <f t="array" ref="F31">IF(AG31="","",I31-H31)</f>
      </c>
      <c r="G31" s="160"/>
      <c r="H31" s="158"/>
      <c r="I31" t="str" s="159" cm="1">
        <f t="array" ref="I31">IF(AG31="","",P31-K31)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96"/>
      <c r="AG31" s="165"/>
      <c r="AH31" s="164"/>
      <c r="AI31" s="163"/>
      <c r="AJ31" s="161"/>
      <c r="AK31" s="161"/>
      <c r="AL31" s="160"/>
      <c r="AM31" s="165"/>
      <c r="AN31" t="s" s="169">
        <v>127</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12</v>
      </c>
      <c r="B32" s="151"/>
      <c r="C32" t="s" s="156">
        <v>128</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13</v>
      </c>
      <c r="B33" t="s" s="167">
        <v>129</v>
      </c>
      <c r="C33" t="s" s="197">
        <v>130</v>
      </c>
      <c r="D33" s="165"/>
      <c r="E33" s="164"/>
      <c r="F33" s="163" cm="1">
        <f t="array" ref="F33">IF(AG33="","",I33-H33)</f>
        <v>46269</v>
      </c>
      <c r="G33" s="160">
        <v>46282</v>
      </c>
      <c r="H33" s="158">
        <v>7</v>
      </c>
      <c r="I33" s="161" cm="1">
        <f t="array" ref="I33">IF(AG33="","",P33-K33)</f>
        <v>46276</v>
      </c>
      <c r="J33" s="160">
        <v>46289</v>
      </c>
      <c r="K33" s="158">
        <v>7</v>
      </c>
      <c r="L33" s="161">
        <v>46293</v>
      </c>
      <c r="M33" s="161"/>
      <c r="N33" s="161">
        <v>46302</v>
      </c>
      <c r="O33" s="161"/>
      <c r="P33" s="161" cm="1">
        <f t="array" ref="P33">IF(AG33="","",AC33-R33-Q33)</f>
        <v>46283</v>
      </c>
      <c r="Q33" s="162">
        <v>7</v>
      </c>
      <c r="R33" s="162">
        <v>7</v>
      </c>
      <c r="S33" s="161"/>
      <c r="T33" s="161"/>
      <c r="U33" s="161"/>
      <c r="V33" s="161"/>
      <c r="W33" s="161"/>
      <c r="X33" s="161"/>
      <c r="Y33" s="161"/>
      <c r="Z33" s="161"/>
      <c r="AA33" s="161"/>
      <c r="AB33" s="160"/>
      <c r="AC33" s="163">
        <v>46297</v>
      </c>
      <c r="AD33" s="161" cm="1">
        <f t="array" ref="AD33">IF(AG33="","",$AG33-$AF33)</f>
        <v>46299</v>
      </c>
      <c r="AE33" s="160"/>
      <c r="AF33" s="196">
        <v>80</v>
      </c>
      <c r="AG33" s="165">
        <v>46379</v>
      </c>
      <c r="AH33" s="164"/>
      <c r="AI33" s="163"/>
      <c r="AJ33" s="161"/>
      <c r="AK33" s="161"/>
      <c r="AL33" s="160"/>
      <c r="AM33" s="165"/>
      <c r="AN33" t="s" s="198">
        <v>131</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14</v>
      </c>
      <c r="B34" s="151"/>
      <c r="C34" t="s" s="156">
        <v>132</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200"/>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15</v>
      </c>
      <c r="B35" t="s" s="167">
        <v>133</v>
      </c>
      <c r="C35" t="s" s="197">
        <v>134</v>
      </c>
      <c r="D35" s="165"/>
      <c r="E35" s="164"/>
      <c r="F35" s="163" cm="1">
        <f t="array" ref="F35">IF(AG35="","",I35-H35)</f>
        <v>46293</v>
      </c>
      <c r="G35" s="160">
        <v>46300</v>
      </c>
      <c r="H35" s="158">
        <v>7</v>
      </c>
      <c r="I35" s="161" cm="1">
        <f t="array" ref="I35">IF(AG35="","",P35-K35)</f>
        <v>46300</v>
      </c>
      <c r="J35" s="160">
        <v>46302</v>
      </c>
      <c r="K35" s="158">
        <v>7</v>
      </c>
      <c r="L35" s="161">
        <v>46302</v>
      </c>
      <c r="M35" s="161"/>
      <c r="N35" s="161"/>
      <c r="O35" s="161"/>
      <c r="P35" s="161" cm="1">
        <f t="array" ref="P35">IF(AG35="","",AC35-R35-Q35)</f>
        <v>46307</v>
      </c>
      <c r="Q35" s="162">
        <v>7</v>
      </c>
      <c r="R35" s="162">
        <v>14</v>
      </c>
      <c r="S35" s="161"/>
      <c r="T35" s="161"/>
      <c r="U35" s="161"/>
      <c r="V35" s="161"/>
      <c r="W35" s="161"/>
      <c r="X35" s="161"/>
      <c r="Y35" s="161"/>
      <c r="Z35" s="161"/>
      <c r="AA35" s="161"/>
      <c r="AB35" s="160"/>
      <c r="AC35" s="163">
        <v>46328</v>
      </c>
      <c r="AD35" s="161" cm="1">
        <f t="array" ref="AD35">IF(AG35="","",$AG35-$AF35)</f>
        <v>46329</v>
      </c>
      <c r="AE35" s="160"/>
      <c r="AF35" s="196">
        <v>90</v>
      </c>
      <c r="AG35" s="165">
        <v>46419</v>
      </c>
      <c r="AH35" s="164"/>
      <c r="AI35" s="163"/>
      <c r="AJ35" s="161"/>
      <c r="AK35" s="161"/>
      <c r="AL35" s="160"/>
      <c r="AM35" s="165"/>
      <c r="AN35" t="s" s="198">
        <v>135</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16</v>
      </c>
      <c r="B36" t="s" s="167">
        <v>136</v>
      </c>
      <c r="C36" t="s" s="156">
        <v>137</v>
      </c>
      <c r="D36" s="165"/>
      <c r="E36" s="164"/>
      <c r="F36" s="163" cm="1">
        <f t="array" ref="F36">IF(AG36="","",I36-H36)</f>
        <v>46346</v>
      </c>
      <c r="G36" s="160"/>
      <c r="H36" s="158">
        <v>7</v>
      </c>
      <c r="I36" s="161" cm="1">
        <f t="array" ref="I36">IF(AG36="","",P36-K36)</f>
        <v>46353</v>
      </c>
      <c r="J36" s="160"/>
      <c r="K36" s="158">
        <v>7</v>
      </c>
      <c r="L36" s="161"/>
      <c r="M36" s="161"/>
      <c r="N36" s="161"/>
      <c r="O36" s="161"/>
      <c r="P36" s="161" cm="1">
        <f t="array" ref="P36">IF(AG36="","",AC36-R36-Q36)</f>
        <v>46360</v>
      </c>
      <c r="Q36" s="162">
        <v>7</v>
      </c>
      <c r="R36" s="162">
        <v>14</v>
      </c>
      <c r="S36" s="161"/>
      <c r="T36" s="161"/>
      <c r="U36" s="161"/>
      <c r="V36" s="161"/>
      <c r="W36" s="161"/>
      <c r="X36" s="161"/>
      <c r="Y36" s="161"/>
      <c r="Z36" s="161"/>
      <c r="AA36" s="161"/>
      <c r="AB36" s="160"/>
      <c r="AC36" s="163">
        <v>46381</v>
      </c>
      <c r="AD36" s="161" cm="1">
        <f t="array" ref="AD36">IF(AG36="","",$AG36-$AF36)</f>
        <v>46389</v>
      </c>
      <c r="AE36" s="160"/>
      <c r="AF36" s="196">
        <v>30</v>
      </c>
      <c r="AG36" s="165">
        <v>46419</v>
      </c>
      <c r="AH36" s="164"/>
      <c r="AI36" s="163"/>
      <c r="AJ36" s="161"/>
      <c r="AK36" s="161"/>
      <c r="AL36" s="160"/>
      <c r="AM36" s="165"/>
      <c r="AN36" t="s" s="169">
        <v>138</v>
      </c>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17</v>
      </c>
      <c r="B37" t="s" s="167">
        <v>139</v>
      </c>
      <c r="C37" t="s" s="156">
        <v>140</v>
      </c>
      <c r="D37" s="165"/>
      <c r="E37" s="164"/>
      <c r="F37" s="163" cm="1">
        <f t="array" ref="F37">IF(AG37="","",I37-H37)</f>
        <v>46346</v>
      </c>
      <c r="G37" s="160"/>
      <c r="H37" s="158">
        <v>7</v>
      </c>
      <c r="I37" s="161" cm="1">
        <f t="array" ref="I37">IF(AG37="","",P37-K37)</f>
        <v>46353</v>
      </c>
      <c r="J37" s="160"/>
      <c r="K37" s="158">
        <v>7</v>
      </c>
      <c r="L37" s="161"/>
      <c r="M37" s="161"/>
      <c r="N37" s="161"/>
      <c r="O37" s="161"/>
      <c r="P37" s="161" cm="1">
        <f t="array" ref="P37">IF(AG37="","",AC37-R37-Q37)</f>
        <v>46360</v>
      </c>
      <c r="Q37" s="162">
        <v>7</v>
      </c>
      <c r="R37" s="162">
        <v>14</v>
      </c>
      <c r="S37" s="161"/>
      <c r="T37" s="161"/>
      <c r="U37" s="161"/>
      <c r="V37" s="161"/>
      <c r="W37" s="161"/>
      <c r="X37" s="161"/>
      <c r="Y37" s="161"/>
      <c r="Z37" s="161"/>
      <c r="AA37" s="161"/>
      <c r="AB37" s="160"/>
      <c r="AC37" s="163">
        <v>46381</v>
      </c>
      <c r="AD37" s="161" cm="1">
        <f t="array" ref="AD37">IF(AG37="","",$AG37-$AF37)</f>
        <v>46389</v>
      </c>
      <c r="AE37" s="160"/>
      <c r="AF37" s="196">
        <v>30</v>
      </c>
      <c r="AG37" s="165">
        <v>46419</v>
      </c>
      <c r="AH37" s="164"/>
      <c r="AI37" s="163"/>
      <c r="AJ37" s="161"/>
      <c r="AK37" s="161"/>
      <c r="AL37" s="160"/>
      <c r="AM37" s="165"/>
      <c r="AN37" t="s" s="169">
        <v>138</v>
      </c>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18</v>
      </c>
      <c r="B38" t="s" s="167">
        <v>141</v>
      </c>
      <c r="C38" t="s" s="156">
        <v>142</v>
      </c>
      <c r="D38" s="165"/>
      <c r="E38" s="164"/>
      <c r="F38" s="163" cm="1">
        <f t="array" ref="F38">IF(AG38="","",I38-H38)</f>
        <v>46346</v>
      </c>
      <c r="G38" s="160"/>
      <c r="H38" s="158">
        <v>7</v>
      </c>
      <c r="I38" s="161" cm="1">
        <f t="array" ref="I38">IF(AG38="","",P38-K38)</f>
        <v>46353</v>
      </c>
      <c r="J38" s="160"/>
      <c r="K38" s="158">
        <v>7</v>
      </c>
      <c r="L38" s="161"/>
      <c r="M38" s="161"/>
      <c r="N38" s="161"/>
      <c r="O38" s="161"/>
      <c r="P38" s="161" cm="1">
        <f t="array" ref="P38">IF(AG38="","",AC38-R38-Q38)</f>
        <v>46360</v>
      </c>
      <c r="Q38" s="162">
        <v>7</v>
      </c>
      <c r="R38" s="162">
        <v>14</v>
      </c>
      <c r="S38" s="161"/>
      <c r="T38" s="161"/>
      <c r="U38" s="161"/>
      <c r="V38" s="161"/>
      <c r="W38" s="161"/>
      <c r="X38" s="161"/>
      <c r="Y38" s="161"/>
      <c r="Z38" s="161"/>
      <c r="AA38" s="161"/>
      <c r="AB38" s="160"/>
      <c r="AC38" s="163">
        <v>46381</v>
      </c>
      <c r="AD38" s="161" cm="1">
        <f t="array" ref="AD38">IF(AG38="","",$AG38-$AF38)</f>
        <v>46389</v>
      </c>
      <c r="AE38" s="160"/>
      <c r="AF38" s="196">
        <v>30</v>
      </c>
      <c r="AG38" s="165">
        <v>46419</v>
      </c>
      <c r="AH38" s="164"/>
      <c r="AI38" s="163"/>
      <c r="AJ38" s="161"/>
      <c r="AK38" s="161"/>
      <c r="AL38" s="160"/>
      <c r="AM38" s="165"/>
      <c r="AN38" t="s" s="169">
        <v>138</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19</v>
      </c>
      <c r="B39" s="151"/>
      <c r="C39" t="s" s="156">
        <v>143</v>
      </c>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20</v>
      </c>
      <c r="B40" t="s" s="167">
        <v>144</v>
      </c>
      <c r="C40" t="s" s="156">
        <v>145</v>
      </c>
      <c r="D40" s="165"/>
      <c r="E40" s="164"/>
      <c r="F40" s="163" cm="1">
        <f t="array" ref="F40">IF(AG40="","",I40-H40)</f>
        <v>46345</v>
      </c>
      <c r="G40" s="160">
        <v>46276</v>
      </c>
      <c r="H40" s="158">
        <v>7</v>
      </c>
      <c r="I40" s="161" cm="1">
        <f t="array" ref="I40">IF(AG40="","",P40-K40)</f>
        <v>46352</v>
      </c>
      <c r="J40" s="160">
        <v>46291</v>
      </c>
      <c r="K40" s="158">
        <v>7</v>
      </c>
      <c r="L40" s="161"/>
      <c r="M40" s="161"/>
      <c r="N40" s="161"/>
      <c r="O40" s="161"/>
      <c r="P40" s="161" cm="1">
        <f t="array" ref="P40">IF(AG40="","",AC40-R40-Q40)</f>
        <v>46359</v>
      </c>
      <c r="Q40" s="162">
        <v>7</v>
      </c>
      <c r="R40" s="162">
        <v>14</v>
      </c>
      <c r="S40" s="161"/>
      <c r="T40" s="161"/>
      <c r="U40" s="161"/>
      <c r="V40" s="161"/>
      <c r="W40" s="161"/>
      <c r="X40" s="161"/>
      <c r="Y40" s="161"/>
      <c r="Z40" s="161"/>
      <c r="AA40" s="161"/>
      <c r="AB40" s="160"/>
      <c r="AC40" s="163">
        <v>46380</v>
      </c>
      <c r="AD40" s="161" cm="1">
        <f t="array" ref="AD40">IF(AG40="","",$AG40-$AF40)</f>
        <v>46380</v>
      </c>
      <c r="AE40" s="160"/>
      <c r="AF40" s="196">
        <v>60</v>
      </c>
      <c r="AG40" s="165">
        <v>46440</v>
      </c>
      <c r="AH40" s="164"/>
      <c r="AI40" s="163"/>
      <c r="AJ40" s="161"/>
      <c r="AK40" s="161"/>
      <c r="AL40" s="160"/>
      <c r="AM40" s="165"/>
      <c r="AN40" t="s" s="169">
        <v>146</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21</v>
      </c>
      <c r="B41" s="151"/>
      <c r="C41" t="s" s="156">
        <v>147</v>
      </c>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22</v>
      </c>
      <c r="B42" t="s" s="167">
        <v>148</v>
      </c>
      <c r="C42" t="s" s="156">
        <v>149</v>
      </c>
      <c r="D42" s="165"/>
      <c r="E42" s="164"/>
      <c r="F42" s="163" cm="1">
        <f t="array" ref="F42">IF(AG42="","",I42-H42)</f>
        <v>46381</v>
      </c>
      <c r="G42" s="160">
        <v>46297</v>
      </c>
      <c r="H42" s="158">
        <v>7</v>
      </c>
      <c r="I42" s="161" cm="1">
        <f t="array" ref="I42">IF(AG42="","",P42-K42)</f>
        <v>46388</v>
      </c>
      <c r="J42" s="160">
        <v>46302</v>
      </c>
      <c r="K42" s="158">
        <v>7</v>
      </c>
      <c r="L42" s="161">
        <v>46302</v>
      </c>
      <c r="M42" s="161"/>
      <c r="N42" s="161"/>
      <c r="O42" s="161"/>
      <c r="P42" s="161" cm="1">
        <f t="array" ref="P42">IF(AG42="","",AC42-R42-Q42)</f>
        <v>46395</v>
      </c>
      <c r="Q42" s="162">
        <v>7</v>
      </c>
      <c r="R42" s="162">
        <v>14</v>
      </c>
      <c r="S42" s="161"/>
      <c r="T42" s="161"/>
      <c r="U42" s="161"/>
      <c r="V42" s="161"/>
      <c r="W42" s="161"/>
      <c r="X42" s="161"/>
      <c r="Y42" s="161"/>
      <c r="Z42" s="161"/>
      <c r="AA42" s="161"/>
      <c r="AB42" s="160"/>
      <c r="AC42" s="163">
        <v>46416</v>
      </c>
      <c r="AD42" s="161" cm="1">
        <f t="array" ref="AD42">IF(AG42="","",$AG42-$AF42)</f>
        <v>46417</v>
      </c>
      <c r="AE42" s="160"/>
      <c r="AF42" s="196">
        <v>30</v>
      </c>
      <c r="AG42" s="165">
        <v>46447</v>
      </c>
      <c r="AH42" s="164"/>
      <c r="AI42" s="163"/>
      <c r="AJ42" s="161"/>
      <c r="AK42" s="161"/>
      <c r="AL42" s="160"/>
      <c r="AM42" s="165"/>
      <c r="AN42" t="s" s="169">
        <v>138</v>
      </c>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23</v>
      </c>
      <c r="B43" s="151"/>
      <c r="C43" t="s" s="156">
        <v>150</v>
      </c>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24</v>
      </c>
      <c r="B44" t="s" s="167">
        <v>151</v>
      </c>
      <c r="C44" t="s" s="156">
        <v>152</v>
      </c>
      <c r="D44" s="165"/>
      <c r="E44" s="164"/>
      <c r="F44" s="163" cm="1">
        <f t="array" ref="F44">IF(AG44="","",I44-H44)</f>
        <v>46395</v>
      </c>
      <c r="G44" s="160"/>
      <c r="H44" s="158">
        <v>7</v>
      </c>
      <c r="I44" s="161" cm="1">
        <f t="array" ref="I44">IF(AG44="","",P44-K44)</f>
        <v>46402</v>
      </c>
      <c r="J44" s="160"/>
      <c r="K44" s="158">
        <v>7</v>
      </c>
      <c r="L44" s="161"/>
      <c r="M44" s="161"/>
      <c r="N44" s="161"/>
      <c r="O44" s="161"/>
      <c r="P44" s="161" cm="1">
        <f t="array" ref="P44">IF(AG44="","",AC44-R44-Q44)</f>
        <v>46409</v>
      </c>
      <c r="Q44" s="162">
        <v>7</v>
      </c>
      <c r="R44" s="162">
        <v>14</v>
      </c>
      <c r="S44" s="161"/>
      <c r="T44" s="161"/>
      <c r="U44" s="161"/>
      <c r="V44" s="161"/>
      <c r="W44" s="161"/>
      <c r="X44" s="161"/>
      <c r="Y44" s="161"/>
      <c r="Z44" s="161"/>
      <c r="AA44" s="161"/>
      <c r="AB44" s="160"/>
      <c r="AC44" s="163">
        <v>46430</v>
      </c>
      <c r="AD44" s="161" cm="1">
        <f t="array" ref="AD44">IF(AG44="","",$AG44-$AF44)</f>
        <v>46432</v>
      </c>
      <c r="AE44" s="160"/>
      <c r="AF44" s="196">
        <v>30</v>
      </c>
      <c r="AG44" s="165">
        <v>46462</v>
      </c>
      <c r="AH44" s="164"/>
      <c r="AI44" s="163"/>
      <c r="AJ44" s="161"/>
      <c r="AK44" s="161"/>
      <c r="AL44" s="160"/>
      <c r="AM44" s="165"/>
      <c r="AN44" t="s" s="169">
        <v>153</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25</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26</v>
      </c>
      <c r="B46" s="151"/>
      <c r="C46" t="s" s="156">
        <v>154</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27</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28</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29</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30</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31</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32</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33</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34</v>
      </c>
      <c r="B54" s="151"/>
      <c r="C54" s="170"/>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35</v>
      </c>
      <c r="B55" s="151"/>
      <c r="C55" t="s" s="156">
        <v>155</v>
      </c>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36</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37</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38</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39</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40</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41</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42</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43</v>
      </c>
      <c r="B63" s="151"/>
      <c r="C63" t="s" s="156">
        <v>156</v>
      </c>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