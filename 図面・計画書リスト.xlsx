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<sst xmlns="http://schemas.openxmlformats.org/spreadsheetml/2006/main" uniqueCount="274">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</sst>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59">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cellXfs>
  <cellStyles count="1">
    <cellStyle name="Normal" xfId="0" builtinId="0"/>
  </cellStyles>
  <dxfs count="35">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349">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349">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35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35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349">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349">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349">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349">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349">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349">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35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35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35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35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35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35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35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35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35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35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35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35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35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35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s="349"/>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35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35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35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35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s="349"/>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35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35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35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35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s="349"/>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35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35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35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35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35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35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35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35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35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35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35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35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35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35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35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35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35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35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35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35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35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35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35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35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35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35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35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35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35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35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35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35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35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35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35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35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35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35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35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35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35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35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35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35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35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35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35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35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35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35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35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35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35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35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35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35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35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35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35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35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35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35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35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35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35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35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35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35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35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35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35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35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35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35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35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35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35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35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35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35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35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35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35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35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35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35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35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35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35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35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35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35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35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35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35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35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35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35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35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35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35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35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35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35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35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35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35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35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35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35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35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35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35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35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3" stopIfTrue="1">
      <formula>NOT(ISBLANK(M11))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conditionalFormatting sqref="C11:C159">
    <cfRule type="expression" dxfId="25" priority="54">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現場／統括：、現場責任者：金子主任、主任：、担当：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349">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三友-4</t>
        </is>
      </c>
      <c r="C12" s="349"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三友-7</t>
        </is>
      </c>
      <c r="C13" s="349"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三友-8</t>
        </is>
      </c>
      <c r="C14" s="349"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三友-9</t>
        </is>
      </c>
      <c r="C15" s="349"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三友-10</t>
        </is>
      </c>
      <c r="C16" s="349"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三友-11</t>
        </is>
      </c>
      <c r="C17" s="349"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三友-12</t>
        </is>
      </c>
      <c r="C18" s="349"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三友-13</t>
        </is>
      </c>
      <c r="C19" s="349"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三友-14</t>
        </is>
      </c>
      <c r="C20" s="349"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三友-15</t>
        </is>
      </c>
      <c r="C21" s="349"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三友-16</t>
        </is>
      </c>
      <c r="C22" s="349"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三友-18</t>
        </is>
      </c>
      <c r="C23" s="349"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三友-19</t>
        </is>
      </c>
      <c r="C24" s="349"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三友-20</t>
        </is>
      </c>
      <c r="C25" s="349"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三友-21</t>
        </is>
      </c>
      <c r="C26" s="349"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s="350"/>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s="151"/>
      <c r="C28" t="s" s="349">
        <v>115</v>
      </c>
      <c r="D28" s="165"/>
      <c r="E28" s="164"/>
      <c r="F28" s="195" cm="1" t="str">
        <f t="array" ref="F28">IF(AG28="","",I28-H28)</f>
        <v/>
      </c>
      <c r="G28" s="160"/>
      <c r="H28" s="158"/>
      <c r="I28" s="159" cm="1" t="str">
        <f t="array" ref="I28">IF(AG28="","",P28-K28)</f>
        <v/>
      </c>
      <c r="J28" s="160"/>
      <c r="K28" s="158"/>
      <c r="L28" s="161"/>
      <c r="M28" s="161"/>
      <c r="N28" s="161"/>
      <c r="O28" s="161"/>
      <c r="P28" s="159" cm="1" t="str">
        <f t="array" ref="P28">IF(AG28="","",AC28-R28-Q28)</f>
        <v/>
      </c>
      <c r="Q28" s="162"/>
      <c r="R28" s="162"/>
      <c r="S28" s="161"/>
      <c r="T28" s="161"/>
      <c r="U28" s="161"/>
      <c r="V28" s="161"/>
      <c r="W28" s="161"/>
      <c r="X28" s="161"/>
      <c r="Y28" s="161"/>
      <c r="Z28" s="161"/>
      <c r="AA28" s="161"/>
      <c r="AB28" s="160"/>
      <c r="AC28" s="163"/>
      <c r="AD28" s="159" cm="1" t="str">
        <f t="array" ref="AD28">IF(AG28="","",$AG28-$AF28)</f>
        <v/>
      </c>
      <c r="AE28" s="160"/>
      <c r="AF28" s="196"/>
      <c r="AG28" s="165"/>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116</v>
      </c>
      <c r="C29" t="s" s="349">
        <v>117</v>
      </c>
      <c r="D29" s="165"/>
      <c r="E29" s="164"/>
      <c r="F29" s="163" cm="1">
        <f t="array" ref="F29">IF(AG29="","",I29-H29)</f>
        <v>46275</v>
      </c>
      <c r="G29" s="160">
        <v>46301</v>
      </c>
      <c r="H29" s="158">
        <v>7</v>
      </c>
      <c r="I29" s="161" cm="1">
        <f t="array" ref="I29">IF(AG29="","",P29-K29)</f>
        <v>46282</v>
      </c>
      <c r="J29" s="160">
        <v>46302</v>
      </c>
      <c r="K29" s="158">
        <v>7</v>
      </c>
      <c r="L29" s="161">
        <v>46302</v>
      </c>
      <c r="M29" s="161"/>
      <c r="N29" s="161"/>
      <c r="O29" s="161"/>
      <c r="P29" s="161" cm="1">
        <f t="array" ref="P29">IF(AG29="","",AC29-R29-Q29)</f>
        <v>46289</v>
      </c>
      <c r="Q29" s="162">
        <v>7</v>
      </c>
      <c r="R29" s="162">
        <v>14</v>
      </c>
      <c r="S29" s="161"/>
      <c r="T29" s="161"/>
      <c r="U29" s="161"/>
      <c r="V29" s="161"/>
      <c r="W29" s="161"/>
      <c r="X29" s="161"/>
      <c r="Y29" s="161"/>
      <c r="Z29" s="161"/>
      <c r="AA29" s="161"/>
      <c r="AB29" s="160"/>
      <c r="AC29" s="163">
        <v>46310</v>
      </c>
      <c r="AD29" s="161" cm="1">
        <f t="array" ref="AD29">IF(AG29="","",$AG29-$AF29)</f>
        <v>46310</v>
      </c>
      <c r="AE29" s="160"/>
      <c r="AF29" s="196">
        <v>60</v>
      </c>
      <c r="AG29" s="165">
        <v>46370</v>
      </c>
      <c r="AH29" s="164"/>
      <c r="AI29" s="163"/>
      <c r="AJ29" s="161"/>
      <c r="AK29" s="161"/>
      <c r="AL29" s="160"/>
      <c r="AM29" s="165"/>
      <c r="AN29" t="s" s="198">
        <v>118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119</v>
      </c>
      <c r="C30" t="s" s="358">
        <v>120</v>
      </c>
      <c r="D30" s="165"/>
      <c r="E30" s="164"/>
      <c r="F30" s="195" cm="1" t="str">
        <f t="array" ref="F30">IF(AG30="","",I30-H30)</f>
        <v/>
      </c>
      <c r="G30" s="160"/>
      <c r="H30" s="158"/>
      <c r="I30" s="159" cm="1" t="str">
        <f t="array" ref="I30">IF(AG30="","",P30-K30)</f>
        <v/>
      </c>
      <c r="J30" s="160"/>
      <c r="K30" s="158"/>
      <c r="L30" s="161"/>
      <c r="M30" s="161"/>
      <c r="N30" s="161"/>
      <c r="O30" s="161"/>
      <c r="P30" s="159" cm="1" t="str">
        <f t="array" ref="P30">IF(AG30="","",AC30-R30-Q30)</f>
        <v/>
      </c>
      <c r="Q30" s="162"/>
      <c r="R30" s="162"/>
      <c r="S30" s="161"/>
      <c r="T30" s="161"/>
      <c r="U30" s="161"/>
      <c r="V30" s="161"/>
      <c r="W30" s="161"/>
      <c r="X30" s="161"/>
      <c r="Y30" s="161"/>
      <c r="Z30" s="161"/>
      <c r="AA30" s="161"/>
      <c r="AB30" s="160"/>
      <c r="AC30" s="163"/>
      <c r="AD30" s="159" cm="1" t="str">
        <f t="array" ref="AD30">IF(AG30="","",$AG30-$AF30)</f>
        <v/>
      </c>
      <c r="AE30" s="160"/>
      <c r="AF30" s="196"/>
      <c r="AG30" s="165"/>
      <c r="AH30" s="164"/>
      <c r="AI30" s="163"/>
      <c r="AJ30" s="161"/>
      <c r="AK30" s="161"/>
      <c r="AL30" s="160"/>
      <c r="AM30" s="165"/>
      <c r="AN30" t="s" s="198">
        <v>121</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122</v>
      </c>
      <c r="C31" t="s" s="358">
        <v>123</v>
      </c>
      <c r="D31" s="165"/>
      <c r="E31" s="164"/>
      <c r="F31" s="163" cm="1">
        <f t="array" ref="F31">IF(AG31="","",I31-H31)</f>
        <v>46275</v>
      </c>
      <c r="G31" s="160">
        <v>46290</v>
      </c>
      <c r="H31" s="158">
        <v>7</v>
      </c>
      <c r="I31" s="161" cm="1">
        <f t="array" ref="I31">IF(AG31="","",P31-K31)</f>
        <v>46282</v>
      </c>
      <c r="J31" s="160">
        <v>46290</v>
      </c>
      <c r="K31" s="158">
        <v>7</v>
      </c>
      <c r="L31" s="161">
        <v>46293</v>
      </c>
      <c r="M31" s="161"/>
      <c r="N31" s="161">
        <v>46302</v>
      </c>
      <c r="O31" s="161"/>
      <c r="P31" s="161" cm="1">
        <f t="array" ref="P31">IF(AG31="","",AC31-R31-Q31)</f>
        <v>46289</v>
      </c>
      <c r="Q31" s="162">
        <v>7</v>
      </c>
      <c r="R31" s="162">
        <v>14</v>
      </c>
      <c r="S31" s="161"/>
      <c r="T31" s="161"/>
      <c r="U31" s="161"/>
      <c r="V31" s="161"/>
      <c r="W31" s="161"/>
      <c r="X31" s="161"/>
      <c r="Y31" s="161"/>
      <c r="Z31" s="161"/>
      <c r="AA31" s="161"/>
      <c r="AB31" s="160"/>
      <c r="AC31" s="163">
        <v>46310</v>
      </c>
      <c r="AD31" s="161" cm="1">
        <f t="array" ref="AD31">IF(AG31="","",$AG31-$AF31)</f>
        <v>46310</v>
      </c>
      <c r="AE31" s="160"/>
      <c r="AF31" s="196">
        <v>60</v>
      </c>
      <c r="AG31" s="165">
        <v>46370</v>
      </c>
      <c r="AH31" s="164"/>
      <c r="AI31" s="163"/>
      <c r="AJ31" s="161"/>
      <c r="AK31" s="161"/>
      <c r="AL31" s="160"/>
      <c r="AM31" s="165"/>
      <c r="AN31" t="s" s="198">
        <v>124</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t="s" s="167">
        <v>125</v>
      </c>
      <c r="C32" t="s" s="352">
        <v>126</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t="s" s="169">
        <v>127</v>
      </c>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s="151"/>
      <c r="C33" s="350"/>
      <c r="D33" s="165"/>
      <c r="E33" s="164"/>
      <c r="F33" s="195" cm="1" t="str">
        <f t="array" ref="F33">IF(AG33="","",I33-H33)</f>
        <v/>
      </c>
      <c r="G33" s="160"/>
      <c r="H33" s="158"/>
      <c r="I33" s="159" cm="1" t="str">
        <f t="array" ref="I33">IF(AG33="","",P33-K33)</f>
        <v/>
      </c>
      <c r="J33" s="160"/>
      <c r="K33" s="158"/>
      <c r="L33" s="161"/>
      <c r="M33" s="161"/>
      <c r="N33" s="161"/>
      <c r="O33" s="161"/>
      <c r="P33" s="159" cm="1" t="str">
        <f t="array" ref="P33">IF(AG33="","",AC33-R33-Q33)</f>
        <v/>
      </c>
      <c r="Q33" s="162"/>
      <c r="R33" s="162"/>
      <c r="S33" s="161"/>
      <c r="T33" s="161"/>
      <c r="U33" s="161"/>
      <c r="V33" s="161"/>
      <c r="W33" s="161"/>
      <c r="X33" s="161"/>
      <c r="Y33" s="161"/>
      <c r="Z33" s="161"/>
      <c r="AA33" s="161"/>
      <c r="AB33" s="160"/>
      <c r="AC33" s="163"/>
      <c r="AD33" s="159" cm="1" t="str">
        <f t="array" ref="AD33">IF(AG33="","",$AG33-$AF33)</f>
        <v/>
      </c>
      <c r="AE33" s="160"/>
      <c r="AF33" s="196"/>
      <c r="AG33" s="165"/>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349">
        <v>128</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129</v>
      </c>
      <c r="C35" t="s" s="358">
        <v>130</v>
      </c>
      <c r="D35" s="165"/>
      <c r="E35" s="164"/>
      <c r="F35" s="163" cm="1">
        <f t="array" ref="F35">IF(AG35="","",I35-H35)</f>
        <v>46269</v>
      </c>
      <c r="G35" s="160">
        <v>46282</v>
      </c>
      <c r="H35" s="158">
        <v>7</v>
      </c>
      <c r="I35" s="161" cm="1">
        <f t="array" ref="I35">IF(AG35="","",P35-K35)</f>
        <v>46276</v>
      </c>
      <c r="J35" s="160">
        <v>46289</v>
      </c>
      <c r="K35" s="158">
        <v>7</v>
      </c>
      <c r="L35" s="161">
        <v>46293</v>
      </c>
      <c r="M35" s="161"/>
      <c r="N35" s="161">
        <v>46302</v>
      </c>
      <c r="O35" s="161"/>
      <c r="P35" s="161" cm="1">
        <f t="array" ref="P35">IF(AG35="","",AC35-R35-Q35)</f>
        <v>46283</v>
      </c>
      <c r="Q35" s="162">
        <v>7</v>
      </c>
      <c r="R35" s="162">
        <v>7</v>
      </c>
      <c r="S35" s="161"/>
      <c r="T35" s="161"/>
      <c r="U35" s="161"/>
      <c r="V35" s="161"/>
      <c r="W35" s="161"/>
      <c r="X35" s="161"/>
      <c r="Y35" s="161"/>
      <c r="Z35" s="161"/>
      <c r="AA35" s="161"/>
      <c r="AB35" s="160"/>
      <c r="AC35" s="163">
        <v>46297</v>
      </c>
      <c r="AD35" s="161" cm="1">
        <f t="array" ref="AD35">IF(AG35="","",$AG35-$AF35)</f>
        <v>46299</v>
      </c>
      <c r="AE35" s="160"/>
      <c r="AF35" s="196">
        <v>80</v>
      </c>
      <c r="AG35" s="165">
        <v>46379</v>
      </c>
      <c r="AH35" s="164"/>
      <c r="AI35" s="163"/>
      <c r="AJ35" s="161"/>
      <c r="AK35" s="161"/>
      <c r="AL35" s="160"/>
      <c r="AM35" s="165"/>
      <c r="AN35" t="s" s="198">
        <v>131</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350"/>
      <c r="D36" s="165"/>
      <c r="E36" s="164"/>
      <c r="F36" s="195" cm="1" t="str">
        <f t="array" ref="F36">IF(AG36="","",I36-H36)</f>
        <v/>
      </c>
      <c r="G36" s="160"/>
      <c r="H36" s="158"/>
      <c r="I36" s="159" cm="1" t="str">
        <f t="array" ref="I36">IF(AG36="","",P36-K36)</f>
        <v/>
      </c>
      <c r="J36" s="160"/>
      <c r="K36" s="158"/>
      <c r="L36" s="161"/>
      <c r="M36" s="161"/>
      <c r="N36" s="161"/>
      <c r="O36" s="161"/>
      <c r="P36" s="159" cm="1" t="str">
        <f t="array" ref="P36">IF(AG36="","",AC36-R36-Q36)</f>
        <v/>
      </c>
      <c r="Q36" s="162"/>
      <c r="R36" s="162"/>
      <c r="S36" s="161"/>
      <c r="T36" s="161"/>
      <c r="U36" s="161"/>
      <c r="V36" s="161"/>
      <c r="W36" s="161"/>
      <c r="X36" s="161"/>
      <c r="Y36" s="161"/>
      <c r="Z36" s="161"/>
      <c r="AA36" s="161"/>
      <c r="AB36" s="160"/>
      <c r="AC36" s="163"/>
      <c r="AD36" s="159" cm="1" t="str">
        <f t="array" ref="AD36">IF(AG36="","",$AG36-$AF36)</f>
        <v/>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349">
        <v>132</v>
      </c>
      <c r="D37" s="165"/>
      <c r="E37" s="164"/>
      <c r="F37" s="195" cm="1" t="str">
        <f t="array" ref="F37">IF(AG37="","",I37-H37)</f>
        <v/>
      </c>
      <c r="G37" s="160"/>
      <c r="H37" s="158"/>
      <c r="I37" s="159" cm="1" t="str">
        <f t="array" ref="I37">IF(AG37="","",P37-K37)</f>
        <v/>
      </c>
      <c r="J37" s="160"/>
      <c r="K37" s="158"/>
      <c r="L37" s="161"/>
      <c r="M37" s="161"/>
      <c r="N37" s="161"/>
      <c r="O37" s="161"/>
      <c r="P37" s="159" cm="1" t="str">
        <f t="array" ref="P37">IF(AG37="","",AC37-R37-Q37)</f>
        <v/>
      </c>
      <c r="Q37" s="162"/>
      <c r="R37" s="162"/>
      <c r="S37" s="161"/>
      <c r="T37" s="161"/>
      <c r="U37" s="161"/>
      <c r="V37" s="161"/>
      <c r="W37" s="161"/>
      <c r="X37" s="161"/>
      <c r="Y37" s="161"/>
      <c r="Z37" s="161"/>
      <c r="AA37" s="161"/>
      <c r="AB37" s="160"/>
      <c r="AC37" s="163"/>
      <c r="AD37" s="159" cm="1" t="str">
        <f t="array" ref="AD37">IF(AG37="","",$AG37-$AF37)</f>
        <v/>
      </c>
      <c r="AE37" s="160"/>
      <c r="AF37" s="196"/>
      <c r="AG37" s="165"/>
      <c r="AH37" s="164"/>
      <c r="AI37" s="163"/>
      <c r="AJ37" s="161"/>
      <c r="AK37" s="161"/>
      <c r="AL37" s="160"/>
      <c r="AM37" s="165"/>
      <c r="AN37" s="200"/>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133</v>
      </c>
      <c r="C38" t="s" s="358">
        <v>134</v>
      </c>
      <c r="D38" s="165"/>
      <c r="E38" s="164"/>
      <c r="F38" s="163" cm="1">
        <f t="array" ref="F38">IF(AG38="","",I38-H38)</f>
        <v>46293</v>
      </c>
      <c r="G38" s="160">
        <v>46300</v>
      </c>
      <c r="H38" s="158">
        <v>7</v>
      </c>
      <c r="I38" s="161" cm="1">
        <f t="array" ref="I38">IF(AG38="","",P38-K38)</f>
        <v>46300</v>
      </c>
      <c r="J38" s="160">
        <v>46302</v>
      </c>
      <c r="K38" s="158">
        <v>7</v>
      </c>
      <c r="L38" s="161">
        <v>46302</v>
      </c>
      <c r="M38" s="161"/>
      <c r="N38" s="161"/>
      <c r="O38" s="161"/>
      <c r="P38" s="161" cm="1">
        <f t="array" ref="P38">IF(AG38="","",AC38-R38-Q38)</f>
        <v>46307</v>
      </c>
      <c r="Q38" s="162">
        <v>7</v>
      </c>
      <c r="R38" s="162">
        <v>14</v>
      </c>
      <c r="S38" s="161"/>
      <c r="T38" s="161"/>
      <c r="U38" s="161"/>
      <c r="V38" s="161"/>
      <c r="W38" s="161"/>
      <c r="X38" s="161"/>
      <c r="Y38" s="161"/>
      <c r="Z38" s="161"/>
      <c r="AA38" s="161"/>
      <c r="AB38" s="160"/>
      <c r="AC38" s="163">
        <v>46328</v>
      </c>
      <c r="AD38" s="161" cm="1">
        <f t="array" ref="AD38">IF(AG38="","",$AG38-$AF38)</f>
        <v>46329</v>
      </c>
      <c r="AE38" s="160"/>
      <c r="AF38" s="196">
        <v>90</v>
      </c>
      <c r="AG38" s="165">
        <v>46419</v>
      </c>
      <c r="AH38" s="164"/>
      <c r="AI38" s="163"/>
      <c r="AJ38" s="161"/>
      <c r="AK38" s="161"/>
      <c r="AL38" s="160"/>
      <c r="AM38" s="165"/>
      <c r="AN38" t="s" s="198">
        <v>135</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t="s" s="167">
        <v>136</v>
      </c>
      <c r="C39" t="s" s="349">
        <v>137</v>
      </c>
      <c r="D39" s="165"/>
      <c r="E39" s="164"/>
      <c r="F39" s="163" cm="1">
        <f t="array" ref="F39">IF(AG39="","",I39-H39)</f>
        <v>46346</v>
      </c>
      <c r="G39" s="160"/>
      <c r="H39" s="158">
        <v>7</v>
      </c>
      <c r="I39" s="161" cm="1">
        <f t="array" ref="I39">IF(AG39="","",P39-K39)</f>
        <v>46353</v>
      </c>
      <c r="J39" s="160"/>
      <c r="K39" s="158">
        <v>7</v>
      </c>
      <c r="L39" s="161"/>
      <c r="M39" s="161"/>
      <c r="N39" s="161"/>
      <c r="O39" s="161"/>
      <c r="P39" s="161" cm="1">
        <f t="array" ref="P39">IF(AG39="","",AC39-R39-Q39)</f>
        <v>46360</v>
      </c>
      <c r="Q39" s="162">
        <v>7</v>
      </c>
      <c r="R39" s="162">
        <v>14</v>
      </c>
      <c r="S39" s="161"/>
      <c r="T39" s="161"/>
      <c r="U39" s="161"/>
      <c r="V39" s="161"/>
      <c r="W39" s="161"/>
      <c r="X39" s="161"/>
      <c r="Y39" s="161"/>
      <c r="Z39" s="161"/>
      <c r="AA39" s="161"/>
      <c r="AB39" s="160"/>
      <c r="AC39" s="163">
        <v>46381</v>
      </c>
      <c r="AD39" s="161" cm="1">
        <f t="array" ref="AD39">IF(AG39="","",$AG39-$AF39)</f>
        <v>46389</v>
      </c>
      <c r="AE39" s="160"/>
      <c r="AF39" s="196">
        <v>30</v>
      </c>
      <c r="AG39" s="165">
        <v>46419</v>
      </c>
      <c r="AH39" s="164"/>
      <c r="AI39" s="163"/>
      <c r="AJ39" s="161"/>
      <c r="AK39" s="161"/>
      <c r="AL39" s="160"/>
      <c r="AM39" s="165"/>
      <c r="AN39" t="s" s="169">
        <v>138</v>
      </c>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139</v>
      </c>
      <c r="C40" t="s" s="349">
        <v>140</v>
      </c>
      <c r="D40" s="165"/>
      <c r="E40" s="164"/>
      <c r="F40" s="163" cm="1">
        <f t="array" ref="F40">IF(AG40="","",I40-H40)</f>
        <v>46346</v>
      </c>
      <c r="G40" s="160"/>
      <c r="H40" s="158">
        <v>7</v>
      </c>
      <c r="I40" s="161" cm="1">
        <f t="array" ref="I40">IF(AG40="","",P40-K40)</f>
        <v>46353</v>
      </c>
      <c r="J40" s="160"/>
      <c r="K40" s="158">
        <v>7</v>
      </c>
      <c r="L40" s="161"/>
      <c r="M40" s="161"/>
      <c r="N40" s="161"/>
      <c r="O40" s="161"/>
      <c r="P40" s="161" cm="1">
        <f t="array" ref="P40">IF(AG40="","",AC40-R40-Q40)</f>
        <v>46360</v>
      </c>
      <c r="Q40" s="162">
        <v>7</v>
      </c>
      <c r="R40" s="162">
        <v>14</v>
      </c>
      <c r="S40" s="161"/>
      <c r="T40" s="161"/>
      <c r="U40" s="161"/>
      <c r="V40" s="161"/>
      <c r="W40" s="161"/>
      <c r="X40" s="161"/>
      <c r="Y40" s="161"/>
      <c r="Z40" s="161"/>
      <c r="AA40" s="161"/>
      <c r="AB40" s="160"/>
      <c r="AC40" s="163">
        <v>46381</v>
      </c>
      <c r="AD40" s="161" cm="1">
        <f t="array" ref="AD40">IF(AG40="","",$AG40-$AF40)</f>
        <v>46389</v>
      </c>
      <c r="AE40" s="160"/>
      <c r="AF40" s="196">
        <v>30</v>
      </c>
      <c r="AG40" s="165">
        <v>46419</v>
      </c>
      <c r="AH40" s="164"/>
      <c r="AI40" s="163"/>
      <c r="AJ40" s="161"/>
      <c r="AK40" s="161"/>
      <c r="AL40" s="160"/>
      <c r="AM40" s="165"/>
      <c r="AN40" t="s" s="169">
        <v>138</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t="s" s="167">
        <v>141</v>
      </c>
      <c r="C41" t="s" s="349">
        <v>142</v>
      </c>
      <c r="D41" s="165"/>
      <c r="E41" s="164"/>
      <c r="F41" s="163" cm="1">
        <f t="array" ref="F41">IF(AG41="","",I41-H41)</f>
        <v>46346</v>
      </c>
      <c r="G41" s="160"/>
      <c r="H41" s="158">
        <v>7</v>
      </c>
      <c r="I41" s="161" cm="1">
        <f t="array" ref="I41">IF(AG41="","",P41-K41)</f>
        <v>46353</v>
      </c>
      <c r="J41" s="160"/>
      <c r="K41" s="158">
        <v>7</v>
      </c>
      <c r="L41" s="161"/>
      <c r="M41" s="161"/>
      <c r="N41" s="161"/>
      <c r="O41" s="161"/>
      <c r="P41" s="161" cm="1">
        <f t="array" ref="P41">IF(AG41="","",AC41-R41-Q41)</f>
        <v>46360</v>
      </c>
      <c r="Q41" s="162">
        <v>7</v>
      </c>
      <c r="R41" s="162">
        <v>14</v>
      </c>
      <c r="S41" s="161"/>
      <c r="T41" s="161"/>
      <c r="U41" s="161"/>
      <c r="V41" s="161"/>
      <c r="W41" s="161"/>
      <c r="X41" s="161"/>
      <c r="Y41" s="161"/>
      <c r="Z41" s="161"/>
      <c r="AA41" s="161"/>
      <c r="AB41" s="160"/>
      <c r="AC41" s="163">
        <v>46381</v>
      </c>
      <c r="AD41" s="161" cm="1">
        <f t="array" ref="AD41">IF(AG41="","",$AG41-$AF41)</f>
        <v>46389</v>
      </c>
      <c r="AE41" s="160"/>
      <c r="AF41" s="196">
        <v>30</v>
      </c>
      <c r="AG41" s="165">
        <v>46419</v>
      </c>
      <c r="AH41" s="164"/>
      <c r="AI41" s="163"/>
      <c r="AJ41" s="161"/>
      <c r="AK41" s="161"/>
      <c r="AL41" s="160"/>
      <c r="AM41" s="165"/>
      <c r="AN41" t="s" s="169">
        <v>138</v>
      </c>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350"/>
      <c r="D42" s="165"/>
      <c r="E42" s="164"/>
      <c r="F42" s="195" cm="1" t="str">
        <f t="array" ref="F42">IF(AG42="","",I42-H42)</f>
        <v/>
      </c>
      <c r="G42" s="160"/>
      <c r="H42" s="158"/>
      <c r="I42" s="159" cm="1" t="str">
        <f t="array" ref="I42">IF(AG42="","",P42-K42)</f>
        <v/>
      </c>
      <c r="J42" s="160"/>
      <c r="K42" s="158"/>
      <c r="L42" s="161"/>
      <c r="M42" s="161"/>
      <c r="N42" s="161"/>
      <c r="O42" s="161"/>
      <c r="P42" s="159" cm="1" t="str">
        <f t="array" ref="P42">IF(AG42="","",AC42-R42-Q42)</f>
        <v/>
      </c>
      <c r="Q42" s="162"/>
      <c r="R42" s="162"/>
      <c r="S42" s="161"/>
      <c r="T42" s="161"/>
      <c r="U42" s="161"/>
      <c r="V42" s="161"/>
      <c r="W42" s="161"/>
      <c r="X42" s="161"/>
      <c r="Y42" s="161"/>
      <c r="Z42" s="161"/>
      <c r="AA42" s="161"/>
      <c r="AB42" s="160"/>
      <c r="AC42" s="163"/>
      <c r="AD42" s="159" cm="1" t="str">
        <f t="array" ref="AD42">IF(AG42="","",$AG42-$AF42)</f>
        <v/>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349">
        <v>143</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144</v>
      </c>
      <c r="C44" t="s" s="349">
        <v>145</v>
      </c>
      <c r="D44" s="165"/>
      <c r="E44" s="164"/>
      <c r="F44" s="163" cm="1">
        <f t="array" ref="F44">IF(AG44="","",I44-H44)</f>
        <v>46345</v>
      </c>
      <c r="G44" s="160">
        <v>46276</v>
      </c>
      <c r="H44" s="158">
        <v>7</v>
      </c>
      <c r="I44" s="161" cm="1">
        <f t="array" ref="I44">IF(AG44="","",P44-K44)</f>
        <v>46352</v>
      </c>
      <c r="J44" s="160">
        <v>46291</v>
      </c>
      <c r="K44" s="158">
        <v>7</v>
      </c>
      <c r="L44" s="161"/>
      <c r="M44" s="161"/>
      <c r="N44" s="161"/>
      <c r="O44" s="161"/>
      <c r="P44" s="161" cm="1">
        <f t="array" ref="P44">IF(AG44="","",AC44-R44-Q44)</f>
        <v>46359</v>
      </c>
      <c r="Q44" s="162">
        <v>7</v>
      </c>
      <c r="R44" s="162">
        <v>14</v>
      </c>
      <c r="S44" s="161"/>
      <c r="T44" s="161"/>
      <c r="U44" s="161"/>
      <c r="V44" s="161"/>
      <c r="W44" s="161"/>
      <c r="X44" s="161"/>
      <c r="Y44" s="161"/>
      <c r="Z44" s="161"/>
      <c r="AA44" s="161"/>
      <c r="AB44" s="160"/>
      <c r="AC44" s="163">
        <v>46380</v>
      </c>
      <c r="AD44" s="161" cm="1">
        <f t="array" ref="AD44">IF(AG44="","",$AG44-$AF44)</f>
        <v>46380</v>
      </c>
      <c r="AE44" s="160"/>
      <c r="AF44" s="196">
        <v>60</v>
      </c>
      <c r="AG44" s="165">
        <v>46440</v>
      </c>
      <c r="AH44" s="164"/>
      <c r="AI44" s="163"/>
      <c r="AJ44" s="161"/>
      <c r="AK44" s="161"/>
      <c r="AL44" s="160"/>
      <c r="AM44" s="165"/>
      <c r="AN44" t="s" s="169">
        <v>146</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35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349">
        <v>147</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t="s" s="167">
        <v>148</v>
      </c>
      <c r="C47" t="s" s="349">
        <v>149</v>
      </c>
      <c r="D47" s="165"/>
      <c r="E47" s="164"/>
      <c r="F47" s="163" cm="1">
        <f t="array" ref="F47">IF(AG47="","",I47-H47)</f>
        <v>46381</v>
      </c>
      <c r="G47" s="160">
        <v>46297</v>
      </c>
      <c r="H47" s="158">
        <v>7</v>
      </c>
      <c r="I47" s="161" cm="1">
        <f t="array" ref="I47">IF(AG47="","",P47-K47)</f>
        <v>46388</v>
      </c>
      <c r="J47" s="160">
        <v>46302</v>
      </c>
      <c r="K47" s="158">
        <v>7</v>
      </c>
      <c r="L47" s="161">
        <v>46302</v>
      </c>
      <c r="M47" s="161"/>
      <c r="N47" s="161"/>
      <c r="O47" s="161"/>
      <c r="P47" s="161" cm="1">
        <f t="array" ref="P47">IF(AG47="","",AC47-R47-Q47)</f>
        <v>46395</v>
      </c>
      <c r="Q47" s="162">
        <v>7</v>
      </c>
      <c r="R47" s="162">
        <v>14</v>
      </c>
      <c r="S47" s="161"/>
      <c r="T47" s="161"/>
      <c r="U47" s="161"/>
      <c r="V47" s="161"/>
      <c r="W47" s="161"/>
      <c r="X47" s="161"/>
      <c r="Y47" s="161"/>
      <c r="Z47" s="161"/>
      <c r="AA47" s="161"/>
      <c r="AB47" s="160"/>
      <c r="AC47" s="163">
        <v>46416</v>
      </c>
      <c r="AD47" s="161" cm="1">
        <f t="array" ref="AD47">IF(AG47="","",$AG47-$AF47)</f>
        <v>46417</v>
      </c>
      <c r="AE47" s="160"/>
      <c r="AF47" s="196">
        <v>30</v>
      </c>
      <c r="AG47" s="165">
        <v>46447</v>
      </c>
      <c r="AH47" s="164"/>
      <c r="AI47" s="163"/>
      <c r="AJ47" s="161"/>
      <c r="AK47" s="161"/>
      <c r="AL47" s="160"/>
      <c r="AM47" s="165"/>
      <c r="AN47" t="s" s="169">
        <v>138</v>
      </c>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35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t="s" s="349">
        <v>150</v>
      </c>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t="s" s="167">
        <v>151</v>
      </c>
      <c r="C50" t="s" s="349">
        <v>152</v>
      </c>
      <c r="D50" s="165"/>
      <c r="E50" s="164"/>
      <c r="F50" s="163" cm="1">
        <f t="array" ref="F50">IF(AG50="","",I50-H50)</f>
        <v>46395</v>
      </c>
      <c r="G50" s="160"/>
      <c r="H50" s="158">
        <v>7</v>
      </c>
      <c r="I50" s="161" cm="1">
        <f t="array" ref="I50">IF(AG50="","",P50-K50)</f>
        <v>46402</v>
      </c>
      <c r="J50" s="160"/>
      <c r="K50" s="158">
        <v>7</v>
      </c>
      <c r="L50" s="161"/>
      <c r="M50" s="161"/>
      <c r="N50" s="161"/>
      <c r="O50" s="161"/>
      <c r="P50" s="161" cm="1">
        <f t="array" ref="P50">IF(AG50="","",AC50-R50-Q50)</f>
        <v>46409</v>
      </c>
      <c r="Q50" s="162">
        <v>7</v>
      </c>
      <c r="R50" s="162">
        <v>14</v>
      </c>
      <c r="S50" s="161"/>
      <c r="T50" s="161"/>
      <c r="U50" s="161"/>
      <c r="V50" s="161"/>
      <c r="W50" s="161"/>
      <c r="X50" s="161"/>
      <c r="Y50" s="161"/>
      <c r="Z50" s="161"/>
      <c r="AA50" s="161"/>
      <c r="AB50" s="160"/>
      <c r="AC50" s="163">
        <v>46430</v>
      </c>
      <c r="AD50" s="161" cm="1">
        <f t="array" ref="AD50">IF(AG50="","",$AG50-$AF50)</f>
        <v>46432</v>
      </c>
      <c r="AE50" s="160"/>
      <c r="AF50" s="196">
        <v>30</v>
      </c>
      <c r="AG50" s="165">
        <v>46462</v>
      </c>
      <c r="AH50" s="164"/>
      <c r="AI50" s="163"/>
      <c r="AJ50" s="161"/>
      <c r="AK50" s="161"/>
      <c r="AL50" s="160"/>
      <c r="AM50" s="165"/>
      <c r="AN50" t="s" s="169">
        <v>153</v>
      </c>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35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349"/>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35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35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350"/>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35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35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35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35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35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349"/>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35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350"/>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35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35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35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35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35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349"/>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35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35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35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35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35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35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35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35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35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35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35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35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35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35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35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35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35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35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35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35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35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35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35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35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35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35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35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35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35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35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35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35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35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35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35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35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35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35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35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35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35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35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35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35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35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35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35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35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35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35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35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35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35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35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35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35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35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35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35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35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35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35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35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35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35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35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35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35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35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35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35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35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35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35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35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35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35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35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35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35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35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35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35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35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35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35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35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35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35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35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35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35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35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35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35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35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35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35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35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35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35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35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35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35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35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35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35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35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35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35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35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35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35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35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35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35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35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35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35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35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35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35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35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35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35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35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35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35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35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35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35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35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35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35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35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35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35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35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35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35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35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M11:O11">
    <cfRule type="notContainsBlanks" dxfId="8" priority="5" stopIfTrue="1">
      <formula>NOT(ISBLANK(M11))</formula>
    </cfRule>
    <cfRule type="notContainsBlanks" dxfId="9" priority="6" stopIfTrue="1">
      <formula>NOT(ISBLANK(M11))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conditionalFormatting sqref="C11:C210">
    <cfRule type="expression" dxfId="25" priority="61">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24.75" customHeight="1">
      <c r="A1" s="172" t="str">
        <f>'①施工図リスト'!A1</f>
        <v>現場／統括：、現場責任者：金子主任、主任：、担当：</v>
      </c>
      <c r="B1" s="172"/>
      <c r="C1" s="172"/>
      <c r="D1" s="172"/>
      <c r="E1" s="172"/>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56.65" customHeight="1">
      <c r="A2" s="357" t="s">
        <v>3</v>
      </c>
      <c r="B2" s="211"/>
      <c r="C2" s="356" t="str">
        <f>'①施工図リスト'!C2</f>
        <v>椙山女学園　星が丘キャンパス大学会館食堂リニューアル工事</v>
      </c>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353"/>
      <c r="D7" s="35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354">
        <v>179</v>
      </c>
      <c r="D8" s="35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55">
        <v>182</v>
      </c>
      <c r="D9" t="s" s="354">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55">
        <v>186</v>
      </c>
      <c r="D10" t="s" s="354">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354">
        <v>190</v>
      </c>
      <c r="D11" t="s" s="354">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354">
        <v>193</v>
      </c>
      <c r="D12" t="s" s="354">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354">
        <v>196</v>
      </c>
      <c r="D13" t="s" s="354">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354">
        <v>200</v>
      </c>
      <c r="D14" t="s" s="354">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354">
        <v>203</v>
      </c>
      <c r="D15" t="s" s="354">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354">
        <v>206</v>
      </c>
      <c r="D16" t="s" s="354">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354">
        <v>209</v>
      </c>
      <c r="D17" t="s" s="354">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55">
        <v>212</v>
      </c>
      <c r="D18" t="s" s="354">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354">
        <v>215</v>
      </c>
      <c r="D19" t="s" s="354">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354">
        <v>219</v>
      </c>
      <c r="D20" t="s" s="354">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354">
        <v>222</v>
      </c>
      <c r="D21" t="s" s="354">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354">
        <v>225</v>
      </c>
      <c r="D22" t="s" s="354">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353"/>
      <c r="D23" s="35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354">
        <v>227</v>
      </c>
      <c r="D24" s="35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354">
        <v>229</v>
      </c>
      <c r="D25" s="35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354">
        <v>232</v>
      </c>
      <c r="D26" s="35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353"/>
      <c r="D27" s="35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353"/>
      <c r="D28" s="35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353"/>
      <c r="D29" s="35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353"/>
      <c r="D30" s="35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353"/>
      <c r="D31" s="35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353"/>
      <c r="D32" s="35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353"/>
      <c r="D33" s="35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353"/>
      <c r="D34" s="35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353"/>
      <c r="D35" s="35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353"/>
      <c r="D36" s="35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354">
        <v>234</v>
      </c>
      <c r="D37" s="35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354">
        <v>235</v>
      </c>
      <c r="D38" s="35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354">
        <v>236</v>
      </c>
      <c r="D39" s="35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354">
        <v>237</v>
      </c>
      <c r="D40" s="35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354">
        <v>193</v>
      </c>
      <c r="D41" s="35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354">
        <v>238</v>
      </c>
      <c r="D42" s="35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354">
        <v>222</v>
      </c>
      <c r="D43" s="35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354">
        <v>239</v>
      </c>
      <c r="D44" s="35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354">
        <v>219</v>
      </c>
      <c r="D45" s="35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353"/>
      <c r="D46" s="35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353"/>
      <c r="D47" s="35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353"/>
      <c r="D48" s="35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353"/>
      <c r="D49" s="35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353"/>
      <c r="D50" s="35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354">
        <v>240</v>
      </c>
      <c r="D51" s="35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354">
        <v>241</v>
      </c>
      <c r="D52" s="35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354">
        <v>242</v>
      </c>
      <c r="D53" s="35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354">
        <v>243</v>
      </c>
      <c r="D54" s="35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354">
        <v>244</v>
      </c>
      <c r="D55" s="35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354">
        <v>245</v>
      </c>
      <c r="D56" s="35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354">
        <v>246</v>
      </c>
      <c r="D57" s="35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354">
        <v>247</v>
      </c>
      <c r="D58" s="35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354">
        <v>248</v>
      </c>
      <c r="D59" s="35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354">
        <v>249</v>
      </c>
      <c r="D60" s="35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354">
        <v>250</v>
      </c>
      <c r="D61" s="35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354">
        <v>251</v>
      </c>
      <c r="D62" s="35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354">
        <v>252</v>
      </c>
      <c r="D63" s="35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354">
        <v>253</v>
      </c>
      <c r="D64" s="35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353"/>
      <c r="D65" s="35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353"/>
      <c r="D66" s="35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353"/>
      <c r="D67" s="35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353"/>
      <c r="D68" s="35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353"/>
      <c r="D69" s="35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353"/>
      <c r="D70" s="35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354">
        <v>254</v>
      </c>
      <c r="D71" s="35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354">
        <v>255</v>
      </c>
      <c r="D72" s="35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354">
        <v>256</v>
      </c>
      <c r="D73" s="35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353"/>
      <c r="D74" s="35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353"/>
      <c r="D75" s="35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353"/>
      <c r="D76" s="35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353"/>
      <c r="D77" s="35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353"/>
      <c r="D78" s="35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353"/>
      <c r="D79" s="35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353"/>
      <c r="D80" s="35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354">
        <v>257</v>
      </c>
      <c r="D81" s="35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354">
        <v>258</v>
      </c>
      <c r="D82" s="35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354">
        <v>259</v>
      </c>
      <c r="D83" s="35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354">
        <v>260</v>
      </c>
      <c r="D84" s="35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354">
        <v>261</v>
      </c>
      <c r="D85" s="35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354">
        <v>262</v>
      </c>
      <c r="D86" s="35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354">
        <v>263</v>
      </c>
      <c r="D87" s="35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354">
        <v>264</v>
      </c>
      <c r="D88" s="35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354">
        <v>265</v>
      </c>
      <c r="D89" s="35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354">
        <v>266</v>
      </c>
      <c r="D90" s="35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354">
        <v>234</v>
      </c>
      <c r="D91" s="35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354">
        <v>267</v>
      </c>
      <c r="D92" s="35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354">
        <v>268</v>
      </c>
      <c r="D93" s="35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354">
        <v>269</v>
      </c>
      <c r="D94" s="35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354">
        <v>270</v>
      </c>
      <c r="D95" s="35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354">
        <v>212</v>
      </c>
      <c r="D96" s="35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354">
        <v>215</v>
      </c>
      <c r="D97" s="35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354">
        <v>272</v>
      </c>
      <c r="D98" s="35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354">
        <v>273</v>
      </c>
      <c r="D99" s="35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354">
        <v>179</v>
      </c>
      <c r="D100" s="35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353"/>
      <c r="D101" s="35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353"/>
      <c r="D102" s="35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353"/>
      <c r="D103" s="35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353"/>
      <c r="D104" s="35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353"/>
      <c r="D105" s="35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353"/>
      <c r="D106" s="35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353"/>
      <c r="D107" s="35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353"/>
      <c r="D108" s="35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353"/>
      <c r="D109" s="35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353"/>
      <c r="D110" s="35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353"/>
      <c r="D111" s="35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353"/>
      <c r="D112" s="35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353"/>
      <c r="D113" s="35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353"/>
      <c r="D114" s="35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353"/>
      <c r="D115" s="35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353"/>
      <c r="D116" s="35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353"/>
      <c r="D117" s="35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353"/>
      <c r="D118" s="35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353"/>
      <c r="D119" s="35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353"/>
      <c r="D120" s="35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353"/>
      <c r="D121" s="35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353"/>
      <c r="D122" s="35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353"/>
      <c r="D123" s="35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353"/>
      <c r="D124" s="35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353"/>
      <c r="D125" s="35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353"/>
      <c r="D126" s="35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353"/>
      <c r="D127" s="35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353"/>
      <c r="D128" s="35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353"/>
      <c r="D129" s="35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353"/>
      <c r="D130" s="35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353"/>
      <c r="D131" s="35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353"/>
      <c r="D132" s="35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353"/>
      <c r="D133" s="35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353"/>
      <c r="D134" s="35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353"/>
      <c r="D135" s="35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353"/>
      <c r="D136" s="35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353"/>
      <c r="D137" s="35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353"/>
      <c r="D138" s="35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353"/>
      <c r="D139" s="35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353"/>
      <c r="D140" s="35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conditionalFormatting sqref="C7:C140">
    <cfRule type="expression" dxfId="25" priority="33">
      <formula>OR(AND($E7="",ISNUMBER($F7),$F7&lt;=TODAY()),AND($I7="",ISNUMBER($H7),$H7&lt;=TODAY()+7),AND(OR($K7="",$L7=""),ISNUMBER($H7),($H7+$J7)&lt;=TODAY()+7),AND($AB7="",ISNUMBER($AA7),$AA7&lt;=TODAY()+7))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